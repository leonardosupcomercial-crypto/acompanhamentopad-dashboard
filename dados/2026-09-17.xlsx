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Comercial\Suporte\PAD\PAD 2026\09. SETEMBRO\"/>
    </mc:Choice>
  </mc:AlternateContent>
  <bookViews>
    <workbookView xWindow="-110" yWindow="-110" windowWidth="19420" windowHeight="10300" tabRatio="858"/>
  </bookViews>
  <sheets>
    <sheet name="PAD - DISTRIBUIÇÃO" sheetId="2" r:id="rId1"/>
    <sheet name="PAD - LOJAS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<sst xmlns="http://schemas.openxmlformats.org/spreadsheetml/2006/main" count="325" uniqueCount="84">
  <si>
    <t>GESTOR</t>
  </si>
  <si>
    <t>META</t>
  </si>
  <si>
    <t>REAL</t>
  </si>
  <si>
    <t>%</t>
  </si>
  <si>
    <t>C01</t>
  </si>
  <si>
    <t>ESTOQUE</t>
  </si>
  <si>
    <t>DIA</t>
  </si>
  <si>
    <t>TOTAL LOJAS</t>
  </si>
  <si>
    <t>CEASA</t>
  </si>
  <si>
    <t>CASA AMARELA</t>
  </si>
  <si>
    <t>IMBIRIBEIRA</t>
  </si>
  <si>
    <t>REAL VERBA</t>
  </si>
  <si>
    <t>LOJÃO</t>
  </si>
  <si>
    <t>%  VENDA</t>
  </si>
  <si>
    <t>C03</t>
  </si>
  <si>
    <t>DIOGO</t>
  </si>
  <si>
    <t>C06</t>
  </si>
  <si>
    <t>C09</t>
  </si>
  <si>
    <t>C05</t>
  </si>
  <si>
    <t>C07</t>
  </si>
  <si>
    <t>C08</t>
  </si>
  <si>
    <t>C10</t>
  </si>
  <si>
    <t>C11</t>
  </si>
  <si>
    <t>C12</t>
  </si>
  <si>
    <t>C02</t>
  </si>
  <si>
    <t>RONALDO</t>
  </si>
  <si>
    <t>TOTAL RONALDO</t>
  </si>
  <si>
    <t>ELISANGELA</t>
  </si>
  <si>
    <t>TOTAL ELISANGELA</t>
  </si>
  <si>
    <t>C17</t>
  </si>
  <si>
    <t>TOTAL GERALDO</t>
  </si>
  <si>
    <t>GERALDO</t>
  </si>
  <si>
    <t>TOTAL</t>
  </si>
  <si>
    <t>BÁRBARA</t>
  </si>
  <si>
    <t>TOTAL BÁRBARA</t>
  </si>
  <si>
    <t>MÊS</t>
  </si>
  <si>
    <t>FATURAMENTO</t>
  </si>
  <si>
    <t>META PROPORCIONAL</t>
  </si>
  <si>
    <t>%
PREVISÃO</t>
  </si>
  <si>
    <t>PROJEÇÃO</t>
  </si>
  <si>
    <t>MARGEM DE REFERÊNCIA</t>
  </si>
  <si>
    <t>MARGEM BRUTA</t>
  </si>
  <si>
    <t>LB REFERÊNCIA</t>
  </si>
  <si>
    <t>REAL
(TOTAL)</t>
  </si>
  <si>
    <t>PROPOSTA</t>
  </si>
  <si>
    <t>RENTABILIDADE</t>
  </si>
  <si>
    <t>META DIA</t>
  </si>
  <si>
    <t>LB</t>
  </si>
  <si>
    <t>RONALDO MORAIS</t>
  </si>
  <si>
    <t>TOTAL DISTRIBUIÇÃO</t>
  </si>
  <si>
    <t>TOTAL DIOGO</t>
  </si>
  <si>
    <t>RAFAELA BEZERRA</t>
  </si>
  <si>
    <t>ELISANGELA CABRAL</t>
  </si>
  <si>
    <t>BRUNO</t>
  </si>
  <si>
    <t xml:space="preserve">TOTAL BRUNO </t>
  </si>
  <si>
    <t>RAFAELA</t>
  </si>
  <si>
    <t>TOTAL RAFAELA</t>
  </si>
  <si>
    <t>VINICIUS</t>
  </si>
  <si>
    <t>TOTAL VINICIUS</t>
  </si>
  <si>
    <t>C18</t>
  </si>
  <si>
    <t>DIOGO PADILHA</t>
  </si>
  <si>
    <t>BARBARA MIRANDA</t>
  </si>
  <si>
    <t>VINÍCIUS JORDÃO</t>
  </si>
  <si>
    <t>GERALDO JOSÉ</t>
  </si>
  <si>
    <t>BRUNO OLIVEIRA</t>
  </si>
  <si>
    <t>MÉDIA /
DIA</t>
  </si>
  <si>
    <t>HEMILI</t>
  </si>
  <si>
    <t>CAROLINA</t>
  </si>
  <si>
    <t>C16</t>
  </si>
  <si>
    <t/>
  </si>
  <si>
    <t>em aberto</t>
  </si>
  <si>
    <t>TOTAL CAROL - Laticínios</t>
  </si>
  <si>
    <t>CAROL - LATICÍNIOS</t>
  </si>
  <si>
    <t>ISAIAS</t>
  </si>
  <si>
    <t>TOTAL ISAIAS</t>
  </si>
  <si>
    <t>HIGIENE</t>
  </si>
  <si>
    <t>ANDRYO</t>
  </si>
  <si>
    <t>ANDRYO - Iogurtes</t>
  </si>
  <si>
    <t>TOTAL HEMILI - Higiene</t>
  </si>
  <si>
    <t>TOTAL ISAIAS - Bazar</t>
  </si>
  <si>
    <t>TOTAL ANDRYO - Iogurtes</t>
  </si>
  <si>
    <t>TOTAL HEMILI - Limpeza</t>
  </si>
  <si>
    <t>PAD DISTRIBUIÇÃO - SETEMBRO  / 2026</t>
  </si>
  <si>
    <t>PAD LOJAS - SETEMBRO  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</si>
</sst>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&quot;R$&quot;\ #,##0.00"/>
  </numFmts>
  <fonts count="65" x14ac:knownFonts="1">
    <font>
      <sz val="11"/>
      <color theme="1"/>
      <name val="Cambria"/>
      <family val="2"/>
      <scheme val="minor"/>
    </font>
    <font>
      <sz val="11"/>
      <color theme="1"/>
      <name val="Cambria"/>
      <family val="2"/>
      <scheme val="minor"/>
    </font>
    <font>
      <sz val="10"/>
      <color theme="1"/>
      <name val="Cambria"/>
      <family val="2"/>
      <scheme val="minor"/>
    </font>
    <font>
      <sz val="14"/>
      <color theme="1"/>
      <name val="Cambria"/>
      <family val="2"/>
      <scheme val="minor"/>
    </font>
    <font>
      <b/>
      <sz val="10"/>
      <color theme="1"/>
      <name val="Cambria"/>
      <family val="1"/>
      <scheme val="minor"/>
    </font>
    <font>
      <b/>
      <sz val="11"/>
      <color theme="1"/>
      <name val="Cambria"/>
      <family val="1"/>
      <scheme val="minor"/>
    </font>
    <font>
      <b/>
      <sz val="8"/>
      <color theme="1"/>
      <name val="Cambria"/>
      <family val="2"/>
      <scheme val="minor"/>
    </font>
    <font>
      <sz val="9"/>
      <color theme="1"/>
      <name val="Cambria"/>
      <family val="2"/>
      <scheme val="minor"/>
    </font>
    <font>
      <sz val="10"/>
      <color theme="1"/>
      <name val="Cambria"/>
      <family val="1"/>
      <scheme val="minor"/>
    </font>
    <font>
      <b/>
      <sz val="10"/>
      <color theme="0"/>
      <name val="Cambria"/>
      <family val="1"/>
      <scheme val="minor"/>
    </font>
    <font>
      <sz val="8"/>
      <color rgb="FFFF0000"/>
      <name val="Cambria"/>
      <family val="1"/>
      <scheme val="minor"/>
    </font>
    <font>
      <b/>
      <sz val="9"/>
      <color theme="0"/>
      <name val="Cambria"/>
      <family val="1"/>
      <scheme val="minor"/>
    </font>
    <font>
      <b/>
      <sz val="8"/>
      <color theme="0"/>
      <name val="Cambria"/>
      <family val="2"/>
      <scheme val="minor"/>
    </font>
    <font>
      <sz val="8"/>
      <color theme="1"/>
      <name val="Cambria"/>
      <family val="2"/>
      <scheme val="minor"/>
    </font>
    <font>
      <sz val="9"/>
      <color theme="0"/>
      <name val="Cambria"/>
      <family val="2"/>
      <scheme val="minor"/>
    </font>
    <font>
      <b/>
      <sz val="8"/>
      <color rgb="FFFF0000"/>
      <name val="Cambria"/>
      <family val="1"/>
      <scheme val="minor"/>
    </font>
    <font>
      <b/>
      <sz val="9"/>
      <color theme="1"/>
      <name val="Calibri"/>
      <family val="2"/>
      <scheme val="major"/>
    </font>
    <font>
      <b/>
      <sz val="10"/>
      <color theme="1"/>
      <name val="Calibri"/>
      <family val="2"/>
      <scheme val="major"/>
    </font>
    <font>
      <sz val="9"/>
      <color theme="0"/>
      <name val="Calibri"/>
      <family val="2"/>
      <scheme val="major"/>
    </font>
    <font>
      <sz val="9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b/>
      <sz val="9"/>
      <color theme="0"/>
      <name val="Calibri"/>
      <family val="2"/>
      <scheme val="major"/>
    </font>
    <font>
      <b/>
      <sz val="10"/>
      <color theme="0"/>
      <name val="Calibri"/>
      <family val="2"/>
      <scheme val="major"/>
    </font>
    <font>
      <sz val="11"/>
      <color theme="1"/>
      <name val="Calibri"/>
      <family val="2"/>
      <scheme val="major"/>
    </font>
    <font>
      <sz val="12"/>
      <color theme="1" tint="0.249977111117893"/>
      <name val="Cambria"/>
      <family val="1"/>
      <scheme val="minor"/>
    </font>
    <font>
      <sz val="10"/>
      <color theme="1" tint="0.249977111117893"/>
      <name val="Cambria"/>
      <family val="1"/>
      <scheme val="minor"/>
    </font>
    <font>
      <sz val="10"/>
      <color rgb="FFFF0000"/>
      <name val="Cambria"/>
      <family val="1"/>
      <scheme val="minor"/>
    </font>
    <font>
      <b/>
      <sz val="10"/>
      <name val="Calibri"/>
      <family val="2"/>
      <scheme val="major"/>
    </font>
    <font>
      <b/>
      <sz val="9"/>
      <name val="Calibri"/>
      <family val="2"/>
      <scheme val="major"/>
    </font>
    <font>
      <sz val="11"/>
      <color theme="0"/>
      <name val="Cambria"/>
      <family val="2"/>
      <scheme val="minor"/>
    </font>
    <font>
      <sz val="10"/>
      <color theme="0"/>
      <name val="Cambria"/>
      <family val="2"/>
      <scheme val="minor"/>
    </font>
    <font>
      <sz val="11"/>
      <color theme="0"/>
      <name val="Cambria"/>
      <family val="1"/>
      <scheme val="minor"/>
    </font>
    <font>
      <sz val="8"/>
      <name val="Cambria"/>
      <family val="1"/>
      <scheme val="minor"/>
    </font>
    <font>
      <b/>
      <sz val="9"/>
      <name val="Cambria"/>
      <family val="1"/>
      <scheme val="minor"/>
    </font>
    <font>
      <sz val="12"/>
      <name val="Cambria"/>
      <family val="1"/>
      <scheme val="minor"/>
    </font>
    <font>
      <sz val="8"/>
      <color theme="0"/>
      <name val="Cambria"/>
      <family val="1"/>
      <scheme val="minor"/>
    </font>
    <font>
      <sz val="14"/>
      <color theme="0"/>
      <name val="Cambria"/>
      <family val="2"/>
      <scheme val="minor"/>
    </font>
    <font>
      <sz val="9"/>
      <color theme="0"/>
      <name val="Cambria"/>
      <family val="1"/>
      <scheme val="minor"/>
    </font>
    <font>
      <b/>
      <sz val="14"/>
      <color theme="0"/>
      <name val="Cambria"/>
      <family val="1"/>
      <scheme val="minor"/>
    </font>
    <font>
      <sz val="12"/>
      <color theme="0"/>
      <name val="Cambria"/>
      <family val="1"/>
      <scheme val="minor"/>
    </font>
    <font>
      <b/>
      <sz val="9"/>
      <color theme="1"/>
      <name val="Cambria"/>
      <family val="1"/>
      <scheme val="minor"/>
    </font>
    <font>
      <sz val="9"/>
      <name val="Cambria"/>
      <family val="1"/>
      <scheme val="minor"/>
    </font>
    <font>
      <sz val="9"/>
      <color theme="1" tint="0.249977111117893"/>
      <name val="Cambria"/>
      <family val="1"/>
      <scheme val="minor"/>
    </font>
    <font>
      <sz val="9"/>
      <color theme="1"/>
      <name val="Cambria"/>
      <family val="1"/>
      <scheme val="minor"/>
    </font>
    <font>
      <b/>
      <sz val="9"/>
      <color theme="0"/>
      <name val="Cambria"/>
      <family val="2"/>
      <scheme val="minor"/>
    </font>
    <font>
      <b/>
      <sz val="9"/>
      <color theme="1"/>
      <name val="Cambria"/>
      <family val="2"/>
      <scheme val="minor"/>
    </font>
    <font>
      <sz val="8"/>
      <color theme="1"/>
      <name val="Cambria"/>
      <family val="1"/>
      <scheme val="minor"/>
    </font>
    <font>
      <b/>
      <sz val="8"/>
      <color theme="1"/>
      <name val="Cambria"/>
      <family val="1"/>
      <scheme val="minor"/>
    </font>
    <font>
      <b/>
      <sz val="8"/>
      <color theme="1"/>
      <name val="Calibri"/>
      <family val="2"/>
      <scheme val="major"/>
    </font>
    <font>
      <b/>
      <sz val="9"/>
      <color rgb="FF7A0B0B"/>
      <name val="Cambria"/>
      <family val="1"/>
      <scheme val="minor"/>
    </font>
    <font>
      <sz val="9"/>
      <color rgb="FF7A0B0B"/>
      <name val="Cambria"/>
      <family val="1"/>
      <scheme val="minor"/>
    </font>
    <font>
      <sz val="10"/>
      <color theme="0"/>
      <name val="Cambria"/>
      <family val="1"/>
      <scheme val="minor"/>
    </font>
    <font>
      <sz val="10"/>
      <color rgb="FF7A0B0B"/>
      <name val="Cambria"/>
      <family val="1"/>
      <scheme val="minor"/>
    </font>
    <font>
      <sz val="11"/>
      <color rgb="FF7A0B0B"/>
      <name val="Cambria"/>
      <family val="1"/>
      <scheme val="minor"/>
    </font>
    <font>
      <b/>
      <sz val="8"/>
      <color rgb="FF92D050"/>
      <name val="Cambria"/>
      <family val="1"/>
      <scheme val="minor"/>
    </font>
    <font>
      <b/>
      <sz val="26"/>
      <color theme="1"/>
      <name val="Cambria"/>
      <family val="1"/>
      <scheme val="minor"/>
    </font>
    <font>
      <b/>
      <sz val="9"/>
      <color theme="1"/>
      <name val="Calibri"/>
      <family val="1"/>
      <scheme val="major"/>
    </font>
    <font>
      <b/>
      <sz val="14"/>
      <color theme="1"/>
      <name val="Cambria"/>
      <family val="1"/>
      <scheme val="minor"/>
    </font>
    <font>
      <sz val="11"/>
      <color theme="1"/>
      <name val="Cambria"/>
      <family val="1"/>
      <scheme val="minor"/>
    </font>
    <font>
      <b/>
      <sz val="12"/>
      <color theme="1"/>
      <name val="Cambria"/>
      <family val="1"/>
      <scheme val="minor"/>
    </font>
    <font>
      <b/>
      <sz val="7"/>
      <color theme="1"/>
      <name val="Cambria"/>
      <family val="1"/>
      <scheme val="minor"/>
    </font>
    <font>
      <b/>
      <sz val="9"/>
      <color theme="0" tint="-0.14999847407452621"/>
      <name val="Cambria"/>
      <family val="1"/>
      <scheme val="minor"/>
    </font>
    <font>
      <sz val="9"/>
      <color theme="0" tint="-0.14999847407452621"/>
      <name val="Cambria"/>
      <family val="1"/>
      <scheme val="minor"/>
    </font>
    <font>
      <sz val="9"/>
      <color rgb="FFFF0000"/>
      <name val="Cambria"/>
      <family val="1"/>
      <scheme val="minor"/>
    </font>
    <font>
      <b/>
      <sz val="9"/>
      <color rgb="FFFF0000"/>
      <name val="Cambria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2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center"/>
    </xf>
    <xf numFmtId="43" fontId="2" fillId="2" borderId="0" xfId="1" applyFont="1" applyFill="1"/>
    <xf numFmtId="165" fontId="2" fillId="2" borderId="0" xfId="2" applyNumberFormat="1" applyFont="1" applyFill="1"/>
    <xf numFmtId="0" fontId="2" fillId="2" borderId="1" xfId="0" applyFont="1" applyFill="1" applyBorder="1" applyAlignment="1">
      <alignment horizontal="left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/>
    <xf numFmtId="0" fontId="8" fillId="0" borderId="0" xfId="0" applyFont="1"/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13" fillId="2" borderId="0" xfId="0" applyFont="1" applyFill="1"/>
    <xf numFmtId="0" fontId="6" fillId="2" borderId="0" xfId="0" applyFont="1" applyFill="1"/>
    <xf numFmtId="0" fontId="7" fillId="2" borderId="0" xfId="0" applyFont="1" applyFill="1"/>
    <xf numFmtId="43" fontId="7" fillId="2" borderId="0" xfId="1" applyFont="1" applyFill="1"/>
    <xf numFmtId="164" fontId="7" fillId="2" borderId="0" xfId="1" applyNumberFormat="1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0" xfId="2" applyNumberFormat="1" applyFont="1" applyFill="1" applyAlignment="1">
      <alignment horizontal="center"/>
    </xf>
    <xf numFmtId="43" fontId="8" fillId="2" borderId="0" xfId="1" applyFont="1" applyFill="1"/>
    <xf numFmtId="0" fontId="9" fillId="3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164" fontId="16" fillId="4" borderId="1" xfId="0" applyNumberFormat="1" applyFont="1" applyFill="1" applyBorder="1" applyAlignment="1">
      <alignment vertical="center"/>
    </xf>
    <xf numFmtId="0" fontId="17" fillId="0" borderId="0" xfId="0" applyFont="1"/>
    <xf numFmtId="164" fontId="17" fillId="4" borderId="1" xfId="0" applyNumberFormat="1" applyFont="1" applyFill="1" applyBorder="1" applyAlignment="1">
      <alignment vertical="center"/>
    </xf>
    <xf numFmtId="165" fontId="17" fillId="4" borderId="1" xfId="2" applyNumberFormat="1" applyFont="1" applyFill="1" applyBorder="1" applyAlignment="1">
      <alignment horizontal="center" vertical="center"/>
    </xf>
    <xf numFmtId="165" fontId="16" fillId="4" borderId="1" xfId="2" applyNumberFormat="1" applyFont="1" applyFill="1" applyBorder="1" applyAlignment="1">
      <alignment horizontal="center" vertical="center"/>
    </xf>
    <xf numFmtId="43" fontId="16" fillId="4" borderId="1" xfId="1" applyFont="1" applyFill="1" applyBorder="1" applyAlignment="1">
      <alignment vertical="center"/>
    </xf>
    <xf numFmtId="164" fontId="19" fillId="2" borderId="1" xfId="1" applyNumberFormat="1" applyFont="1" applyFill="1" applyBorder="1"/>
    <xf numFmtId="0" fontId="20" fillId="0" borderId="0" xfId="0" applyFont="1"/>
    <xf numFmtId="164" fontId="20" fillId="2" borderId="1" xfId="1" applyNumberFormat="1" applyFont="1" applyFill="1" applyBorder="1"/>
    <xf numFmtId="0" fontId="19" fillId="0" borderId="0" xfId="0" applyFont="1"/>
    <xf numFmtId="164" fontId="19" fillId="2" borderId="2" xfId="1" applyNumberFormat="1" applyFont="1" applyFill="1" applyBorder="1" applyAlignment="1">
      <alignment horizontal="center"/>
    </xf>
    <xf numFmtId="43" fontId="19" fillId="2" borderId="1" xfId="1" applyFont="1" applyFill="1" applyBorder="1"/>
    <xf numFmtId="0" fontId="16" fillId="0" borderId="0" xfId="0" applyFont="1" applyAlignment="1">
      <alignment vertical="center"/>
    </xf>
    <xf numFmtId="164" fontId="21" fillId="3" borderId="1" xfId="0" applyNumberFormat="1" applyFont="1" applyFill="1" applyBorder="1" applyAlignment="1">
      <alignment vertical="center"/>
    </xf>
    <xf numFmtId="164" fontId="22" fillId="3" borderId="1" xfId="0" applyNumberFormat="1" applyFont="1" applyFill="1" applyBorder="1" applyAlignment="1">
      <alignment vertical="center"/>
    </xf>
    <xf numFmtId="165" fontId="17" fillId="3" borderId="1" xfId="2" applyNumberFormat="1" applyFont="1" applyFill="1" applyBorder="1" applyAlignment="1">
      <alignment horizontal="center" vertical="center"/>
    </xf>
    <xf numFmtId="43" fontId="22" fillId="3" borderId="1" xfId="1" applyFont="1" applyFill="1" applyBorder="1" applyAlignment="1">
      <alignment vertical="center"/>
    </xf>
    <xf numFmtId="165" fontId="16" fillId="3" borderId="1" xfId="2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43" fontId="21" fillId="3" borderId="1" xfId="1" applyFont="1" applyFill="1" applyBorder="1" applyAlignment="1">
      <alignment vertical="center"/>
    </xf>
    <xf numFmtId="0" fontId="19" fillId="2" borderId="0" xfId="0" applyFont="1" applyFill="1"/>
    <xf numFmtId="0" fontId="20" fillId="2" borderId="0" xfId="0" applyFont="1" applyFill="1"/>
    <xf numFmtId="0" fontId="20" fillId="2" borderId="0" xfId="0" applyFont="1" applyFill="1" applyAlignment="1">
      <alignment horizontal="center"/>
    </xf>
    <xf numFmtId="43" fontId="20" fillId="2" borderId="0" xfId="1" applyFont="1" applyFill="1"/>
    <xf numFmtId="0" fontId="19" fillId="2" borderId="0" xfId="0" applyFont="1" applyFill="1" applyAlignment="1">
      <alignment horizontal="center"/>
    </xf>
    <xf numFmtId="43" fontId="19" fillId="2" borderId="0" xfId="1" applyFont="1" applyFill="1"/>
    <xf numFmtId="164" fontId="19" fillId="2" borderId="0" xfId="1" applyNumberFormat="1" applyFont="1" applyFill="1"/>
    <xf numFmtId="165" fontId="19" fillId="2" borderId="0" xfId="2" applyNumberFormat="1" applyFont="1" applyFill="1"/>
    <xf numFmtId="0" fontId="23" fillId="0" borderId="0" xfId="0" applyFont="1"/>
    <xf numFmtId="164" fontId="20" fillId="2" borderId="0" xfId="0" applyNumberFormat="1" applyFont="1" applyFill="1"/>
    <xf numFmtId="0" fontId="24" fillId="0" borderId="0" xfId="0" applyFont="1" applyAlignment="1">
      <alignment vertical="center"/>
    </xf>
    <xf numFmtId="0" fontId="25" fillId="0" borderId="0" xfId="0" applyFont="1"/>
    <xf numFmtId="164" fontId="19" fillId="2" borderId="0" xfId="0" applyNumberFormat="1" applyFont="1" applyFill="1"/>
    <xf numFmtId="164" fontId="8" fillId="2" borderId="0" xfId="0" applyNumberFormat="1" applyFont="1" applyFill="1"/>
    <xf numFmtId="0" fontId="14" fillId="0" borderId="0" xfId="0" applyFont="1"/>
    <xf numFmtId="9" fontId="18" fillId="0" borderId="0" xfId="2" applyFont="1" applyFill="1"/>
    <xf numFmtId="0" fontId="18" fillId="0" borderId="0" xfId="0" applyFont="1"/>
    <xf numFmtId="0" fontId="15" fillId="0" borderId="0" xfId="0" applyFont="1" applyAlignment="1">
      <alignment horizontal="center"/>
    </xf>
    <xf numFmtId="0" fontId="26" fillId="0" borderId="0" xfId="0" applyFont="1"/>
    <xf numFmtId="43" fontId="7" fillId="0" borderId="0" xfId="1" applyFont="1" applyFill="1"/>
    <xf numFmtId="43" fontId="8" fillId="0" borderId="0" xfId="1" applyFont="1" applyFill="1"/>
    <xf numFmtId="164" fontId="21" fillId="5" borderId="1" xfId="0" applyNumberFormat="1" applyFont="1" applyFill="1" applyBorder="1" applyAlignment="1">
      <alignment vertical="center"/>
    </xf>
    <xf numFmtId="165" fontId="17" fillId="0" borderId="1" xfId="2" applyNumberFormat="1" applyFont="1" applyFill="1" applyBorder="1" applyAlignment="1">
      <alignment horizontal="center" vertical="center"/>
    </xf>
    <xf numFmtId="165" fontId="16" fillId="0" borderId="1" xfId="2" applyNumberFormat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21" fillId="0" borderId="3" xfId="0" applyNumberFormat="1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164" fontId="22" fillId="0" borderId="3" xfId="0" applyNumberFormat="1" applyFont="1" applyBorder="1" applyAlignment="1">
      <alignment vertical="center"/>
    </xf>
    <xf numFmtId="165" fontId="17" fillId="0" borderId="3" xfId="2" applyNumberFormat="1" applyFont="1" applyFill="1" applyBorder="1" applyAlignment="1">
      <alignment horizontal="center" vertical="center"/>
    </xf>
    <xf numFmtId="43" fontId="22" fillId="0" borderId="3" xfId="1" applyFont="1" applyFill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10" fontId="17" fillId="4" borderId="1" xfId="2" applyNumberFormat="1" applyFont="1" applyFill="1" applyBorder="1" applyAlignment="1">
      <alignment horizontal="center" vertical="center"/>
    </xf>
    <xf numFmtId="10" fontId="17" fillId="3" borderId="1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vertical="center"/>
    </xf>
    <xf numFmtId="164" fontId="17" fillId="0" borderId="1" xfId="0" applyNumberFormat="1" applyFont="1" applyBorder="1" applyAlignment="1">
      <alignment vertical="center"/>
    </xf>
    <xf numFmtId="164" fontId="27" fillId="0" borderId="1" xfId="0" applyNumberFormat="1" applyFont="1" applyBorder="1" applyAlignment="1">
      <alignment horizontal="center" vertical="center"/>
    </xf>
    <xf numFmtId="0" fontId="16" fillId="0" borderId="0" xfId="0" applyFont="1"/>
    <xf numFmtId="43" fontId="17" fillId="0" borderId="1" xfId="0" applyNumberFormat="1" applyFont="1" applyBorder="1" applyAlignment="1">
      <alignment vertical="center"/>
    </xf>
    <xf numFmtId="43" fontId="27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Fill="1" applyBorder="1" applyAlignment="1">
      <alignment horizontal="center" vertical="center"/>
    </xf>
    <xf numFmtId="43" fontId="28" fillId="0" borderId="1" xfId="1" applyFont="1" applyFill="1" applyBorder="1" applyAlignment="1">
      <alignment horizontal="center" vertical="center"/>
    </xf>
    <xf numFmtId="165" fontId="16" fillId="0" borderId="0" xfId="0" applyNumberFormat="1" applyFont="1"/>
    <xf numFmtId="165" fontId="19" fillId="0" borderId="0" xfId="0" applyNumberFormat="1" applyFont="1"/>
    <xf numFmtId="164" fontId="21" fillId="5" borderId="14" xfId="0" applyNumberFormat="1" applyFont="1" applyFill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165" fontId="17" fillId="3" borderId="14" xfId="2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10" fontId="22" fillId="3" borderId="14" xfId="2" applyNumberFormat="1" applyFont="1" applyFill="1" applyBorder="1" applyAlignment="1">
      <alignment horizontal="center" vertical="center"/>
    </xf>
    <xf numFmtId="0" fontId="21" fillId="0" borderId="14" xfId="0" applyFont="1" applyBorder="1" applyAlignment="1">
      <alignment vertical="center"/>
    </xf>
    <xf numFmtId="43" fontId="22" fillId="3" borderId="14" xfId="1" applyFont="1" applyFill="1" applyBorder="1" applyAlignment="1">
      <alignment vertical="center"/>
    </xf>
    <xf numFmtId="10" fontId="17" fillId="3" borderId="14" xfId="2" applyNumberFormat="1" applyFont="1" applyFill="1" applyBorder="1" applyAlignment="1">
      <alignment horizontal="center" vertical="center"/>
    </xf>
    <xf numFmtId="9" fontId="18" fillId="0" borderId="14" xfId="2" applyFont="1" applyFill="1" applyBorder="1"/>
    <xf numFmtId="165" fontId="22" fillId="3" borderId="14" xfId="2" applyNumberFormat="1" applyFont="1" applyFill="1" applyBorder="1" applyAlignment="1">
      <alignment horizontal="center" vertical="center"/>
    </xf>
    <xf numFmtId="43" fontId="21" fillId="3" borderId="14" xfId="1" applyFont="1" applyFill="1" applyBorder="1" applyAlignment="1">
      <alignment vertical="center"/>
    </xf>
    <xf numFmtId="164" fontId="20" fillId="2" borderId="0" xfId="1" applyNumberFormat="1" applyFont="1" applyFill="1"/>
    <xf numFmtId="49" fontId="4" fillId="0" borderId="1" xfId="0" applyNumberFormat="1" applyFont="1" applyBorder="1" applyAlignment="1">
      <alignment horizontal="center" vertical="center"/>
    </xf>
    <xf numFmtId="0" fontId="41" fillId="0" borderId="5" xfId="0" applyFont="1" applyBorder="1" applyAlignment="1">
      <alignment horizontal="center"/>
    </xf>
    <xf numFmtId="0" fontId="42" fillId="0" borderId="0" xfId="0" applyFont="1"/>
    <xf numFmtId="10" fontId="20" fillId="0" borderId="1" xfId="2" applyNumberFormat="1" applyFont="1" applyFill="1" applyBorder="1" applyAlignment="1">
      <alignment horizontal="center" vertical="center"/>
    </xf>
    <xf numFmtId="164" fontId="2" fillId="2" borderId="0" xfId="0" applyNumberFormat="1" applyFont="1" applyFill="1"/>
    <xf numFmtId="165" fontId="16" fillId="0" borderId="3" xfId="2" applyNumberFormat="1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/>
    </xf>
    <xf numFmtId="165" fontId="16" fillId="3" borderId="14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43" fillId="2" borderId="0" xfId="0" applyFont="1" applyFill="1"/>
    <xf numFmtId="165" fontId="16" fillId="2" borderId="1" xfId="2" applyNumberFormat="1" applyFont="1" applyFill="1" applyBorder="1" applyAlignment="1">
      <alignment horizontal="center" vertical="center"/>
    </xf>
    <xf numFmtId="0" fontId="43" fillId="0" borderId="0" xfId="0" applyFont="1"/>
    <xf numFmtId="165" fontId="40" fillId="2" borderId="0" xfId="2" applyNumberFormat="1" applyFont="1" applyFill="1" applyAlignment="1">
      <alignment horizontal="center"/>
    </xf>
    <xf numFmtId="165" fontId="16" fillId="2" borderId="0" xfId="2" applyNumberFormat="1" applyFont="1" applyFill="1"/>
    <xf numFmtId="165" fontId="45" fillId="2" borderId="0" xfId="2" applyNumberFormat="1" applyFont="1" applyFill="1"/>
    <xf numFmtId="165" fontId="46" fillId="0" borderId="1" xfId="2" applyNumberFormat="1" applyFont="1" applyFill="1" applyBorder="1" applyAlignment="1">
      <alignment horizontal="center" vertical="center"/>
    </xf>
    <xf numFmtId="165" fontId="46" fillId="0" borderId="3" xfId="2" applyNumberFormat="1" applyFont="1" applyFill="1" applyBorder="1" applyAlignment="1">
      <alignment horizontal="center" vertical="center"/>
    </xf>
    <xf numFmtId="165" fontId="46" fillId="5" borderId="1" xfId="2" applyNumberFormat="1" applyFont="1" applyFill="1" applyBorder="1" applyAlignment="1">
      <alignment horizontal="center" vertical="center"/>
    </xf>
    <xf numFmtId="165" fontId="47" fillId="2" borderId="1" xfId="2" applyNumberFormat="1" applyFont="1" applyFill="1" applyBorder="1" applyAlignment="1">
      <alignment horizontal="center" vertical="center"/>
    </xf>
    <xf numFmtId="165" fontId="47" fillId="4" borderId="1" xfId="2" applyNumberFormat="1" applyFont="1" applyFill="1" applyBorder="1" applyAlignment="1">
      <alignment horizontal="center" vertical="center"/>
    </xf>
    <xf numFmtId="165" fontId="48" fillId="2" borderId="0" xfId="2" applyNumberFormat="1" applyFont="1" applyFill="1" applyAlignment="1">
      <alignment horizontal="center"/>
    </xf>
    <xf numFmtId="165" fontId="47" fillId="5" borderId="14" xfId="2" applyNumberFormat="1" applyFont="1" applyFill="1" applyBorder="1" applyAlignment="1">
      <alignment horizontal="center" vertical="center"/>
    </xf>
    <xf numFmtId="10" fontId="19" fillId="0" borderId="1" xfId="2" applyNumberFormat="1" applyFont="1" applyFill="1" applyBorder="1" applyAlignment="1">
      <alignment horizontal="center" vertical="center"/>
    </xf>
    <xf numFmtId="10" fontId="16" fillId="4" borderId="1" xfId="2" applyNumberFormat="1" applyFont="1" applyFill="1" applyBorder="1" applyAlignment="1">
      <alignment horizontal="center" vertical="center"/>
    </xf>
    <xf numFmtId="10" fontId="21" fillId="3" borderId="14" xfId="2" applyNumberFormat="1" applyFont="1" applyFill="1" applyBorder="1" applyAlignment="1">
      <alignment horizontal="center" vertical="center"/>
    </xf>
    <xf numFmtId="164" fontId="20" fillId="0" borderId="1" xfId="1" applyNumberFormat="1" applyFont="1" applyFill="1" applyBorder="1"/>
    <xf numFmtId="165" fontId="54" fillId="2" borderId="1" xfId="2" applyNumberFormat="1" applyFont="1" applyFill="1" applyBorder="1" applyAlignment="1">
      <alignment horizontal="center" vertical="center"/>
    </xf>
    <xf numFmtId="0" fontId="29" fillId="6" borderId="0" xfId="0" applyFont="1" applyFill="1"/>
    <xf numFmtId="0" fontId="11" fillId="6" borderId="0" xfId="0" applyFont="1" applyFill="1" applyAlignment="1">
      <alignment horizontal="center"/>
    </xf>
    <xf numFmtId="0" fontId="31" fillId="6" borderId="0" xfId="0" applyFont="1" applyFill="1" applyAlignment="1">
      <alignment vertical="center"/>
    </xf>
    <xf numFmtId="0" fontId="58" fillId="6" borderId="0" xfId="0" applyFont="1" applyFill="1" applyAlignment="1">
      <alignment vertical="center"/>
    </xf>
    <xf numFmtId="0" fontId="37" fillId="6" borderId="6" xfId="0" applyFont="1" applyFill="1" applyBorder="1"/>
    <xf numFmtId="43" fontId="40" fillId="6" borderId="6" xfId="1" applyFont="1" applyFill="1" applyBorder="1" applyAlignment="1">
      <alignment horizontal="center" vertical="center" wrapText="1"/>
    </xf>
    <xf numFmtId="0" fontId="37" fillId="6" borderId="0" xfId="0" applyFont="1" applyFill="1"/>
    <xf numFmtId="43" fontId="47" fillId="6" borderId="6" xfId="1" applyFont="1" applyFill="1" applyBorder="1" applyAlignment="1">
      <alignment horizontal="center" vertical="center" wrapText="1"/>
    </xf>
    <xf numFmtId="43" fontId="56" fillId="6" borderId="6" xfId="1" applyFont="1" applyFill="1" applyBorder="1" applyAlignment="1">
      <alignment horizontal="center" vertical="center" wrapText="1"/>
    </xf>
    <xf numFmtId="43" fontId="40" fillId="6" borderId="7" xfId="1" applyFont="1" applyFill="1" applyBorder="1" applyAlignment="1">
      <alignment horizontal="center" vertical="center" wrapText="1"/>
    </xf>
    <xf numFmtId="0" fontId="52" fillId="6" borderId="0" xfId="0" applyFont="1" applyFill="1"/>
    <xf numFmtId="165" fontId="52" fillId="6" borderId="0" xfId="2" applyNumberFormat="1" applyFont="1" applyFill="1"/>
    <xf numFmtId="0" fontId="53" fillId="6" borderId="0" xfId="0" applyFont="1" applyFill="1"/>
    <xf numFmtId="0" fontId="52" fillId="6" borderId="0" xfId="0" applyFont="1" applyFill="1" applyAlignment="1">
      <alignment horizontal="center"/>
    </xf>
    <xf numFmtId="43" fontId="52" fillId="6" borderId="0" xfId="1" applyFont="1" applyFill="1"/>
    <xf numFmtId="0" fontId="49" fillId="6" borderId="0" xfId="0" applyFont="1" applyFill="1" applyAlignment="1">
      <alignment horizontal="center"/>
    </xf>
    <xf numFmtId="0" fontId="50" fillId="6" borderId="0" xfId="0" applyFont="1" applyFill="1"/>
    <xf numFmtId="43" fontId="37" fillId="6" borderId="0" xfId="1" applyFont="1" applyFill="1"/>
    <xf numFmtId="0" fontId="51" fillId="6" borderId="0" xfId="0" applyFont="1" applyFill="1"/>
    <xf numFmtId="0" fontId="36" fillId="6" borderId="0" xfId="0" applyFont="1" applyFill="1"/>
    <xf numFmtId="43" fontId="59" fillId="6" borderId="6" xfId="1" applyFont="1" applyFill="1" applyBorder="1" applyAlignment="1">
      <alignment horizontal="center" vertical="center" wrapText="1"/>
    </xf>
    <xf numFmtId="0" fontId="58" fillId="6" borderId="0" xfId="0" applyFont="1" applyFill="1"/>
    <xf numFmtId="43" fontId="4" fillId="6" borderId="7" xfId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166" fontId="57" fillId="6" borderId="10" xfId="0" applyNumberFormat="1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5" fillId="0" borderId="5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" fillId="0" borderId="0" xfId="0" applyFont="1"/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31" fillId="4" borderId="8" xfId="0" applyFont="1" applyFill="1" applyBorder="1" applyAlignment="1">
      <alignment vertical="center"/>
    </xf>
    <xf numFmtId="0" fontId="29" fillId="4" borderId="16" xfId="0" applyFont="1" applyFill="1" applyBorder="1"/>
    <xf numFmtId="0" fontId="30" fillId="4" borderId="16" xfId="0" applyFont="1" applyFill="1" applyBorder="1"/>
    <xf numFmtId="165" fontId="44" fillId="4" borderId="16" xfId="2" applyNumberFormat="1" applyFont="1" applyFill="1" applyBorder="1"/>
    <xf numFmtId="0" fontId="14" fillId="4" borderId="16" xfId="0" applyFont="1" applyFill="1" applyBorder="1" applyAlignment="1">
      <alignment horizontal="center"/>
    </xf>
    <xf numFmtId="0" fontId="14" fillId="4" borderId="16" xfId="0" applyFont="1" applyFill="1" applyBorder="1"/>
    <xf numFmtId="0" fontId="30" fillId="4" borderId="16" xfId="0" applyFont="1" applyFill="1" applyBorder="1" applyAlignment="1">
      <alignment horizontal="center"/>
    </xf>
    <xf numFmtId="43" fontId="30" fillId="4" borderId="16" xfId="1" applyFont="1" applyFill="1" applyBorder="1"/>
    <xf numFmtId="164" fontId="14" fillId="4" borderId="16" xfId="1" applyNumberFormat="1" applyFont="1" applyFill="1" applyBorder="1"/>
    <xf numFmtId="43" fontId="14" fillId="4" borderId="16" xfId="1" applyFont="1" applyFill="1" applyBorder="1"/>
    <xf numFmtId="0" fontId="14" fillId="4" borderId="19" xfId="0" applyFont="1" applyFill="1" applyBorder="1"/>
    <xf numFmtId="0" fontId="30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166" fontId="38" fillId="4" borderId="0" xfId="0" applyNumberFormat="1" applyFont="1" applyFill="1" applyAlignment="1">
      <alignment horizontal="center" vertical="center"/>
    </xf>
    <xf numFmtId="0" fontId="37" fillId="4" borderId="0" xfId="0" applyFont="1" applyFill="1" applyAlignment="1">
      <alignment horizontal="center"/>
    </xf>
    <xf numFmtId="0" fontId="31" fillId="4" borderId="0" xfId="0" applyFont="1" applyFill="1" applyAlignment="1">
      <alignment vertical="center"/>
    </xf>
    <xf numFmtId="0" fontId="58" fillId="4" borderId="0" xfId="0" applyFont="1" applyFill="1" applyAlignment="1">
      <alignment vertical="center"/>
    </xf>
    <xf numFmtId="0" fontId="39" fillId="4" borderId="0" xfId="0" applyFont="1" applyFill="1" applyAlignment="1">
      <alignment vertical="center"/>
    </xf>
    <xf numFmtId="0" fontId="37" fillId="6" borderId="17" xfId="0" applyFont="1" applyFill="1" applyBorder="1"/>
    <xf numFmtId="0" fontId="43" fillId="6" borderId="17" xfId="0" applyFont="1" applyFill="1" applyBorder="1"/>
    <xf numFmtId="0" fontId="37" fillId="6" borderId="12" xfId="0" applyFont="1" applyFill="1" applyBorder="1"/>
    <xf numFmtId="0" fontId="61" fillId="0" borderId="0" xfId="0" applyFont="1" applyAlignment="1">
      <alignment horizontal="center"/>
    </xf>
    <xf numFmtId="0" fontId="61" fillId="6" borderId="0" xfId="0" applyFont="1" applyFill="1" applyAlignment="1">
      <alignment horizontal="center"/>
    </xf>
    <xf numFmtId="0" fontId="61" fillId="4" borderId="0" xfId="0" applyFont="1" applyFill="1" applyAlignment="1">
      <alignment horizontal="center"/>
    </xf>
    <xf numFmtId="0" fontId="62" fillId="4" borderId="20" xfId="0" applyFont="1" applyFill="1" applyBorder="1" applyAlignment="1">
      <alignment horizontal="center"/>
    </xf>
    <xf numFmtId="0" fontId="64" fillId="6" borderId="0" xfId="0" applyFont="1" applyFill="1" applyAlignment="1">
      <alignment horizontal="center"/>
    </xf>
    <xf numFmtId="0" fontId="63" fillId="6" borderId="0" xfId="0" applyFont="1" applyFill="1" applyAlignment="1">
      <alignment horizontal="center"/>
    </xf>
    <xf numFmtId="164" fontId="63" fillId="6" borderId="0" xfId="1" applyNumberFormat="1" applyFont="1" applyFill="1" applyAlignment="1">
      <alignment horizontal="center"/>
    </xf>
    <xf numFmtId="0" fontId="30" fillId="6" borderId="16" xfId="0" applyFont="1" applyFill="1" applyBorder="1" applyAlignment="1">
      <alignment horizontal="center" vertical="center"/>
    </xf>
    <xf numFmtId="0" fontId="30" fillId="6" borderId="17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55" fillId="6" borderId="9" xfId="0" applyFont="1" applyFill="1" applyBorder="1" applyAlignment="1">
      <alignment horizontal="center" vertical="center" wrapText="1"/>
    </xf>
    <xf numFmtId="0" fontId="55" fillId="6" borderId="10" xfId="0" applyFont="1" applyFill="1" applyBorder="1" applyAlignment="1">
      <alignment horizontal="center" vertical="center" wrapText="1"/>
    </xf>
    <xf numFmtId="0" fontId="55" fillId="6" borderId="11" xfId="0" applyFont="1" applyFill="1" applyBorder="1" applyAlignment="1">
      <alignment horizontal="center" vertical="center" wrapText="1"/>
    </xf>
    <xf numFmtId="166" fontId="57" fillId="6" borderId="9" xfId="0" applyNumberFormat="1" applyFont="1" applyFill="1" applyBorder="1" applyAlignment="1">
      <alignment horizontal="center" vertical="center"/>
    </xf>
    <xf numFmtId="166" fontId="57" fillId="6" borderId="10" xfId="0" applyNumberFormat="1" applyFont="1" applyFill="1" applyBorder="1" applyAlignment="1">
      <alignment horizontal="center" vertical="center"/>
    </xf>
    <xf numFmtId="166" fontId="57" fillId="6" borderId="11" xfId="0" applyNumberFormat="1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40" fillId="6" borderId="9" xfId="0" applyFont="1" applyFill="1" applyBorder="1" applyAlignment="1">
      <alignment horizontal="center" vertical="center"/>
    </xf>
    <xf numFmtId="0" fontId="40" fillId="6" borderId="1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textRotation="255"/>
    </xf>
    <xf numFmtId="0" fontId="12" fillId="3" borderId="4" xfId="0" applyFont="1" applyFill="1" applyBorder="1" applyAlignment="1">
      <alignment horizontal="center" vertical="top" textRotation="255"/>
    </xf>
    <xf numFmtId="0" fontId="5" fillId="4" borderId="7" xfId="0" applyFont="1" applyFill="1" applyBorder="1" applyAlignment="1">
      <alignment horizontal="center" vertical="center"/>
    </xf>
    <xf numFmtId="0" fontId="47" fillId="4" borderId="7" xfId="0" applyFont="1" applyFill="1" applyBorder="1" applyAlignment="1">
      <alignment horizontal="center" vertical="center" wrapText="1"/>
    </xf>
    <xf numFmtId="0" fontId="30" fillId="4" borderId="1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8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/>
    </xf>
    <xf numFmtId="0" fontId="55" fillId="4" borderId="9" xfId="0" applyFont="1" applyFill="1" applyBorder="1" applyAlignment="1">
      <alignment horizontal="center" vertical="center" wrapText="1"/>
    </xf>
    <xf numFmtId="0" fontId="55" fillId="4" borderId="10" xfId="0" applyFont="1" applyFill="1" applyBorder="1" applyAlignment="1">
      <alignment horizontal="center" vertical="center" wrapText="1"/>
    </xf>
    <xf numFmtId="0" fontId="55" fillId="4" borderId="11" xfId="0" applyFont="1" applyFill="1" applyBorder="1" applyAlignment="1">
      <alignment horizontal="center" vertical="center" wrapText="1"/>
    </xf>
    <xf numFmtId="166" fontId="57" fillId="4" borderId="9" xfId="0" applyNumberFormat="1" applyFont="1" applyFill="1" applyBorder="1" applyAlignment="1">
      <alignment horizontal="center" vertical="center"/>
    </xf>
    <xf numFmtId="166" fontId="57" fillId="4" borderId="10" xfId="0" applyNumberFormat="1" applyFont="1" applyFill="1" applyBorder="1" applyAlignment="1">
      <alignment horizontal="center" vertical="center"/>
    </xf>
    <xf numFmtId="166" fontId="57" fillId="4" borderId="11" xfId="0" applyNumberFormat="1" applyFont="1" applyFill="1" applyBorder="1" applyAlignment="1">
      <alignment horizontal="center" vertical="center"/>
    </xf>
    <xf numFmtId="0" fontId="60" fillId="4" borderId="12" xfId="0" applyFont="1" applyFill="1" applyBorder="1" applyAlignment="1">
      <alignment horizontal="center" vertical="center"/>
    </xf>
    <xf numFmtId="0" fontId="60" fillId="4" borderId="13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 wrapText="1"/>
    </xf>
    <xf numFmtId="0" fontId="40" fillId="4" borderId="12" xfId="0" applyFont="1" applyFill="1" applyBorder="1" applyAlignment="1">
      <alignment horizontal="center" vertical="center"/>
    </xf>
    <xf numFmtId="0" fontId="40" fillId="4" borderId="13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 textRotation="255" wrapText="1"/>
    </xf>
    <xf numFmtId="0" fontId="12" fillId="3" borderId="4" xfId="0" applyFont="1" applyFill="1" applyBorder="1" applyAlignment="1">
      <alignment horizontal="center" vertical="center" textRotation="255"/>
    </xf>
    <xf numFmtId="0" fontId="12" fillId="3" borderId="4" xfId="0" quotePrefix="1" applyFont="1" applyFill="1" applyBorder="1" applyAlignment="1">
      <alignment horizontal="center" vertical="top" textRotation="255"/>
    </xf>
  </cellXfs>
  <cellStyles count="3">
    <cellStyle name="Normal" xfId="0" builtinId="0"/>
    <cellStyle name="Porcentagem" xfId="2" builtinId="5"/>
    <cellStyle name="Vírgula" xfId="1" builtinId="3"/>
  </cellStyles>
  <dxfs count="184"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FFFF2D"/>
      <color rgb="FF7A0B0B"/>
      <color rgb="FFF0F030"/>
      <color rgb="FF99CCFF"/>
      <color rgb="FFFF9900"/>
      <color rgb="FFFFAA2D"/>
      <color rgb="FFD9D9D9"/>
      <color rgb="FFC00000"/>
      <color rgb="FF0082D2"/>
      <color rgb="FFFCD8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Ápice">
      <a:dk1>
        <a:sysClr val="windowText" lastClr="000000"/>
      </a:dk1>
      <a:lt1>
        <a:sysClr val="window" lastClr="FFFFFF"/>
      </a:lt1>
      <a:dk2>
        <a:srgbClr val="69676D"/>
      </a:dk2>
      <a:lt2>
        <a:srgbClr val="C9C2D1"/>
      </a:lt2>
      <a:accent1>
        <a:srgbClr val="CEB966"/>
      </a:accent1>
      <a:accent2>
        <a:srgbClr val="9CB084"/>
      </a:accent2>
      <a:accent3>
        <a:srgbClr val="6BB1C9"/>
      </a:accent3>
      <a:accent4>
        <a:srgbClr val="6585CF"/>
      </a:accent4>
      <a:accent5>
        <a:srgbClr val="7E6BC9"/>
      </a:accent5>
      <a:accent6>
        <a:srgbClr val="A379BB"/>
      </a:accent6>
      <a:hlink>
        <a:srgbClr val="410082"/>
      </a:hlink>
      <a:folHlink>
        <a:srgbClr val="932968"/>
      </a:folHlink>
    </a:clrScheme>
    <a:fontScheme name="Escritório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9"/>
  <sheetViews>
    <sheetView showGridLines="0" tabSelected="1" zoomScale="80" zoomScaleNormal="80" workbookViewId="0">
      <pane xSplit="2" ySplit="7" topLeftCell="F8" activePane="bottomRight" state="frozen"/>
      <selection sqref="A1:XFD1048576"/>
      <selection pane="topRight" sqref="A1:XFD1048576"/>
      <selection pane="bottomLeft" sqref="A1:XFD1048576"/>
      <selection pane="bottomRight" activeCell="L26" sqref="L26"/>
    </sheetView>
  </sheetViews>
  <sheetFormatPr defaultColWidth="9" defaultRowHeight="14" x14ac:dyDescent="0.3"/>
  <cols>
    <col min="1" max="1" width="8.75" style="7" hidden="1" customWidth="1"/>
    <col min="2" max="2" width="19.4140625" style="1" customWidth="1"/>
    <col min="3" max="3" width="1.1640625" customWidth="1"/>
    <col min="4" max="4" width="10.58203125" style="1" customWidth="1"/>
    <col min="5" max="5" width="7.33203125" style="5" customWidth="1"/>
    <col min="6" max="6" width="1.1640625" customWidth="1"/>
    <col min="7" max="7" width="10.33203125" style="1" bestFit="1" customWidth="1"/>
    <col min="8" max="8" width="10.9140625" style="1" bestFit="1" customWidth="1"/>
    <col min="9" max="9" width="10.33203125" style="1" bestFit="1" customWidth="1"/>
    <col min="10" max="10" width="7" style="3" bestFit="1" customWidth="1"/>
    <col min="11" max="11" width="0.6640625" style="11" customWidth="1"/>
    <col min="12" max="12" width="5.9140625" style="4" bestFit="1" customWidth="1"/>
    <col min="13" max="13" width="6.83203125" style="4" customWidth="1"/>
    <col min="14" max="14" width="6.83203125" style="1" customWidth="1"/>
    <col min="15" max="15" width="0.6640625" style="11" customWidth="1"/>
    <col min="16" max="16" width="9.1640625" style="1" bestFit="1" customWidth="1"/>
    <col min="17" max="17" width="8.6640625" style="1" bestFit="1" customWidth="1"/>
    <col min="18" max="18" width="7.75" style="1" customWidth="1"/>
    <col min="19" max="19" width="8.6640625" style="1" customWidth="1"/>
    <col min="20" max="20" width="6.1640625" style="1" customWidth="1"/>
    <col min="21" max="21" width="0.6640625" style="1" customWidth="1"/>
    <col min="22" max="22" width="8.08203125" style="18" bestFit="1" customWidth="1"/>
    <col min="23" max="23" width="7.83203125" style="18" bestFit="1" customWidth="1"/>
    <col min="24" max="24" width="6.5" style="19" customWidth="1"/>
    <col min="25" max="25" width="6.6640625" style="18" customWidth="1"/>
    <col min="26" max="26" width="0.58203125" style="13" customWidth="1"/>
    <col min="27" max="27" width="7.83203125" style="1" bestFit="1" customWidth="1"/>
    <col min="28" max="28" width="7.6640625" style="1" customWidth="1"/>
    <col min="29" max="29" width="7.1640625" style="1" customWidth="1"/>
    <col min="30" max="16384" width="9" style="11"/>
  </cols>
  <sheetData>
    <row r="1" spans="1:29" s="1" customFormat="1" ht="14.5" thickBot="1" x14ac:dyDescent="0.35">
      <c r="A1" s="158"/>
      <c r="B1" s="198"/>
      <c r="C1" s="132"/>
      <c r="D1" s="142"/>
      <c r="E1" s="143"/>
      <c r="F1" s="144"/>
      <c r="G1" s="142"/>
      <c r="H1" s="142"/>
      <c r="I1" s="142"/>
      <c r="J1" s="145"/>
      <c r="K1" s="142"/>
      <c r="L1" s="146"/>
      <c r="M1" s="146"/>
      <c r="N1" s="142"/>
      <c r="O1" s="142"/>
      <c r="P1" s="142"/>
      <c r="Q1" s="142"/>
      <c r="R1" s="142"/>
      <c r="S1" s="142"/>
      <c r="T1" s="142"/>
      <c r="U1" s="142"/>
      <c r="V1" s="147"/>
      <c r="W1" s="148"/>
      <c r="X1" s="149"/>
      <c r="Y1" s="138"/>
      <c r="Z1" s="138"/>
      <c r="AA1" s="150"/>
      <c r="AB1" s="150"/>
      <c r="AC1" s="150"/>
    </row>
    <row r="2" spans="1:29" s="2" customFormat="1" ht="33.75" customHeight="1" thickBot="1" x14ac:dyDescent="0.4">
      <c r="A2" s="158"/>
      <c r="B2" s="198"/>
      <c r="C2" s="151"/>
      <c r="D2" s="199" t="s">
        <v>82</v>
      </c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1"/>
    </row>
    <row r="3" spans="1:29" s="186" customFormat="1" ht="12.75" customHeight="1" thickBot="1" x14ac:dyDescent="0.3">
      <c r="B3" s="198"/>
      <c r="C3" s="187"/>
      <c r="D3" s="193"/>
      <c r="E3" s="193"/>
      <c r="F3" s="187"/>
      <c r="G3" s="187">
        <v>11</v>
      </c>
      <c r="H3" s="187"/>
      <c r="I3" s="187"/>
      <c r="J3" s="187"/>
      <c r="K3" s="187"/>
      <c r="L3" s="187">
        <v>34</v>
      </c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1"/>
      <c r="X3" s="192"/>
      <c r="Y3" s="191"/>
      <c r="Z3" s="191"/>
      <c r="AA3" s="190"/>
      <c r="AB3" s="190"/>
      <c r="AC3" s="190"/>
    </row>
    <row r="4" spans="1:29" s="8" customFormat="1" ht="20.25" customHeight="1" thickBot="1" x14ac:dyDescent="0.3">
      <c r="A4" s="157"/>
      <c r="B4" s="198"/>
      <c r="C4" s="133"/>
      <c r="D4" s="194"/>
      <c r="E4" s="194"/>
      <c r="F4" s="133"/>
      <c r="G4" s="202" t="s">
        <v>35</v>
      </c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4"/>
      <c r="U4" s="156"/>
      <c r="V4" s="203" t="s">
        <v>6</v>
      </c>
      <c r="W4" s="203"/>
      <c r="X4" s="203"/>
      <c r="Y4" s="203"/>
      <c r="Z4" s="203"/>
      <c r="AA4" s="203"/>
      <c r="AB4" s="203"/>
      <c r="AC4" s="204"/>
    </row>
    <row r="5" spans="1:29" s="57" customFormat="1" ht="25.5" customHeight="1" thickBot="1" x14ac:dyDescent="0.35">
      <c r="A5" s="159"/>
      <c r="B5" s="198"/>
      <c r="C5" s="134"/>
      <c r="D5" s="205" t="s">
        <v>5</v>
      </c>
      <c r="E5" s="206"/>
      <c r="F5" s="135"/>
      <c r="G5" s="205" t="s">
        <v>36</v>
      </c>
      <c r="H5" s="207"/>
      <c r="I5" s="207"/>
      <c r="J5" s="206"/>
      <c r="K5" s="135"/>
      <c r="L5" s="205" t="s">
        <v>47</v>
      </c>
      <c r="M5" s="207"/>
      <c r="N5" s="206"/>
      <c r="O5" s="135"/>
      <c r="P5" s="205" t="s">
        <v>45</v>
      </c>
      <c r="Q5" s="207"/>
      <c r="R5" s="207"/>
      <c r="S5" s="207"/>
      <c r="T5" s="206"/>
      <c r="U5" s="155"/>
      <c r="V5" s="208" t="s">
        <v>36</v>
      </c>
      <c r="W5" s="209"/>
      <c r="X5" s="195" t="s">
        <v>47</v>
      </c>
      <c r="Y5" s="196"/>
      <c r="Z5" s="135"/>
      <c r="AA5" s="195" t="s">
        <v>45</v>
      </c>
      <c r="AB5" s="197"/>
      <c r="AC5" s="196"/>
    </row>
    <row r="6" spans="1:29" s="58" customFormat="1" ht="33" customHeight="1" thickBot="1" x14ac:dyDescent="0.35">
      <c r="A6" s="160"/>
      <c r="B6" s="152" t="s">
        <v>0</v>
      </c>
      <c r="C6" s="153"/>
      <c r="D6" s="137" t="s">
        <v>2</v>
      </c>
      <c r="E6" s="137" t="s">
        <v>13</v>
      </c>
      <c r="F6" s="153"/>
      <c r="G6" s="137" t="s">
        <v>1</v>
      </c>
      <c r="H6" s="140" t="s">
        <v>37</v>
      </c>
      <c r="I6" s="137" t="s">
        <v>2</v>
      </c>
      <c r="J6" s="137" t="s">
        <v>3</v>
      </c>
      <c r="K6" s="153"/>
      <c r="L6" s="137" t="s">
        <v>1</v>
      </c>
      <c r="M6" s="137" t="s">
        <v>2</v>
      </c>
      <c r="N6" s="137" t="s">
        <v>3</v>
      </c>
      <c r="O6" s="153"/>
      <c r="P6" s="137" t="s">
        <v>1</v>
      </c>
      <c r="Q6" s="137" t="s">
        <v>2</v>
      </c>
      <c r="R6" s="137" t="s">
        <v>11</v>
      </c>
      <c r="S6" s="137" t="s">
        <v>43</v>
      </c>
      <c r="T6" s="137" t="s">
        <v>3</v>
      </c>
      <c r="U6" s="137"/>
      <c r="V6" s="137" t="s">
        <v>46</v>
      </c>
      <c r="W6" s="137" t="s">
        <v>2</v>
      </c>
      <c r="X6" s="137" t="s">
        <v>2</v>
      </c>
      <c r="Y6" s="154" t="s">
        <v>3</v>
      </c>
      <c r="Z6" s="153"/>
      <c r="AA6" s="137" t="s">
        <v>1</v>
      </c>
      <c r="AB6" s="137" t="s">
        <v>2</v>
      </c>
      <c r="AC6" s="137" t="s">
        <v>3</v>
      </c>
    </row>
    <row r="7" spans="1:29" ht="6" customHeight="1" x14ac:dyDescent="0.25">
      <c r="C7" s="22"/>
      <c r="D7" s="12"/>
      <c r="E7" s="23"/>
      <c r="F7" s="12"/>
      <c r="G7" s="22"/>
      <c r="H7" s="60"/>
      <c r="I7" s="12"/>
      <c r="J7" s="21"/>
      <c r="L7" s="24"/>
      <c r="M7" s="67"/>
      <c r="N7" s="22"/>
      <c r="P7" s="12"/>
      <c r="Q7" s="12"/>
      <c r="R7" s="12"/>
      <c r="S7" s="12"/>
      <c r="T7" s="22"/>
      <c r="U7" s="22"/>
      <c r="X7" s="66"/>
      <c r="AA7" s="12"/>
      <c r="AB7" s="12"/>
      <c r="AC7" s="22"/>
    </row>
    <row r="8" spans="1:29" s="14" customFormat="1" ht="14.25" customHeight="1" x14ac:dyDescent="0.3">
      <c r="A8" s="64" t="s">
        <v>4</v>
      </c>
      <c r="B8" s="105" t="s">
        <v>60</v>
      </c>
      <c r="C8" s="64"/>
      <c r="D8" s="83">
        <v>29136430.629999999</v>
      </c>
      <c r="E8" s="120">
        <v>3.7285465624669389</v>
      </c>
      <c r="F8" s="64"/>
      <c r="G8" s="84">
        <v>7814420.4831177704</v>
      </c>
      <c r="H8" s="84">
        <v>4935423.4630217496</v>
      </c>
      <c r="I8" s="85">
        <v>5264654.8400000175</v>
      </c>
      <c r="J8" s="70">
        <v>1.0667078274934272</v>
      </c>
      <c r="K8" s="86"/>
      <c r="L8" s="87">
        <v>2.9</v>
      </c>
      <c r="M8" s="88">
        <v>-3.2768203736599686</v>
      </c>
      <c r="N8" s="70">
        <v>-1.1299380598827478</v>
      </c>
      <c r="O8" s="86"/>
      <c r="P8" s="84">
        <v>143127.28042763073</v>
      </c>
      <c r="Q8" s="84">
        <v>-172513.28239999618</v>
      </c>
      <c r="R8" s="83">
        <v>14918.8</v>
      </c>
      <c r="S8" s="85">
        <v>-157594.4823999962</v>
      </c>
      <c r="T8" s="70">
        <v>-1.1010792766350401</v>
      </c>
      <c r="U8" s="69"/>
      <c r="V8" s="83">
        <v>411285.28858514578</v>
      </c>
      <c r="W8" s="89">
        <v>401899.43000000023</v>
      </c>
      <c r="X8" s="90">
        <v>-2.2281201543380633</v>
      </c>
      <c r="Y8" s="70">
        <v>-0.76831729459933218</v>
      </c>
      <c r="Z8" s="91"/>
      <c r="AA8" s="85">
        <v>11927.273368969227</v>
      </c>
      <c r="AB8" s="85">
        <v>-8954.8021999998018</v>
      </c>
      <c r="AC8" s="70">
        <v>-0.75078368064382595</v>
      </c>
    </row>
    <row r="9" spans="1:29" s="14" customFormat="1" ht="14.25" customHeight="1" x14ac:dyDescent="0.3">
      <c r="A9" s="64" t="s">
        <v>24</v>
      </c>
      <c r="B9" s="82" t="s">
        <v>48</v>
      </c>
      <c r="C9" s="28"/>
      <c r="D9" s="83">
        <v>1520179.94</v>
      </c>
      <c r="E9" s="120">
        <v>0.90081639045979989</v>
      </c>
      <c r="F9" s="28"/>
      <c r="G9" s="84">
        <v>1687558.0374642839</v>
      </c>
      <c r="H9" s="84">
        <v>1065826.1289248108</v>
      </c>
      <c r="I9" s="85">
        <v>1078068.3700000045</v>
      </c>
      <c r="J9" s="70">
        <v>1.0114861521433554</v>
      </c>
      <c r="K9" s="86"/>
      <c r="L9" s="87">
        <v>3.55</v>
      </c>
      <c r="M9" s="88">
        <v>-2.5716924799484788</v>
      </c>
      <c r="N9" s="70">
        <v>-0.72442041688689551</v>
      </c>
      <c r="O9" s="86"/>
      <c r="P9" s="84">
        <v>37836.827576830779</v>
      </c>
      <c r="Q9" s="84">
        <v>-27724.60319999326</v>
      </c>
      <c r="R9" s="83">
        <v>683</v>
      </c>
      <c r="S9" s="85">
        <v>-27041.60319999326</v>
      </c>
      <c r="T9" s="70">
        <v>-0.71469002376277635</v>
      </c>
      <c r="U9" s="69"/>
      <c r="V9" s="83">
        <v>88818.844077067566</v>
      </c>
      <c r="W9" s="89">
        <v>137573.37</v>
      </c>
      <c r="X9" s="90">
        <v>-7.5057209109581926</v>
      </c>
      <c r="Y9" s="70">
        <v>-2.1142875805516037</v>
      </c>
      <c r="Z9" s="91"/>
      <c r="AA9" s="85">
        <v>3153.0689647358981</v>
      </c>
      <c r="AB9" s="85">
        <v>-10325.873199999884</v>
      </c>
      <c r="AC9" s="70">
        <v>-3.2748643672196942</v>
      </c>
    </row>
    <row r="10" spans="1:29" s="14" customFormat="1" ht="14.25" customHeight="1" x14ac:dyDescent="0.3">
      <c r="A10" s="64" t="s">
        <v>14</v>
      </c>
      <c r="B10" s="82" t="s">
        <v>61</v>
      </c>
      <c r="C10" s="28"/>
      <c r="D10" s="83">
        <v>12619420.790000003</v>
      </c>
      <c r="E10" s="120">
        <v>0.70176921339184184</v>
      </c>
      <c r="F10" s="28"/>
      <c r="G10" s="84">
        <v>17982294.676346522</v>
      </c>
      <c r="H10" s="84">
        <v>11357238.742955698</v>
      </c>
      <c r="I10" s="85">
        <v>10696883.190000407</v>
      </c>
      <c r="J10" s="70">
        <v>0.94185597680026989</v>
      </c>
      <c r="K10" s="86"/>
      <c r="L10" s="87">
        <v>3.7</v>
      </c>
      <c r="M10" s="88">
        <v>1.0253676436017221</v>
      </c>
      <c r="N10" s="70">
        <v>0.27712639016262758</v>
      </c>
      <c r="O10" s="86"/>
      <c r="P10" s="84">
        <v>420217.83348936081</v>
      </c>
      <c r="Q10" s="84">
        <v>109682.37910413589</v>
      </c>
      <c r="R10" s="83">
        <v>0</v>
      </c>
      <c r="S10" s="85">
        <v>109682.37910413589</v>
      </c>
      <c r="T10" s="70">
        <v>0.26101314690375427</v>
      </c>
      <c r="U10" s="69"/>
      <c r="V10" s="83">
        <v>946436.56191297481</v>
      </c>
      <c r="W10" s="89">
        <v>1090837.3400000005</v>
      </c>
      <c r="X10" s="90">
        <v>-2.2125292392357863</v>
      </c>
      <c r="Y10" s="70">
        <v>-0.59798087546913137</v>
      </c>
      <c r="Z10" s="91"/>
      <c r="AA10" s="85">
        <v>35018.15279078007</v>
      </c>
      <c r="AB10" s="85">
        <v>-24135.095100001898</v>
      </c>
      <c r="AC10" s="70">
        <v>-0.68921668267883129</v>
      </c>
    </row>
    <row r="11" spans="1:29" s="14" customFormat="1" ht="14.25" customHeight="1" x14ac:dyDescent="0.3">
      <c r="A11" s="64" t="s">
        <v>18</v>
      </c>
      <c r="B11" s="82" t="s">
        <v>64</v>
      </c>
      <c r="C11" s="28"/>
      <c r="D11" s="83">
        <v>5686802.4800000004</v>
      </c>
      <c r="E11" s="120">
        <v>0.64720096657720572</v>
      </c>
      <c r="F11" s="28"/>
      <c r="G11" s="84">
        <v>8786764.5038839914</v>
      </c>
      <c r="H11" s="84">
        <v>5549535.4761372581</v>
      </c>
      <c r="I11" s="85">
        <v>4571004.739999935</v>
      </c>
      <c r="J11" s="70">
        <v>0.82367339746813772</v>
      </c>
      <c r="K11" s="86"/>
      <c r="L11" s="87">
        <v>3.7</v>
      </c>
      <c r="M11" s="88">
        <v>-1.0725279274170467</v>
      </c>
      <c r="N11" s="70">
        <v>-0.28987241281541803</v>
      </c>
      <c r="O11" s="86"/>
      <c r="P11" s="84">
        <v>205332.81261707857</v>
      </c>
      <c r="Q11" s="84">
        <v>-49025.302400056273</v>
      </c>
      <c r="R11" s="83">
        <v>0</v>
      </c>
      <c r="S11" s="85">
        <v>-49025.302400056273</v>
      </c>
      <c r="T11" s="70">
        <v>-0.23876019509596194</v>
      </c>
      <c r="U11" s="69"/>
      <c r="V11" s="83">
        <v>462461.2896781048</v>
      </c>
      <c r="W11" s="89">
        <v>424201.01000000047</v>
      </c>
      <c r="X11" s="90">
        <v>-2.7593375602757617</v>
      </c>
      <c r="Y11" s="70">
        <v>-0.74576690818263824</v>
      </c>
      <c r="Z11" s="91"/>
      <c r="AA11" s="85">
        <v>17111.067718089878</v>
      </c>
      <c r="AB11" s="85">
        <v>-11705.137799999153</v>
      </c>
      <c r="AC11" s="70">
        <v>-0.68406822957193036</v>
      </c>
    </row>
    <row r="12" spans="1:29" s="14" customFormat="1" ht="14.25" customHeight="1" x14ac:dyDescent="0.3">
      <c r="A12" s="64" t="s">
        <v>16</v>
      </c>
      <c r="B12" s="82" t="s">
        <v>62</v>
      </c>
      <c r="C12" s="28"/>
      <c r="D12" s="83">
        <v>36345503.449999914</v>
      </c>
      <c r="E12" s="120">
        <v>1.3571797968805697</v>
      </c>
      <c r="F12" s="28"/>
      <c r="G12" s="84">
        <v>26780168.356129956</v>
      </c>
      <c r="H12" s="84">
        <v>16913790.540713657</v>
      </c>
      <c r="I12" s="85">
        <v>13604034.330000008</v>
      </c>
      <c r="J12" s="70">
        <v>0.80431611691379035</v>
      </c>
      <c r="K12" s="86"/>
      <c r="L12" s="87">
        <v>2.95</v>
      </c>
      <c r="M12" s="88">
        <v>-5.1351423772832403</v>
      </c>
      <c r="N12" s="70">
        <v>-1.740726229587539</v>
      </c>
      <c r="O12" s="86"/>
      <c r="P12" s="84">
        <v>498956.82095105288</v>
      </c>
      <c r="Q12" s="84">
        <v>-698586.53189999063</v>
      </c>
      <c r="R12" s="83">
        <v>1497.05</v>
      </c>
      <c r="S12" s="85">
        <v>-697089.48189999058</v>
      </c>
      <c r="T12" s="70">
        <v>-1.3970938017668153</v>
      </c>
      <c r="U12" s="69"/>
      <c r="V12" s="83">
        <v>1409482.5450594714</v>
      </c>
      <c r="W12" s="89">
        <v>1119818.0000000002</v>
      </c>
      <c r="X12" s="90">
        <v>-7.55986093275874</v>
      </c>
      <c r="Y12" s="70">
        <v>-2.5626647229690644</v>
      </c>
      <c r="Z12" s="91"/>
      <c r="AA12" s="85">
        <v>41579.735079254409</v>
      </c>
      <c r="AB12" s="85">
        <v>-84656.68350000029</v>
      </c>
      <c r="AC12" s="70">
        <v>-2.0360082462920377</v>
      </c>
    </row>
    <row r="13" spans="1:29" s="14" customFormat="1" ht="14.25" customHeight="1" x14ac:dyDescent="0.3">
      <c r="A13" s="64" t="s">
        <v>19</v>
      </c>
      <c r="B13" s="82" t="s">
        <v>63</v>
      </c>
      <c r="C13" s="28"/>
      <c r="D13" s="83">
        <v>2450452.4800000004</v>
      </c>
      <c r="E13" s="120">
        <v>0.91652671132646324</v>
      </c>
      <c r="F13" s="28"/>
      <c r="G13" s="84">
        <v>2673629.0930937841</v>
      </c>
      <c r="H13" s="84">
        <v>1688607.8482697583</v>
      </c>
      <c r="I13" s="85">
        <v>1691148.2099999958</v>
      </c>
      <c r="J13" s="70">
        <v>1.0015044118934071</v>
      </c>
      <c r="K13" s="86"/>
      <c r="L13" s="87">
        <v>4.05</v>
      </c>
      <c r="M13" s="88">
        <v>-4.3059728159487722</v>
      </c>
      <c r="N13" s="70">
        <v>-1.0632031644317956</v>
      </c>
      <c r="O13" s="86"/>
      <c r="P13" s="84">
        <v>68388.617854925207</v>
      </c>
      <c r="Q13" s="84">
        <v>-72820.382200004082</v>
      </c>
      <c r="R13" s="83">
        <v>0</v>
      </c>
      <c r="S13" s="85">
        <v>-72820.382200004082</v>
      </c>
      <c r="T13" s="70">
        <v>-1.0648026599174749</v>
      </c>
      <c r="U13" s="69"/>
      <c r="V13" s="83">
        <v>140717.32068914652</v>
      </c>
      <c r="W13" s="89">
        <v>142111.16999999995</v>
      </c>
      <c r="X13" s="90">
        <v>-4.6509540383068364</v>
      </c>
      <c r="Y13" s="70">
        <v>-1.1483837131621819</v>
      </c>
      <c r="Z13" s="92"/>
      <c r="AA13" s="85">
        <v>5699.0514879104339</v>
      </c>
      <c r="AB13" s="85">
        <v>-6609.525200000091</v>
      </c>
      <c r="AC13" s="70">
        <v>-1.1597588149573788</v>
      </c>
    </row>
    <row r="14" spans="1:29" s="14" customFormat="1" ht="14.25" customHeight="1" x14ac:dyDescent="0.3">
      <c r="A14" s="64" t="s">
        <v>20</v>
      </c>
      <c r="B14" s="82" t="s">
        <v>52</v>
      </c>
      <c r="C14" s="28"/>
      <c r="D14" s="83">
        <v>1994009.0900000005</v>
      </c>
      <c r="E14" s="120">
        <v>1.0044892392161406</v>
      </c>
      <c r="F14" s="28"/>
      <c r="G14" s="84">
        <v>1985097.5123994737</v>
      </c>
      <c r="H14" s="84">
        <v>1253745.7973049306</v>
      </c>
      <c r="I14" s="85">
        <v>1085309.6800000034</v>
      </c>
      <c r="J14" s="70">
        <v>0.86565369338266196</v>
      </c>
      <c r="K14" s="86"/>
      <c r="L14" s="87">
        <v>4.05</v>
      </c>
      <c r="M14" s="88">
        <v>-0.3212156552396343</v>
      </c>
      <c r="N14" s="70">
        <v>-7.9312507466576379E-2</v>
      </c>
      <c r="O14" s="86"/>
      <c r="P14" s="84">
        <v>50776.704790849682</v>
      </c>
      <c r="Q14" s="84">
        <v>-3486.1845999911893</v>
      </c>
      <c r="R14" s="83">
        <v>0</v>
      </c>
      <c r="S14" s="85">
        <v>-3486.1845999911893</v>
      </c>
      <c r="T14" s="70">
        <v>-6.8657165019881797E-2</v>
      </c>
      <c r="U14" s="69"/>
      <c r="V14" s="83">
        <v>104478.81644207756</v>
      </c>
      <c r="W14" s="89">
        <v>107145.87999999993</v>
      </c>
      <c r="X14" s="90">
        <v>-5.1064940621143213</v>
      </c>
      <c r="Y14" s="70">
        <v>-1.2608627313862522</v>
      </c>
      <c r="Z14" s="91"/>
      <c r="AA14" s="85">
        <v>4231.3920659041414</v>
      </c>
      <c r="AB14" s="85">
        <v>-5471.3980000001329</v>
      </c>
      <c r="AC14" s="70">
        <v>-1.2930491702926219</v>
      </c>
    </row>
    <row r="15" spans="1:29" s="14" customFormat="1" ht="14.25" customHeight="1" x14ac:dyDescent="0.3">
      <c r="A15" s="64" t="s">
        <v>17</v>
      </c>
      <c r="B15" s="82" t="s">
        <v>72</v>
      </c>
      <c r="C15" s="28"/>
      <c r="D15" s="83">
        <v>9686748.2300000004</v>
      </c>
      <c r="E15" s="120">
        <v>0.60592028414582377</v>
      </c>
      <c r="F15" s="28"/>
      <c r="G15" s="84">
        <v>15986836.030181058</v>
      </c>
      <c r="H15" s="84">
        <v>10096949.071693299</v>
      </c>
      <c r="I15" s="85">
        <v>11067209.450000113</v>
      </c>
      <c r="J15" s="70">
        <v>1.0960944114323532</v>
      </c>
      <c r="K15" s="86"/>
      <c r="L15" s="87">
        <v>2.9</v>
      </c>
      <c r="M15" s="88">
        <v>-7.3432912973364477</v>
      </c>
      <c r="N15" s="70">
        <v>-2.5321694128746373</v>
      </c>
      <c r="O15" s="86"/>
      <c r="P15" s="84">
        <v>292811.52307910571</v>
      </c>
      <c r="Q15" s="84">
        <v>-812697.42839985515</v>
      </c>
      <c r="R15" s="83">
        <v>0</v>
      </c>
      <c r="S15" s="85">
        <v>-812697.42839985515</v>
      </c>
      <c r="T15" s="70">
        <v>-2.7754967422518324</v>
      </c>
      <c r="U15" s="69"/>
      <c r="V15" s="83">
        <v>841412.42264110828</v>
      </c>
      <c r="W15" s="89">
        <v>1088790.1500000001</v>
      </c>
      <c r="X15" s="90">
        <v>-8.1486742325874975</v>
      </c>
      <c r="Y15" s="70">
        <v>-2.8098876664094821</v>
      </c>
      <c r="Z15" s="91"/>
      <c r="AA15" s="85">
        <v>24400.960256592138</v>
      </c>
      <c r="AB15" s="85">
        <v>-88721.962400000761</v>
      </c>
      <c r="AC15" s="70">
        <v>-3.6360029059115297</v>
      </c>
    </row>
    <row r="16" spans="1:29" s="14" customFormat="1" ht="13" x14ac:dyDescent="0.3">
      <c r="A16" s="64" t="s">
        <v>22</v>
      </c>
      <c r="B16" s="82" t="s">
        <v>51</v>
      </c>
      <c r="C16" s="28"/>
      <c r="D16" s="83">
        <v>14769449.639999993</v>
      </c>
      <c r="E16" s="120">
        <v>0.80390070137197356</v>
      </c>
      <c r="F16" s="28"/>
      <c r="G16" s="84">
        <v>18372231.315128569</v>
      </c>
      <c r="H16" s="84">
        <v>11603514.514818043</v>
      </c>
      <c r="I16" s="85">
        <v>10372427.370000143</v>
      </c>
      <c r="J16" s="70">
        <v>0.89390394235765691</v>
      </c>
      <c r="K16" s="86"/>
      <c r="L16" s="87">
        <v>2.5499999999999998</v>
      </c>
      <c r="M16" s="88">
        <v>-4.529671302965383</v>
      </c>
      <c r="N16" s="70">
        <v>-1.7763416874374052</v>
      </c>
      <c r="O16" s="86"/>
      <c r="P16" s="84">
        <v>295889.62012786005</v>
      </c>
      <c r="Q16" s="84">
        <v>-469836.86599982344</v>
      </c>
      <c r="R16" s="83">
        <v>1014.17</v>
      </c>
      <c r="S16" s="85">
        <v>-468822.69599982345</v>
      </c>
      <c r="T16" s="70">
        <v>-1.5844513092322583</v>
      </c>
      <c r="U16" s="69"/>
      <c r="V16" s="83">
        <v>966959.54290150362</v>
      </c>
      <c r="W16" s="89">
        <v>816735.05000000075</v>
      </c>
      <c r="X16" s="90">
        <v>-3.716877780621509</v>
      </c>
      <c r="Y16" s="70">
        <v>-1.4575991296554938</v>
      </c>
      <c r="Z16" s="91"/>
      <c r="AA16" s="85">
        <v>24657.468343988341</v>
      </c>
      <c r="AB16" s="85">
        <v>-30357.043599998</v>
      </c>
      <c r="AC16" s="70">
        <v>-1.2311500587366364</v>
      </c>
    </row>
    <row r="17" spans="1:29" s="14" customFormat="1" ht="13" x14ac:dyDescent="0.3">
      <c r="A17" s="64" t="s">
        <v>68</v>
      </c>
      <c r="B17" s="82" t="s">
        <v>77</v>
      </c>
      <c r="C17" s="28"/>
      <c r="D17" s="83">
        <v>175.1</v>
      </c>
      <c r="E17" s="120"/>
      <c r="F17" s="28"/>
      <c r="G17" s="84"/>
      <c r="H17" s="84"/>
      <c r="I17" s="85">
        <v>0</v>
      </c>
      <c r="J17" s="70" t="s">
        <v>69</v>
      </c>
      <c r="K17" s="86"/>
      <c r="L17" s="87"/>
      <c r="M17" s="88">
        <v>0</v>
      </c>
      <c r="N17" s="70" t="s">
        <v>69</v>
      </c>
      <c r="O17" s="86"/>
      <c r="P17" s="84">
        <v>0</v>
      </c>
      <c r="Q17" s="84">
        <v>0</v>
      </c>
      <c r="R17" s="83">
        <v>0</v>
      </c>
      <c r="S17" s="85">
        <v>0</v>
      </c>
      <c r="T17" s="70" t="s">
        <v>69</v>
      </c>
      <c r="U17" s="69"/>
      <c r="V17" s="83">
        <v>0</v>
      </c>
      <c r="W17" s="89">
        <v>0</v>
      </c>
      <c r="X17" s="90">
        <v>0</v>
      </c>
      <c r="Y17" s="70">
        <v>0</v>
      </c>
      <c r="Z17" s="91"/>
      <c r="AA17" s="85">
        <v>0</v>
      </c>
      <c r="AB17" s="85">
        <v>0</v>
      </c>
      <c r="AC17" s="70" t="s">
        <v>69</v>
      </c>
    </row>
    <row r="18" spans="1:29" s="14" customFormat="1" ht="13" x14ac:dyDescent="0.3">
      <c r="A18" s="64" t="s">
        <v>59</v>
      </c>
      <c r="B18" s="82" t="s">
        <v>73</v>
      </c>
      <c r="C18" s="28"/>
      <c r="D18" s="83">
        <v>3434.46</v>
      </c>
      <c r="E18" s="120"/>
      <c r="F18" s="28"/>
      <c r="G18" s="84"/>
      <c r="H18" s="84"/>
      <c r="I18" s="85">
        <v>3095.5000000000005</v>
      </c>
      <c r="J18" s="70" t="s">
        <v>69</v>
      </c>
      <c r="K18" s="86"/>
      <c r="L18" s="87"/>
      <c r="M18" s="88">
        <v>1.9987078016475786</v>
      </c>
      <c r="N18" s="70" t="s">
        <v>69</v>
      </c>
      <c r="O18" s="86"/>
      <c r="P18" s="84">
        <v>0</v>
      </c>
      <c r="Q18" s="84">
        <v>61.8700000000008</v>
      </c>
      <c r="R18" s="83">
        <v>0</v>
      </c>
      <c r="S18" s="85">
        <v>61.8700000000008</v>
      </c>
      <c r="T18" s="70" t="s">
        <v>69</v>
      </c>
      <c r="U18" s="69"/>
      <c r="V18" s="83">
        <v>0</v>
      </c>
      <c r="W18" s="89">
        <v>279.94</v>
      </c>
      <c r="X18" s="90">
        <v>2.2862041866114087</v>
      </c>
      <c r="Y18" s="70">
        <v>0</v>
      </c>
      <c r="Z18" s="91"/>
      <c r="AA18" s="85">
        <v>0</v>
      </c>
      <c r="AB18" s="85">
        <v>6.3999999999999773</v>
      </c>
      <c r="AC18" s="70" t="s">
        <v>69</v>
      </c>
    </row>
    <row r="19" spans="1:29" s="14" customFormat="1" ht="13" hidden="1" x14ac:dyDescent="0.3">
      <c r="A19" s="64"/>
      <c r="B19" s="82"/>
      <c r="C19" s="28"/>
      <c r="D19" s="83"/>
      <c r="E19" s="120"/>
      <c r="F19" s="28"/>
      <c r="G19" s="84"/>
      <c r="H19" s="84"/>
      <c r="I19" s="85"/>
      <c r="J19" s="70"/>
      <c r="K19" s="86"/>
      <c r="L19" s="87"/>
      <c r="M19" s="88"/>
      <c r="N19" s="70"/>
      <c r="O19" s="86"/>
      <c r="P19" s="84"/>
      <c r="Q19" s="84"/>
      <c r="R19" s="83"/>
      <c r="S19" s="85"/>
      <c r="T19" s="70"/>
      <c r="U19" s="69"/>
      <c r="V19" s="83"/>
      <c r="W19" s="89"/>
      <c r="X19" s="90"/>
      <c r="Y19" s="70"/>
      <c r="Z19" s="86"/>
      <c r="AA19" s="85"/>
      <c r="AB19" s="85"/>
      <c r="AC19" s="70"/>
    </row>
    <row r="20" spans="1:29" s="14" customFormat="1" ht="13" hidden="1" x14ac:dyDescent="0.3">
      <c r="A20" s="64"/>
      <c r="B20" s="82"/>
      <c r="C20" s="28"/>
      <c r="D20" s="83"/>
      <c r="E20" s="120"/>
      <c r="F20" s="28"/>
      <c r="G20" s="84"/>
      <c r="H20" s="84"/>
      <c r="I20" s="85"/>
      <c r="J20" s="70"/>
      <c r="K20" s="86"/>
      <c r="L20" s="87"/>
      <c r="M20" s="88"/>
      <c r="N20" s="70"/>
      <c r="O20" s="86"/>
      <c r="P20" s="84"/>
      <c r="Q20" s="84"/>
      <c r="R20" s="83"/>
      <c r="S20" s="85"/>
      <c r="T20" s="70"/>
      <c r="U20" s="69"/>
      <c r="V20" s="83"/>
      <c r="W20" s="89"/>
      <c r="X20" s="90"/>
      <c r="Y20" s="70"/>
      <c r="Z20" s="86"/>
      <c r="AA20" s="85"/>
      <c r="AB20" s="85"/>
      <c r="AC20" s="70"/>
    </row>
    <row r="21" spans="1:29" s="79" customFormat="1" ht="13" hidden="1" x14ac:dyDescent="0.3">
      <c r="A21" s="71"/>
      <c r="B21" s="72"/>
      <c r="C21" s="74"/>
      <c r="D21" s="73"/>
      <c r="E21" s="121"/>
      <c r="F21" s="74"/>
      <c r="G21" s="75"/>
      <c r="H21" s="75"/>
      <c r="I21" s="75"/>
      <c r="J21" s="110"/>
      <c r="K21" s="78"/>
      <c r="L21" s="77"/>
      <c r="M21" s="77"/>
      <c r="N21" s="110"/>
      <c r="O21" s="78"/>
      <c r="P21" s="75"/>
      <c r="Q21" s="75"/>
      <c r="R21" s="73"/>
      <c r="S21" s="75"/>
      <c r="T21" s="110"/>
      <c r="U21" s="76"/>
      <c r="V21" s="73"/>
      <c r="W21" s="76"/>
      <c r="X21" s="76"/>
      <c r="Y21" s="76"/>
      <c r="Z21" s="78"/>
      <c r="AA21" s="75"/>
      <c r="AB21" s="75"/>
      <c r="AC21" s="110"/>
    </row>
    <row r="22" spans="1:29" s="14" customFormat="1" ht="13" x14ac:dyDescent="0.3">
      <c r="A22" s="26"/>
      <c r="B22" s="25" t="s">
        <v>49</v>
      </c>
      <c r="C22" s="28"/>
      <c r="D22" s="68">
        <v>114212606.28999992</v>
      </c>
      <c r="E22" s="122">
        <v>1.1189744808054649</v>
      </c>
      <c r="F22" s="28"/>
      <c r="G22" s="41">
        <v>102069000.00774541</v>
      </c>
      <c r="H22" s="41">
        <v>64464631.583839208</v>
      </c>
      <c r="I22" s="41">
        <v>59433835.680000633</v>
      </c>
      <c r="J22" s="44">
        <v>0.92196037144343568</v>
      </c>
      <c r="K22" s="45"/>
      <c r="L22" s="43">
        <v>3.1231669078822795</v>
      </c>
      <c r="M22" s="43">
        <v>-3.6964572568127929</v>
      </c>
      <c r="N22" s="44">
        <v>-1.1835605863662417</v>
      </c>
      <c r="O22" s="45"/>
      <c r="P22" s="41">
        <v>2013338.0409146941</v>
      </c>
      <c r="Q22" s="41">
        <v>-2196946.3319955743</v>
      </c>
      <c r="R22" s="40">
        <v>18113.019999999997</v>
      </c>
      <c r="S22" s="41">
        <v>-2178833.3119955743</v>
      </c>
      <c r="T22" s="44">
        <v>-1.0821994457551167</v>
      </c>
      <c r="U22" s="42"/>
      <c r="V22" s="40">
        <v>5372052.6319866003</v>
      </c>
      <c r="W22" s="40">
        <v>5329391.3400000026</v>
      </c>
      <c r="X22" s="46">
        <v>-5.0837160139941959</v>
      </c>
      <c r="Y22" s="44">
        <v>-1.6277439419468307</v>
      </c>
      <c r="Z22" s="45"/>
      <c r="AA22" s="41">
        <v>167778.17007622455</v>
      </c>
      <c r="AB22" s="41">
        <v>-270931.12099999998</v>
      </c>
      <c r="AC22" s="44">
        <v>-1.6148174752228568</v>
      </c>
    </row>
    <row r="23" spans="1:29" ht="14.5" x14ac:dyDescent="0.35">
      <c r="C23" s="55"/>
      <c r="D23" s="59"/>
      <c r="E23" s="54"/>
      <c r="F23" s="55"/>
      <c r="G23" s="104"/>
      <c r="H23" s="48"/>
      <c r="I23" s="48"/>
      <c r="J23" s="49"/>
      <c r="K23" s="34"/>
      <c r="L23" s="50"/>
      <c r="M23" s="50"/>
      <c r="N23" s="48"/>
      <c r="O23" s="34"/>
      <c r="P23" s="48"/>
      <c r="Q23" s="48"/>
      <c r="R23" s="48"/>
      <c r="S23" s="48"/>
      <c r="T23" s="48"/>
      <c r="U23" s="48"/>
      <c r="V23" s="47"/>
      <c r="W23" s="47"/>
      <c r="X23" s="52"/>
      <c r="Y23" s="47"/>
      <c r="Z23" s="36"/>
      <c r="AA23" s="48"/>
      <c r="AB23" s="48"/>
      <c r="AC23" s="48"/>
    </row>
    <row r="24" spans="1:29" ht="14.5" x14ac:dyDescent="0.35">
      <c r="C24" s="55"/>
      <c r="D24" s="59"/>
      <c r="E24" s="54"/>
      <c r="F24" s="55"/>
      <c r="G24" s="56"/>
      <c r="H24" s="48"/>
      <c r="I24" s="56"/>
      <c r="J24" s="49"/>
      <c r="K24" s="34"/>
      <c r="L24" s="50"/>
      <c r="M24" s="50"/>
      <c r="N24" s="48"/>
      <c r="O24" s="34"/>
      <c r="P24" s="56"/>
      <c r="Q24" s="56"/>
      <c r="R24" s="56"/>
      <c r="S24" s="56"/>
      <c r="T24" s="48"/>
      <c r="U24" s="48"/>
      <c r="V24" s="47"/>
      <c r="W24" s="59"/>
      <c r="X24" s="52"/>
      <c r="Y24" s="47"/>
      <c r="Z24" s="36"/>
      <c r="AA24" s="56"/>
      <c r="AB24" s="56"/>
      <c r="AC24" s="48"/>
    </row>
    <row r="25" spans="1:29" ht="14.5" x14ac:dyDescent="0.35">
      <c r="A25" s="65"/>
      <c r="B25" s="11"/>
      <c r="C25" s="55"/>
      <c r="D25" s="59"/>
      <c r="E25" s="54"/>
      <c r="F25" s="55"/>
      <c r="G25" s="56"/>
      <c r="H25" s="48"/>
      <c r="I25" s="48"/>
      <c r="J25" s="49"/>
      <c r="K25" s="34"/>
      <c r="L25" s="50"/>
      <c r="M25" s="50"/>
      <c r="N25" s="48"/>
      <c r="O25" s="34"/>
      <c r="P25" s="48"/>
      <c r="Q25" s="48"/>
      <c r="R25" s="48"/>
      <c r="S25" s="48"/>
      <c r="T25" s="48"/>
      <c r="U25" s="48"/>
      <c r="V25" s="47"/>
      <c r="W25" s="47"/>
      <c r="X25" s="52"/>
      <c r="Y25" s="47"/>
      <c r="Z25" s="36"/>
      <c r="AA25" s="48"/>
      <c r="AB25" s="48"/>
      <c r="AC25" s="48"/>
    </row>
    <row r="26" spans="1:29" x14ac:dyDescent="0.3">
      <c r="A26" s="65"/>
      <c r="B26" s="11"/>
    </row>
    <row r="27" spans="1:29" x14ac:dyDescent="0.3">
      <c r="A27" s="65"/>
      <c r="B27" s="11"/>
    </row>
    <row r="28" spans="1:29" x14ac:dyDescent="0.3">
      <c r="A28" s="65"/>
      <c r="B28" s="11"/>
    </row>
    <row r="29" spans="1:29" x14ac:dyDescent="0.3">
      <c r="I29" s="109"/>
    </row>
  </sheetData>
  <sortState ref="A8:B20">
    <sortCondition ref="A8:A20"/>
  </sortState>
  <mergeCells count="12">
    <mergeCell ref="D3:E4"/>
    <mergeCell ref="X5:Y5"/>
    <mergeCell ref="AA5:AC5"/>
    <mergeCell ref="B1:B5"/>
    <mergeCell ref="D2:AC2"/>
    <mergeCell ref="G4:T4"/>
    <mergeCell ref="V4:AC4"/>
    <mergeCell ref="D5:E5"/>
    <mergeCell ref="G5:J5"/>
    <mergeCell ref="L5:N5"/>
    <mergeCell ref="P5:T5"/>
    <mergeCell ref="V5:W5"/>
  </mergeCells>
  <conditionalFormatting sqref="E7">
    <cfRule type="cellIs" dxfId="183" priority="685" operator="greaterThanOrEqual">
      <formula>0.91</formula>
    </cfRule>
    <cfRule type="cellIs" dxfId="182" priority="686" operator="between">
      <formula>0.71</formula>
      <formula>0.9</formula>
    </cfRule>
    <cfRule type="cellIs" dxfId="181" priority="687" operator="between">
      <formula>0.1</formula>
      <formula>0.79</formula>
    </cfRule>
  </conditionalFormatting>
  <conditionalFormatting sqref="E8:E20">
    <cfRule type="cellIs" dxfId="180" priority="241" operator="greaterThanOrEqual">
      <formula>0.9</formula>
    </cfRule>
    <cfRule type="cellIs" dxfId="179" priority="242" operator="between">
      <formula>0.79</formula>
      <formula>0.9</formula>
    </cfRule>
    <cfRule type="cellIs" dxfId="178" priority="243" operator="between">
      <formula>0.0001</formula>
      <formula>0.79</formula>
    </cfRule>
  </conditionalFormatting>
  <conditionalFormatting sqref="E21">
    <cfRule type="cellIs" dxfId="177" priority="373" operator="greaterThanOrEqual">
      <formula>0.91</formula>
    </cfRule>
    <cfRule type="cellIs" dxfId="176" priority="374" operator="between">
      <formula>0.71</formula>
      <formula>0.9</formula>
    </cfRule>
    <cfRule type="cellIs" dxfId="175" priority="375" operator="between">
      <formula>0.1</formula>
      <formula>0.79</formula>
    </cfRule>
    <cfRule type="cellIs" dxfId="174" priority="376" operator="greaterThanOrEqual">
      <formula>0.9</formula>
    </cfRule>
    <cfRule type="cellIs" dxfId="173" priority="377" operator="between">
      <formula>0.79</formula>
      <formula>0.9</formula>
    </cfRule>
    <cfRule type="cellIs" dxfId="172" priority="378" operator="between">
      <formula>0.0001</formula>
      <formula>0.79</formula>
    </cfRule>
  </conditionalFormatting>
  <conditionalFormatting sqref="E22">
    <cfRule type="cellIs" dxfId="171" priority="235" operator="greaterThanOrEqual">
      <formula>0.9</formula>
    </cfRule>
    <cfRule type="cellIs" dxfId="170" priority="236" operator="between">
      <formula>0.79</formula>
      <formula>0.9</formula>
    </cfRule>
    <cfRule type="cellIs" dxfId="169" priority="237" operator="between">
      <formula>0.0001</formula>
      <formula>0.79</formula>
    </cfRule>
  </conditionalFormatting>
  <conditionalFormatting sqref="E23:E1048576">
    <cfRule type="cellIs" dxfId="168" priority="692" operator="greaterThanOrEqual">
      <formula>0.91</formula>
    </cfRule>
    <cfRule type="cellIs" dxfId="167" priority="693" operator="between">
      <formula>0.71</formula>
      <formula>0.9</formula>
    </cfRule>
    <cfRule type="cellIs" dxfId="166" priority="694" operator="between">
      <formula>0.1</formula>
      <formula>0.79</formula>
    </cfRule>
  </conditionalFormatting>
  <conditionalFormatting sqref="J7">
    <cfRule type="cellIs" dxfId="165" priority="688" operator="greaterThanOrEqual">
      <formula>1</formula>
    </cfRule>
    <cfRule type="cellIs" dxfId="164" priority="689" operator="between">
      <formula>0.9001</formula>
      <formula>0.9999</formula>
    </cfRule>
    <cfRule type="cellIs" dxfId="163" priority="690" operator="lessThan">
      <formula>0.9</formula>
    </cfRule>
  </conditionalFormatting>
  <conditionalFormatting sqref="J8:J20">
    <cfRule type="cellIs" dxfId="162" priority="287" operator="lessThanOrEqual">
      <formula>0.86</formula>
    </cfRule>
  </conditionalFormatting>
  <conditionalFormatting sqref="J8:J21">
    <cfRule type="cellIs" dxfId="161" priority="285" operator="between">
      <formula>0.86</formula>
      <formula>0.9999</formula>
    </cfRule>
  </conditionalFormatting>
  <conditionalFormatting sqref="J8:J22 N8:N22">
    <cfRule type="cellIs" dxfId="160" priority="278" operator="greaterThanOrEqual">
      <formula>1</formula>
    </cfRule>
  </conditionalFormatting>
  <conditionalFormatting sqref="J21:J22">
    <cfRule type="cellIs" dxfId="159" priority="281" operator="lessThanOrEqual">
      <formula>0.86</formula>
    </cfRule>
  </conditionalFormatting>
  <conditionalFormatting sqref="J22">
    <cfRule type="cellIs" dxfId="158" priority="280" operator="between">
      <formula>0.86</formula>
      <formula>0.9999</formula>
    </cfRule>
  </conditionalFormatting>
  <conditionalFormatting sqref="J23:J1048576">
    <cfRule type="cellIs" dxfId="157" priority="695" operator="greaterThanOrEqual">
      <formula>1</formula>
    </cfRule>
    <cfRule type="cellIs" dxfId="156" priority="696" operator="between">
      <formula>0.9001</formula>
      <formula>0.9999</formula>
    </cfRule>
    <cfRule type="cellIs" dxfId="155" priority="697" operator="lessThan">
      <formula>0.9</formula>
    </cfRule>
  </conditionalFormatting>
  <conditionalFormatting sqref="N8:N20">
    <cfRule type="cellIs" dxfId="154" priority="331" operator="lessThanOrEqual">
      <formula>0.86</formula>
    </cfRule>
  </conditionalFormatting>
  <conditionalFormatting sqref="N8:N21">
    <cfRule type="cellIs" dxfId="153" priority="351" operator="between">
      <formula>0.86</formula>
      <formula>0.9999</formula>
    </cfRule>
  </conditionalFormatting>
  <conditionalFormatting sqref="N14:N20">
    <cfRule type="cellIs" dxfId="152" priority="329" operator="between">
      <formula>0.86</formula>
      <formula>0.999999999</formula>
    </cfRule>
  </conditionalFormatting>
  <conditionalFormatting sqref="N21:N22">
    <cfRule type="cellIs" dxfId="151" priority="325" operator="lessThanOrEqual">
      <formula>0.86</formula>
    </cfRule>
  </conditionalFormatting>
  <conditionalFormatting sqref="N22">
    <cfRule type="cellIs" dxfId="150" priority="324" operator="between">
      <formula>0.86</formula>
      <formula>0.999999999</formula>
    </cfRule>
  </conditionalFormatting>
  <conditionalFormatting sqref="T8:U20">
    <cfRule type="cellIs" dxfId="149" priority="79" operator="greaterThanOrEqual">
      <formula>1</formula>
    </cfRule>
    <cfRule type="cellIs" dxfId="148" priority="83" operator="lessThanOrEqual">
      <formula>0.86</formula>
    </cfRule>
    <cfRule type="cellIs" dxfId="147" priority="84" operator="between">
      <formula>0.86</formula>
      <formula>0.9999</formula>
    </cfRule>
  </conditionalFormatting>
  <conditionalFormatting sqref="T22:U22">
    <cfRule type="cellIs" dxfId="146" priority="76" operator="greaterThanOrEqual">
      <formula>1</formula>
    </cfRule>
    <cfRule type="cellIs" dxfId="145" priority="77" operator="lessThanOrEqual">
      <formula>0.86</formula>
    </cfRule>
    <cfRule type="cellIs" dxfId="144" priority="78" operator="between">
      <formula>0.86</formula>
      <formula>0.9999</formula>
    </cfRule>
  </conditionalFormatting>
  <conditionalFormatting sqref="Y8:Y20 Y22">
    <cfRule type="cellIs" dxfId="143" priority="605" operator="greaterThanOrEqual">
      <formula>1</formula>
    </cfRule>
    <cfRule type="cellIs" dxfId="142" priority="626" operator="lessThanOrEqual">
      <formula>0.86</formula>
    </cfRule>
    <cfRule type="cellIs" dxfId="141" priority="627" operator="between">
      <formula>0.86</formula>
      <formula>0.9999</formula>
    </cfRule>
  </conditionalFormatting>
  <conditionalFormatting sqref="AC8:AC20">
    <cfRule type="cellIs" dxfId="140" priority="7" operator="greaterThanOrEqual">
      <formula>1</formula>
    </cfRule>
    <cfRule type="cellIs" dxfId="139" priority="11" operator="lessThanOrEqual">
      <formula>0.86</formula>
    </cfRule>
    <cfRule type="cellIs" dxfId="138" priority="12" operator="between">
      <formula>0.86</formula>
      <formula>0.9999</formula>
    </cfRule>
  </conditionalFormatting>
  <conditionalFormatting sqref="AC22">
    <cfRule type="cellIs" dxfId="137" priority="49" operator="greaterThanOrEqual">
      <formula>1</formula>
    </cfRule>
    <cfRule type="cellIs" dxfId="136" priority="50" operator="lessThanOrEqual">
      <formula>0.86</formula>
    </cfRule>
    <cfRule type="cellIs" dxfId="135" priority="51" operator="between">
      <formula>0.86</formula>
      <formula>0.9999</formula>
    </cfRule>
  </conditionalFormatting>
  <printOptions horizontalCentered="1"/>
  <pageMargins left="0" right="0" top="0" bottom="0" header="0" footer="0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06"/>
  <sheetViews>
    <sheetView showGridLines="0" zoomScale="80" zoomScaleNormal="80" workbookViewId="0">
      <pane xSplit="3" ySplit="7" topLeftCell="D8" activePane="bottomRight" state="frozen"/>
      <selection activeCell="H8" sqref="H8"/>
      <selection pane="topRight" activeCell="H8" sqref="H8"/>
      <selection pane="bottomLeft" activeCell="H8" sqref="H8"/>
      <selection pane="bottomRight" activeCell="AH18" sqref="AH18"/>
    </sheetView>
  </sheetViews>
  <sheetFormatPr defaultColWidth="9" defaultRowHeight="14" x14ac:dyDescent="0.3"/>
  <cols>
    <col min="1" max="1" width="10.08203125" style="7" hidden="1" customWidth="1"/>
    <col min="2" max="2" width="7.1640625" style="17" hidden="1" customWidth="1"/>
    <col min="3" max="3" width="20.9140625" style="1" customWidth="1"/>
    <col min="4" max="4" width="1.1640625" customWidth="1"/>
    <col min="5" max="5" width="9.1640625" style="1" bestFit="1" customWidth="1"/>
    <col min="6" max="6" width="8.08203125" style="119" bestFit="1" customWidth="1"/>
    <col min="7" max="7" width="1.1640625" customWidth="1"/>
    <col min="8" max="8" width="10.08203125" style="1" bestFit="1" customWidth="1"/>
    <col min="9" max="9" width="10.9140625" style="1" bestFit="1" customWidth="1"/>
    <col min="10" max="10" width="10.08203125" style="1" bestFit="1" customWidth="1"/>
    <col min="11" max="11" width="6.6640625" style="113" customWidth="1"/>
    <col min="12" max="12" width="0.6640625" style="11" customWidth="1"/>
    <col min="13" max="13" width="9.1640625" style="1" bestFit="1" customWidth="1"/>
    <col min="14" max="14" width="10.9140625" style="1" bestFit="1" customWidth="1"/>
    <col min="15" max="15" width="7.25" style="1" customWidth="1"/>
    <col min="16" max="16" width="9.1640625" style="1" bestFit="1" customWidth="1"/>
    <col min="17" max="17" width="8.5" style="18" bestFit="1" customWidth="1"/>
    <col min="18" max="18" width="0.6640625" style="11" customWidth="1"/>
    <col min="19" max="19" width="9.9140625" style="3" customWidth="1"/>
    <col min="20" max="20" width="8.33203125" style="3" customWidth="1"/>
    <col min="21" max="21" width="0.6640625" style="11" customWidth="1"/>
    <col min="22" max="22" width="0.75" style="4" hidden="1" customWidth="1"/>
    <col min="23" max="23" width="10.33203125" style="4" customWidth="1"/>
    <col min="24" max="24" width="0.1640625" style="1" customWidth="1"/>
    <col min="25" max="25" width="0.6640625" style="11" customWidth="1"/>
    <col min="26" max="26" width="2.08203125" style="61" customWidth="1"/>
    <col min="27" max="27" width="7.08203125" style="18" bestFit="1" customWidth="1"/>
    <col min="28" max="28" width="8.5" style="18" customWidth="1"/>
    <col min="29" max="29" width="0.58203125" style="13" customWidth="1"/>
    <col min="30" max="31" width="7.83203125" style="1" bestFit="1" customWidth="1"/>
    <col min="32" max="32" width="8.5" style="18" bestFit="1" customWidth="1"/>
    <col min="33" max="33" width="0.58203125" style="13" customWidth="1"/>
    <col min="34" max="34" width="7.58203125" style="1" customWidth="1"/>
    <col min="35" max="35" width="9.1640625" style="1" customWidth="1"/>
    <col min="36" max="36" width="9.1640625" style="18" customWidth="1"/>
    <col min="37" max="37" width="0.58203125" style="13" customWidth="1"/>
    <col min="38" max="38" width="8.83203125" style="3" bestFit="1" customWidth="1"/>
    <col min="39" max="39" width="8.5" style="20" customWidth="1"/>
    <col min="40" max="40" width="0.58203125" style="13" customWidth="1"/>
    <col min="41" max="41" width="9.4140625" style="19" customWidth="1"/>
    <col min="42" max="42" width="6.6640625" style="18" hidden="1" customWidth="1"/>
    <col min="43" max="43" width="8.6640625" customWidth="1"/>
    <col min="44" max="16384" width="9" style="11"/>
  </cols>
  <sheetData>
    <row r="1" spans="1:43" ht="14.5" thickBot="1" x14ac:dyDescent="0.35">
      <c r="A1" s="161"/>
      <c r="B1" s="214"/>
      <c r="C1" s="215"/>
      <c r="D1" s="166"/>
      <c r="E1" s="167"/>
      <c r="F1" s="168"/>
      <c r="G1" s="166"/>
      <c r="H1" s="167"/>
      <c r="I1" s="167"/>
      <c r="J1" s="167"/>
      <c r="K1" s="169"/>
      <c r="L1" s="167"/>
      <c r="M1" s="167"/>
      <c r="N1" s="167"/>
      <c r="O1" s="167"/>
      <c r="P1" s="167"/>
      <c r="Q1" s="170"/>
      <c r="R1" s="167"/>
      <c r="S1" s="171"/>
      <c r="T1" s="171"/>
      <c r="U1" s="167"/>
      <c r="V1" s="172"/>
      <c r="W1" s="172"/>
      <c r="X1" s="167"/>
      <c r="Y1" s="167"/>
      <c r="Z1" s="170"/>
      <c r="AA1" s="170"/>
      <c r="AB1" s="170"/>
      <c r="AC1" s="170"/>
      <c r="AD1" s="167"/>
      <c r="AE1" s="167"/>
      <c r="AF1" s="170"/>
      <c r="AG1" s="170"/>
      <c r="AH1" s="167"/>
      <c r="AI1" s="167"/>
      <c r="AJ1" s="170"/>
      <c r="AK1" s="170"/>
      <c r="AL1" s="171"/>
      <c r="AM1" s="173"/>
      <c r="AN1" s="170"/>
      <c r="AO1" s="174"/>
      <c r="AP1" s="175"/>
    </row>
    <row r="2" spans="1:43" s="162" customFormat="1" ht="30.65" customHeight="1" thickBot="1" x14ac:dyDescent="0.4">
      <c r="A2" s="161"/>
      <c r="B2" s="216"/>
      <c r="C2" s="217"/>
      <c r="D2" s="176"/>
      <c r="E2" s="220" t="s">
        <v>83</v>
      </c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1"/>
      <c r="AN2" s="221"/>
      <c r="AO2" s="221"/>
      <c r="AP2" s="222"/>
      <c r="AQ2"/>
    </row>
    <row r="3" spans="1:43" s="186" customFormat="1" ht="12" thickBot="1" x14ac:dyDescent="0.3">
      <c r="B3" s="216"/>
      <c r="C3" s="217"/>
      <c r="D3" s="188"/>
      <c r="E3" s="231"/>
      <c r="F3" s="231"/>
      <c r="G3" s="188"/>
      <c r="H3" s="188">
        <v>11</v>
      </c>
      <c r="I3" s="188"/>
      <c r="J3" s="188">
        <v>3</v>
      </c>
      <c r="K3" s="188"/>
      <c r="L3" s="188"/>
      <c r="M3" s="188">
        <v>72</v>
      </c>
      <c r="N3" s="188"/>
      <c r="O3" s="188"/>
      <c r="P3" s="188">
        <v>6</v>
      </c>
      <c r="Q3" s="188"/>
      <c r="R3" s="188"/>
      <c r="S3" s="188"/>
      <c r="T3" s="188"/>
      <c r="U3" s="188"/>
      <c r="V3" s="188">
        <v>30</v>
      </c>
      <c r="W3" s="188">
        <v>5</v>
      </c>
      <c r="X3" s="188"/>
      <c r="Y3" s="188"/>
      <c r="Z3" s="188"/>
      <c r="AA3" s="188">
        <v>9</v>
      </c>
      <c r="AB3" s="188">
        <v>8</v>
      </c>
      <c r="AC3" s="188"/>
      <c r="AD3" s="188">
        <v>6</v>
      </c>
      <c r="AE3" s="188">
        <v>11</v>
      </c>
      <c r="AF3" s="188"/>
      <c r="AG3" s="188"/>
      <c r="AH3" s="188">
        <v>6</v>
      </c>
      <c r="AI3" s="188">
        <v>6</v>
      </c>
      <c r="AJ3" s="188">
        <v>6</v>
      </c>
      <c r="AK3" s="188"/>
      <c r="AL3" s="188"/>
      <c r="AM3" s="188"/>
      <c r="AN3" s="188"/>
      <c r="AO3" s="188">
        <v>10</v>
      </c>
      <c r="AP3" s="189"/>
    </row>
    <row r="4" spans="1:43" s="157" customFormat="1" ht="21.75" customHeight="1" thickBot="1" x14ac:dyDescent="0.3">
      <c r="A4" s="163"/>
      <c r="B4" s="216"/>
      <c r="C4" s="217"/>
      <c r="D4" s="177"/>
      <c r="E4" s="232"/>
      <c r="F4" s="232"/>
      <c r="G4" s="177"/>
      <c r="H4" s="223" t="s">
        <v>35</v>
      </c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5"/>
      <c r="Y4" s="178"/>
      <c r="Z4" s="179"/>
      <c r="AA4" s="223" t="s">
        <v>6</v>
      </c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4"/>
      <c r="AO4" s="224"/>
      <c r="AP4" s="225"/>
    </row>
    <row r="5" spans="1:43" s="57" customFormat="1" ht="23.5" customHeight="1" thickBot="1" x14ac:dyDescent="0.35">
      <c r="A5" s="164"/>
      <c r="B5" s="216"/>
      <c r="C5" s="217"/>
      <c r="D5" s="180"/>
      <c r="E5" s="218" t="s">
        <v>5</v>
      </c>
      <c r="F5" s="218"/>
      <c r="G5" s="180"/>
      <c r="H5" s="212" t="s">
        <v>36</v>
      </c>
      <c r="I5" s="212"/>
      <c r="J5" s="212"/>
      <c r="K5" s="212"/>
      <c r="L5" s="180"/>
      <c r="M5" s="212" t="s">
        <v>41</v>
      </c>
      <c r="N5" s="212"/>
      <c r="O5" s="212"/>
      <c r="P5" s="212"/>
      <c r="Q5" s="212"/>
      <c r="R5" s="180"/>
      <c r="S5" s="219" t="s">
        <v>40</v>
      </c>
      <c r="T5" s="219"/>
      <c r="U5" s="181"/>
      <c r="V5" s="213" t="s">
        <v>42</v>
      </c>
      <c r="W5" s="213"/>
      <c r="X5" s="213"/>
      <c r="Y5" s="180"/>
      <c r="Z5" s="182"/>
      <c r="AA5" s="229" t="s">
        <v>36</v>
      </c>
      <c r="AB5" s="230"/>
      <c r="AC5" s="181"/>
      <c r="AD5" s="212" t="s">
        <v>41</v>
      </c>
      <c r="AE5" s="212"/>
      <c r="AF5" s="212"/>
      <c r="AG5" s="212"/>
      <c r="AH5" s="212"/>
      <c r="AI5" s="212"/>
      <c r="AJ5" s="212"/>
      <c r="AK5" s="165"/>
      <c r="AL5" s="226" t="s">
        <v>40</v>
      </c>
      <c r="AM5" s="227"/>
      <c r="AN5" s="181"/>
      <c r="AO5" s="228" t="s">
        <v>42</v>
      </c>
      <c r="AP5" s="228"/>
      <c r="AQ5"/>
    </row>
    <row r="6" spans="1:43" s="107" customFormat="1" ht="27" customHeight="1" thickBot="1" x14ac:dyDescent="0.3">
      <c r="A6" s="106"/>
      <c r="B6" s="136"/>
      <c r="C6" s="137" t="s">
        <v>0</v>
      </c>
      <c r="D6" s="183"/>
      <c r="E6" s="137" t="s">
        <v>2</v>
      </c>
      <c r="F6" s="139" t="s">
        <v>13</v>
      </c>
      <c r="G6" s="183"/>
      <c r="H6" s="137" t="s">
        <v>1</v>
      </c>
      <c r="I6" s="140" t="s">
        <v>37</v>
      </c>
      <c r="J6" s="137" t="s">
        <v>2</v>
      </c>
      <c r="K6" s="137" t="s">
        <v>3</v>
      </c>
      <c r="L6" s="183"/>
      <c r="M6" s="137" t="s">
        <v>1</v>
      </c>
      <c r="N6" s="140" t="s">
        <v>37</v>
      </c>
      <c r="O6" s="137" t="s">
        <v>11</v>
      </c>
      <c r="P6" s="137" t="s">
        <v>43</v>
      </c>
      <c r="Q6" s="137" t="s">
        <v>3</v>
      </c>
      <c r="R6" s="183"/>
      <c r="S6" s="137" t="s">
        <v>44</v>
      </c>
      <c r="T6" s="137" t="s">
        <v>2</v>
      </c>
      <c r="U6" s="184"/>
      <c r="V6" s="137" t="s">
        <v>1</v>
      </c>
      <c r="W6" s="137" t="s">
        <v>2</v>
      </c>
      <c r="X6" s="137" t="s">
        <v>3</v>
      </c>
      <c r="Y6" s="183"/>
      <c r="Z6" s="183"/>
      <c r="AA6" s="137" t="s">
        <v>1</v>
      </c>
      <c r="AB6" s="137" t="s">
        <v>2</v>
      </c>
      <c r="AC6" s="184"/>
      <c r="AD6" s="137" t="s">
        <v>1</v>
      </c>
      <c r="AE6" s="137" t="s">
        <v>2</v>
      </c>
      <c r="AF6" s="137" t="s">
        <v>3</v>
      </c>
      <c r="AG6" s="184"/>
      <c r="AH6" s="137" t="s">
        <v>65</v>
      </c>
      <c r="AI6" s="137" t="s">
        <v>39</v>
      </c>
      <c r="AJ6" s="137" t="s">
        <v>38</v>
      </c>
      <c r="AK6" s="185"/>
      <c r="AL6" s="137" t="s">
        <v>44</v>
      </c>
      <c r="AM6" s="141" t="s">
        <v>2</v>
      </c>
      <c r="AN6" s="184"/>
      <c r="AO6" s="141" t="s">
        <v>2</v>
      </c>
      <c r="AP6" s="141" t="s">
        <v>3</v>
      </c>
    </row>
    <row r="7" spans="1:43" ht="6.5" customHeight="1" x14ac:dyDescent="0.3">
      <c r="B7" s="16"/>
      <c r="D7" s="12"/>
      <c r="E7" s="12"/>
      <c r="F7" s="117"/>
      <c r="G7" s="12"/>
      <c r="H7" s="22"/>
      <c r="I7" s="60"/>
      <c r="J7" s="12"/>
      <c r="K7" s="111"/>
      <c r="M7" s="12"/>
      <c r="N7" s="12"/>
      <c r="O7" s="12"/>
      <c r="P7" s="12"/>
      <c r="Q7" s="114"/>
      <c r="S7" s="21"/>
      <c r="T7" s="21"/>
      <c r="V7" s="24"/>
      <c r="W7" s="67"/>
      <c r="X7" s="22"/>
      <c r="AD7" s="12"/>
      <c r="AE7" s="12"/>
      <c r="AF7" s="114"/>
      <c r="AH7" s="12"/>
      <c r="AI7" s="12"/>
      <c r="AJ7" s="116"/>
      <c r="AL7" s="21"/>
      <c r="AO7" s="66"/>
    </row>
    <row r="8" spans="1:43" ht="12.75" customHeight="1" x14ac:dyDescent="0.3">
      <c r="A8" s="7" t="s">
        <v>4</v>
      </c>
      <c r="B8" s="210" t="s">
        <v>15</v>
      </c>
      <c r="C8" s="6" t="s">
        <v>8</v>
      </c>
      <c r="D8" s="7"/>
      <c r="E8" s="33">
        <v>39413.009999999995</v>
      </c>
      <c r="F8" s="123">
        <v>0.50529499999999994</v>
      </c>
      <c r="G8" s="7"/>
      <c r="H8" s="35">
        <v>78000</v>
      </c>
      <c r="I8" s="35">
        <v>42000</v>
      </c>
      <c r="J8" s="35">
        <v>43844.320000000072</v>
      </c>
      <c r="K8" s="70">
        <v>1.0439123809523827</v>
      </c>
      <c r="L8" s="36"/>
      <c r="M8" s="35">
        <v>15522</v>
      </c>
      <c r="N8" s="35">
        <v>8358</v>
      </c>
      <c r="O8" s="37">
        <v>0</v>
      </c>
      <c r="P8" s="35">
        <v>9115.9399999999914</v>
      </c>
      <c r="Q8" s="115">
        <v>1.0906843742522123</v>
      </c>
      <c r="R8" s="36"/>
      <c r="S8" s="127">
        <v>0.19900000000000001</v>
      </c>
      <c r="T8" s="127">
        <v>0.20791609950844206</v>
      </c>
      <c r="U8" s="36"/>
      <c r="V8" s="35"/>
      <c r="W8" s="38">
        <v>4.4755626270405076</v>
      </c>
      <c r="X8" s="69" t="s">
        <v>69</v>
      </c>
      <c r="Y8" s="36"/>
      <c r="Z8" s="62"/>
      <c r="AA8" s="33">
        <v>3000</v>
      </c>
      <c r="AB8" s="33">
        <v>3054.36</v>
      </c>
      <c r="AC8" s="36"/>
      <c r="AD8" s="35">
        <v>597</v>
      </c>
      <c r="AE8" s="35">
        <v>750.4899999999999</v>
      </c>
      <c r="AF8" s="115">
        <v>1.2571021775544386</v>
      </c>
      <c r="AG8" s="36"/>
      <c r="AH8" s="35">
        <v>651.1385714285708</v>
      </c>
      <c r="AI8" s="35">
        <v>16929.60285714284</v>
      </c>
      <c r="AJ8" s="115">
        <v>1.0906843742522123</v>
      </c>
      <c r="AK8" s="36"/>
      <c r="AL8" s="108">
        <v>0.19900000000000001</v>
      </c>
      <c r="AM8" s="108">
        <v>0.24571104912322053</v>
      </c>
      <c r="AN8" s="36"/>
      <c r="AO8" s="38">
        <v>7.7469584462866159</v>
      </c>
      <c r="AP8" s="70">
        <v>0</v>
      </c>
    </row>
    <row r="9" spans="1:43" ht="12.75" customHeight="1" x14ac:dyDescent="0.3">
      <c r="A9" s="7" t="s">
        <v>4</v>
      </c>
      <c r="B9" s="210"/>
      <c r="C9" s="6" t="s">
        <v>9</v>
      </c>
      <c r="D9" s="7"/>
      <c r="E9" s="33">
        <v>95718.350000000049</v>
      </c>
      <c r="F9" s="123">
        <v>0.83233347826087001</v>
      </c>
      <c r="G9" s="7"/>
      <c r="H9" s="35">
        <v>115000</v>
      </c>
      <c r="I9" s="35">
        <v>61333.333333333336</v>
      </c>
      <c r="J9" s="35">
        <v>64264.800000000636</v>
      </c>
      <c r="K9" s="70">
        <v>1.0477956521739233</v>
      </c>
      <c r="L9" s="36"/>
      <c r="M9" s="35">
        <v>23000</v>
      </c>
      <c r="N9" s="35">
        <v>12266.666666666666</v>
      </c>
      <c r="O9" s="37">
        <v>0</v>
      </c>
      <c r="P9" s="35">
        <v>14616.070000000011</v>
      </c>
      <c r="Q9" s="115">
        <v>1.1915274456521749</v>
      </c>
      <c r="R9" s="36"/>
      <c r="S9" s="127">
        <v>0.2</v>
      </c>
      <c r="T9" s="127">
        <v>0.22743508110193864</v>
      </c>
      <c r="U9" s="36"/>
      <c r="V9" s="35"/>
      <c r="W9" s="38">
        <v>7.4649108065386409</v>
      </c>
      <c r="X9" s="69" t="s">
        <v>69</v>
      </c>
      <c r="Y9" s="36"/>
      <c r="Z9" s="62"/>
      <c r="AA9" s="33">
        <v>3833.3333333333335</v>
      </c>
      <c r="AB9" s="33">
        <v>2946.0400000000004</v>
      </c>
      <c r="AC9" s="36"/>
      <c r="AD9" s="35">
        <v>766.66666666666663</v>
      </c>
      <c r="AE9" s="35">
        <v>695.7</v>
      </c>
      <c r="AF9" s="115">
        <v>0.90743478260869581</v>
      </c>
      <c r="AG9" s="36"/>
      <c r="AH9" s="35">
        <v>913.50437500000066</v>
      </c>
      <c r="AI9" s="35">
        <v>27405.13125000002</v>
      </c>
      <c r="AJ9" s="115">
        <v>1.1915274456521747</v>
      </c>
      <c r="AK9" s="36"/>
      <c r="AL9" s="108">
        <v>0.2</v>
      </c>
      <c r="AM9" s="108">
        <v>0.23614750648327923</v>
      </c>
      <c r="AN9" s="36"/>
      <c r="AO9" s="38">
        <v>8.3423850321109292</v>
      </c>
      <c r="AP9" s="70">
        <v>0</v>
      </c>
    </row>
    <row r="10" spans="1:43" ht="12.75" customHeight="1" x14ac:dyDescent="0.3">
      <c r="A10" s="7" t="s">
        <v>4</v>
      </c>
      <c r="B10" s="210"/>
      <c r="C10" s="6" t="s">
        <v>10</v>
      </c>
      <c r="D10" s="7"/>
      <c r="E10" s="33">
        <v>158516.93000000011</v>
      </c>
      <c r="F10" s="123">
        <v>0.79258465000000056</v>
      </c>
      <c r="G10" s="7"/>
      <c r="H10" s="35">
        <v>200000</v>
      </c>
      <c r="I10" s="35">
        <v>106666.66666666667</v>
      </c>
      <c r="J10" s="35">
        <v>116392.21999999924</v>
      </c>
      <c r="K10" s="70">
        <v>1.0911770624999928</v>
      </c>
      <c r="L10" s="36"/>
      <c r="M10" s="35">
        <v>38400</v>
      </c>
      <c r="N10" s="35">
        <v>20480</v>
      </c>
      <c r="O10" s="37">
        <v>0</v>
      </c>
      <c r="P10" s="35">
        <v>23444.160000000014</v>
      </c>
      <c r="Q10" s="115">
        <v>1.1447343750000007</v>
      </c>
      <c r="R10" s="36"/>
      <c r="S10" s="127">
        <v>0.192</v>
      </c>
      <c r="T10" s="127">
        <v>0.20142377213872342</v>
      </c>
      <c r="U10" s="36"/>
      <c r="V10" s="35"/>
      <c r="W10" s="38">
        <v>4.8089554439282871</v>
      </c>
      <c r="X10" s="69" t="s">
        <v>69</v>
      </c>
      <c r="Y10" s="36"/>
      <c r="Z10" s="62"/>
      <c r="AA10" s="33">
        <v>6666.666666666667</v>
      </c>
      <c r="AB10" s="33">
        <v>6015.9299999999976</v>
      </c>
      <c r="AC10" s="36"/>
      <c r="AD10" s="35">
        <v>1280</v>
      </c>
      <c r="AE10" s="35">
        <v>1378.74</v>
      </c>
      <c r="AF10" s="115">
        <v>1.077140625</v>
      </c>
      <c r="AG10" s="36"/>
      <c r="AH10" s="35">
        <v>1465.2600000000009</v>
      </c>
      <c r="AI10" s="35">
        <v>43957.800000000025</v>
      </c>
      <c r="AJ10" s="115">
        <v>1.1447343750000007</v>
      </c>
      <c r="AK10" s="36"/>
      <c r="AL10" s="108">
        <v>0.192</v>
      </c>
      <c r="AM10" s="108">
        <v>0.22918152305628567</v>
      </c>
      <c r="AN10" s="36"/>
      <c r="AO10" s="38">
        <v>7.1061332163106821</v>
      </c>
      <c r="AP10" s="70">
        <v>0</v>
      </c>
    </row>
    <row r="11" spans="1:43" ht="12.75" customHeight="1" x14ac:dyDescent="0.3">
      <c r="A11" s="7" t="s">
        <v>4</v>
      </c>
      <c r="B11" s="210"/>
      <c r="C11" s="6" t="s">
        <v>12</v>
      </c>
      <c r="D11" s="7"/>
      <c r="E11" s="33">
        <v>28249.360000000008</v>
      </c>
      <c r="F11" s="123">
        <v>0.47082266666666678</v>
      </c>
      <c r="G11" s="7"/>
      <c r="H11" s="35">
        <v>60000</v>
      </c>
      <c r="I11" s="35">
        <v>32307.692307692305</v>
      </c>
      <c r="J11" s="35">
        <v>87432.099999999977</v>
      </c>
      <c r="K11" s="70">
        <v>2.7062316666666661</v>
      </c>
      <c r="L11" s="36"/>
      <c r="M11" s="35">
        <v>8400</v>
      </c>
      <c r="N11" s="35">
        <v>4523.0769230769238</v>
      </c>
      <c r="O11" s="37">
        <v>0</v>
      </c>
      <c r="P11" s="35">
        <v>17614.32</v>
      </c>
      <c r="Q11" s="115">
        <v>3.8943224489795911</v>
      </c>
      <c r="R11" s="36"/>
      <c r="S11" s="127">
        <v>0.14000000000000001</v>
      </c>
      <c r="T11" s="127">
        <v>0.20146284945689288</v>
      </c>
      <c r="U11" s="36"/>
      <c r="V11" s="35"/>
      <c r="W11" s="38">
        <v>2.7305646324404882</v>
      </c>
      <c r="X11" s="69" t="s">
        <v>69</v>
      </c>
      <c r="Y11" s="36"/>
      <c r="Z11" s="62"/>
      <c r="AA11" s="33">
        <v>2307.6923076923076</v>
      </c>
      <c r="AB11" s="33">
        <v>4104.8900000000003</v>
      </c>
      <c r="AC11" s="36"/>
      <c r="AD11" s="35">
        <v>323.07692307692309</v>
      </c>
      <c r="AE11" s="35">
        <v>1025.8200000000002</v>
      </c>
      <c r="AF11" s="115">
        <v>3.175157142857143</v>
      </c>
      <c r="AG11" s="36"/>
      <c r="AH11" s="35">
        <v>1258.1657142857143</v>
      </c>
      <c r="AI11" s="35">
        <v>32712.308571428573</v>
      </c>
      <c r="AJ11" s="115">
        <v>3.894322448979592</v>
      </c>
      <c r="AK11" s="36"/>
      <c r="AL11" s="108">
        <v>0.14000000000000001</v>
      </c>
      <c r="AM11" s="108">
        <v>0.24990194621536754</v>
      </c>
      <c r="AN11" s="36"/>
      <c r="AO11" s="38">
        <v>9.6991636803909564</v>
      </c>
      <c r="AP11" s="70">
        <v>0</v>
      </c>
    </row>
    <row r="12" spans="1:43" s="15" customFormat="1" ht="14.25" customHeight="1" x14ac:dyDescent="0.3">
      <c r="A12" s="26"/>
      <c r="B12" s="210"/>
      <c r="C12" s="9" t="s">
        <v>50</v>
      </c>
      <c r="D12" s="26"/>
      <c r="E12" s="27">
        <v>321897.65000000014</v>
      </c>
      <c r="F12" s="124">
        <v>0.7105908388520974</v>
      </c>
      <c r="G12" s="26"/>
      <c r="H12" s="29">
        <v>453000</v>
      </c>
      <c r="I12" s="29">
        <v>242307.69230769231</v>
      </c>
      <c r="J12" s="29">
        <v>311933.43999999994</v>
      </c>
      <c r="K12" s="31">
        <v>1.2873443555555553</v>
      </c>
      <c r="L12" s="39"/>
      <c r="M12" s="29">
        <v>85322</v>
      </c>
      <c r="N12" s="29">
        <v>45627.743589743586</v>
      </c>
      <c r="O12" s="27">
        <v>0</v>
      </c>
      <c r="P12" s="29">
        <v>64790.490000000013</v>
      </c>
      <c r="Q12" s="31">
        <v>1.4199801459076298</v>
      </c>
      <c r="R12" s="39"/>
      <c r="S12" s="128">
        <v>0.18834878587196469</v>
      </c>
      <c r="T12" s="128">
        <v>0.2077061375657577</v>
      </c>
      <c r="U12" s="39"/>
      <c r="V12" s="29"/>
      <c r="W12" s="32">
        <v>4.7267231111866348</v>
      </c>
      <c r="X12" s="30" t="s">
        <v>69</v>
      </c>
      <c r="Y12" s="39"/>
      <c r="Z12" s="62"/>
      <c r="AA12" s="27">
        <v>15807.692307692309</v>
      </c>
      <c r="AB12" s="27">
        <v>16121.219999999998</v>
      </c>
      <c r="AC12" s="39"/>
      <c r="AD12" s="29">
        <v>2966.7435897435898</v>
      </c>
      <c r="AE12" s="29">
        <v>3850.7500000000005</v>
      </c>
      <c r="AF12" s="31">
        <v>1.2979719626975965</v>
      </c>
      <c r="AG12" s="39"/>
      <c r="AH12" s="29">
        <v>4288.068660714287</v>
      </c>
      <c r="AI12" s="29">
        <v>121004.84267857145</v>
      </c>
      <c r="AJ12" s="31">
        <v>1.4182138566673479</v>
      </c>
      <c r="AK12" s="39"/>
      <c r="AL12" s="80">
        <v>0.18834878587196469</v>
      </c>
      <c r="AM12" s="80">
        <v>0.23886219529291214</v>
      </c>
      <c r="AN12" s="39"/>
      <c r="AO12" s="32">
        <v>0</v>
      </c>
      <c r="AP12" s="31">
        <v>0</v>
      </c>
      <c r="AQ12" s="10"/>
    </row>
    <row r="13" spans="1:43" ht="8" customHeight="1" x14ac:dyDescent="0.3">
      <c r="B13" s="16"/>
      <c r="D13" s="34"/>
      <c r="E13" s="47"/>
      <c r="F13" s="125"/>
      <c r="G13" s="34"/>
      <c r="H13" s="48"/>
      <c r="I13" s="48"/>
      <c r="J13" s="48"/>
      <c r="K13" s="51"/>
      <c r="L13" s="34"/>
      <c r="M13" s="48"/>
      <c r="N13" s="48"/>
      <c r="O13" s="51"/>
      <c r="P13" s="48"/>
      <c r="Q13" s="47"/>
      <c r="R13" s="34"/>
      <c r="S13" s="51"/>
      <c r="T13" s="51"/>
      <c r="U13" s="34"/>
      <c r="V13" s="48"/>
      <c r="W13" s="52"/>
      <c r="X13" s="48"/>
      <c r="Y13" s="34"/>
      <c r="Z13" s="62"/>
      <c r="AA13" s="47"/>
      <c r="AB13" s="47"/>
      <c r="AC13" s="36"/>
      <c r="AD13" s="48"/>
      <c r="AE13" s="48"/>
      <c r="AF13" s="47"/>
      <c r="AG13" s="36"/>
      <c r="AH13" s="48"/>
      <c r="AI13" s="48"/>
      <c r="AJ13" s="47"/>
      <c r="AK13" s="36"/>
      <c r="AL13" s="49"/>
      <c r="AM13" s="53"/>
      <c r="AN13" s="36"/>
      <c r="AO13" s="52"/>
      <c r="AP13" s="47"/>
    </row>
    <row r="14" spans="1:43" ht="12" customHeight="1" x14ac:dyDescent="0.3">
      <c r="A14" s="7" t="s">
        <v>24</v>
      </c>
      <c r="B14" s="211" t="s">
        <v>25</v>
      </c>
      <c r="C14" s="6" t="s">
        <v>8</v>
      </c>
      <c r="D14" s="34"/>
      <c r="E14" s="33">
        <v>865084.81999999913</v>
      </c>
      <c r="F14" s="131">
        <v>1.6322355094339607</v>
      </c>
      <c r="G14" s="7"/>
      <c r="H14" s="35">
        <v>530000</v>
      </c>
      <c r="I14" s="35">
        <v>285384.61538461538</v>
      </c>
      <c r="J14" s="35">
        <v>279178.19999999786</v>
      </c>
      <c r="K14" s="70">
        <v>0.97825245283018125</v>
      </c>
      <c r="L14" s="36"/>
      <c r="M14" s="35">
        <v>54060</v>
      </c>
      <c r="N14" s="35">
        <v>29109.230769230766</v>
      </c>
      <c r="O14" s="37">
        <v>0</v>
      </c>
      <c r="P14" s="35">
        <v>31465.755149999928</v>
      </c>
      <c r="Q14" s="115">
        <v>1.0809545397970486</v>
      </c>
      <c r="R14" s="36"/>
      <c r="S14" s="127">
        <v>0.10199999999999999</v>
      </c>
      <c r="T14" s="127">
        <v>0.11270849640122391</v>
      </c>
      <c r="U14" s="36"/>
      <c r="V14" s="35"/>
      <c r="W14" s="38">
        <v>1.022427664480076</v>
      </c>
      <c r="X14" s="69" t="s">
        <v>69</v>
      </c>
      <c r="Y14" s="36"/>
      <c r="Z14" s="62"/>
      <c r="AA14" s="33">
        <v>20384.615384615383</v>
      </c>
      <c r="AB14" s="33">
        <v>19088.789999999979</v>
      </c>
      <c r="AC14" s="36"/>
      <c r="AD14" s="35">
        <v>2079.2307692307691</v>
      </c>
      <c r="AE14" s="35">
        <v>1053.708900000001</v>
      </c>
      <c r="AF14" s="115">
        <v>0.50677823529411814</v>
      </c>
      <c r="AG14" s="36"/>
      <c r="AH14" s="35">
        <v>2247.553939285709</v>
      </c>
      <c r="AI14" s="35">
        <v>58436.402421428436</v>
      </c>
      <c r="AJ14" s="115">
        <v>1.0809545397970484</v>
      </c>
      <c r="AK14" s="36"/>
      <c r="AL14" s="108">
        <v>0.10199999999999999</v>
      </c>
      <c r="AM14" s="108">
        <v>5.520040295901428E-2</v>
      </c>
      <c r="AN14" s="36"/>
      <c r="AO14" s="38">
        <v>-4.4386841701335102</v>
      </c>
      <c r="AP14" s="70">
        <v>0</v>
      </c>
    </row>
    <row r="15" spans="1:43" ht="12.75" customHeight="1" x14ac:dyDescent="0.3">
      <c r="A15" s="7" t="s">
        <v>24</v>
      </c>
      <c r="B15" s="211"/>
      <c r="C15" s="6" t="s">
        <v>9</v>
      </c>
      <c r="D15" s="34"/>
      <c r="E15" s="33">
        <v>1164438.6200000006</v>
      </c>
      <c r="F15" s="131">
        <v>1.3862364523809532</v>
      </c>
      <c r="G15" s="7"/>
      <c r="H15" s="35">
        <v>840000</v>
      </c>
      <c r="I15" s="35">
        <v>448000</v>
      </c>
      <c r="J15" s="35">
        <v>542733.35999996134</v>
      </c>
      <c r="K15" s="70">
        <v>1.2114583928570566</v>
      </c>
      <c r="L15" s="36"/>
      <c r="M15" s="35">
        <v>104160</v>
      </c>
      <c r="N15" s="35">
        <v>55552</v>
      </c>
      <c r="O15" s="37">
        <v>60.25</v>
      </c>
      <c r="P15" s="35">
        <v>72274.55000000092</v>
      </c>
      <c r="Q15" s="115">
        <v>1.3010251656106155</v>
      </c>
      <c r="R15" s="36"/>
      <c r="S15" s="127">
        <v>0.124</v>
      </c>
      <c r="T15" s="127">
        <v>0.13316769398513861</v>
      </c>
      <c r="U15" s="36"/>
      <c r="V15" s="35"/>
      <c r="W15" s="38">
        <v>3.7072642816661512</v>
      </c>
      <c r="X15" s="69" t="s">
        <v>69</v>
      </c>
      <c r="Y15" s="36"/>
      <c r="Z15" s="62"/>
      <c r="AA15" s="33">
        <v>28000</v>
      </c>
      <c r="AB15" s="33">
        <v>28353.41999999998</v>
      </c>
      <c r="AC15" s="36"/>
      <c r="AD15" s="35">
        <v>3472</v>
      </c>
      <c r="AE15" s="35">
        <v>3315.4500000000021</v>
      </c>
      <c r="AF15" s="115">
        <v>0.95491071428571483</v>
      </c>
      <c r="AG15" s="36"/>
      <c r="AH15" s="35">
        <v>4517.1593750000575</v>
      </c>
      <c r="AI15" s="35">
        <v>135514.78125000172</v>
      </c>
      <c r="AJ15" s="115">
        <v>1.3010251656106155</v>
      </c>
      <c r="AK15" s="36"/>
      <c r="AL15" s="108">
        <v>0.124</v>
      </c>
      <c r="AM15" s="108">
        <v>0.11693298374587631</v>
      </c>
      <c r="AN15" s="36"/>
      <c r="AO15" s="38">
        <v>1.6486899993016824</v>
      </c>
      <c r="AP15" s="70">
        <v>0</v>
      </c>
    </row>
    <row r="16" spans="1:43" ht="12.75" customHeight="1" x14ac:dyDescent="0.3">
      <c r="A16" s="7" t="s">
        <v>24</v>
      </c>
      <c r="B16" s="211"/>
      <c r="C16" s="6" t="s">
        <v>10</v>
      </c>
      <c r="D16" s="34"/>
      <c r="E16" s="33">
        <v>1730530.4600000009</v>
      </c>
      <c r="F16" s="131">
        <v>1.4069353333333341</v>
      </c>
      <c r="G16" s="7"/>
      <c r="H16" s="35">
        <v>1230000</v>
      </c>
      <c r="I16" s="35">
        <v>656000</v>
      </c>
      <c r="J16" s="35">
        <v>725977.7599999496</v>
      </c>
      <c r="K16" s="70">
        <v>1.1066734146340695</v>
      </c>
      <c r="L16" s="36"/>
      <c r="M16" s="35">
        <v>170891.33832238274</v>
      </c>
      <c r="N16" s="35">
        <v>91142.047105270802</v>
      </c>
      <c r="O16" s="37">
        <v>915.17</v>
      </c>
      <c r="P16" s="35">
        <v>96769.703530000173</v>
      </c>
      <c r="Q16" s="115">
        <v>1.0617459954375319</v>
      </c>
      <c r="R16" s="36"/>
      <c r="S16" s="127">
        <v>0.13893604741657134</v>
      </c>
      <c r="T16" s="127">
        <v>0.13329568598631297</v>
      </c>
      <c r="U16" s="36"/>
      <c r="V16" s="35"/>
      <c r="W16" s="38">
        <v>3.4966503009602681</v>
      </c>
      <c r="X16" s="69" t="s">
        <v>69</v>
      </c>
      <c r="Y16" s="36"/>
      <c r="Z16" s="62"/>
      <c r="AA16" s="33">
        <v>41000</v>
      </c>
      <c r="AB16" s="33">
        <v>45939.660000000025</v>
      </c>
      <c r="AC16" s="36"/>
      <c r="AD16" s="35">
        <v>5696.3779440794251</v>
      </c>
      <c r="AE16" s="35">
        <v>5010.2064</v>
      </c>
      <c r="AF16" s="115">
        <v>0.87954248281706748</v>
      </c>
      <c r="AG16" s="36"/>
      <c r="AH16" s="35">
        <v>6048.1064706250108</v>
      </c>
      <c r="AI16" s="35">
        <v>181443.19411875034</v>
      </c>
      <c r="AJ16" s="115">
        <v>1.0617459954375321</v>
      </c>
      <c r="AK16" s="36"/>
      <c r="AL16" s="108">
        <v>0.13893604741657134</v>
      </c>
      <c r="AM16" s="108">
        <v>0.10906058947758859</v>
      </c>
      <c r="AN16" s="36"/>
      <c r="AO16" s="38">
        <v>1.5495247461561417</v>
      </c>
      <c r="AP16" s="70">
        <v>0</v>
      </c>
    </row>
    <row r="17" spans="1:43" ht="12.75" customHeight="1" x14ac:dyDescent="0.3">
      <c r="A17" s="7" t="s">
        <v>24</v>
      </c>
      <c r="B17" s="211"/>
      <c r="C17" s="6" t="s">
        <v>12</v>
      </c>
      <c r="D17" s="34"/>
      <c r="E17" s="33">
        <v>56528.039999999986</v>
      </c>
      <c r="F17" s="131">
        <v>1.345905714285714</v>
      </c>
      <c r="G17" s="7"/>
      <c r="H17" s="35">
        <v>42000</v>
      </c>
      <c r="I17" s="35">
        <v>22615.384615384617</v>
      </c>
      <c r="J17" s="35">
        <v>19173.800000000025</v>
      </c>
      <c r="K17" s="70">
        <v>0.84782108843537518</v>
      </c>
      <c r="L17" s="36"/>
      <c r="M17" s="35">
        <v>5995.3598738795354</v>
      </c>
      <c r="N17" s="35">
        <v>3228.2707013197496</v>
      </c>
      <c r="O17" s="37">
        <v>500</v>
      </c>
      <c r="P17" s="35">
        <v>3395.7800000000016</v>
      </c>
      <c r="Q17" s="115">
        <v>1.0518882442577608</v>
      </c>
      <c r="R17" s="36"/>
      <c r="S17" s="127">
        <v>0.14274666366379846</v>
      </c>
      <c r="T17" s="127">
        <v>0.17710521649333971</v>
      </c>
      <c r="U17" s="36"/>
      <c r="V17" s="35"/>
      <c r="W17" s="38">
        <v>4.621149693853174</v>
      </c>
      <c r="X17" s="69" t="s">
        <v>69</v>
      </c>
      <c r="Y17" s="36"/>
      <c r="Z17" s="62"/>
      <c r="AA17" s="33">
        <v>1615.3846153846155</v>
      </c>
      <c r="AB17" s="33">
        <v>1196.6600000000005</v>
      </c>
      <c r="AC17" s="36"/>
      <c r="AD17" s="35">
        <v>230.59076437998212</v>
      </c>
      <c r="AE17" s="35">
        <v>197.95</v>
      </c>
      <c r="AF17" s="115">
        <v>0.85844721722594841</v>
      </c>
      <c r="AG17" s="36"/>
      <c r="AH17" s="35">
        <v>242.5557142857144</v>
      </c>
      <c r="AI17" s="35">
        <v>6306.4485714285747</v>
      </c>
      <c r="AJ17" s="115">
        <v>1.0518882442577608</v>
      </c>
      <c r="AK17" s="36"/>
      <c r="AL17" s="108">
        <v>0.14274666366379846</v>
      </c>
      <c r="AM17" s="108">
        <v>0.16541874885096844</v>
      </c>
      <c r="AN17" s="36"/>
      <c r="AO17" s="38">
        <v>6.4713452442632571</v>
      </c>
      <c r="AP17" s="70">
        <v>0</v>
      </c>
    </row>
    <row r="18" spans="1:43" s="15" customFormat="1" ht="14.25" customHeight="1" x14ac:dyDescent="0.3">
      <c r="A18" s="26"/>
      <c r="B18" s="211"/>
      <c r="C18" s="9" t="s">
        <v>26</v>
      </c>
      <c r="D18" s="28"/>
      <c r="E18" s="27">
        <v>3816581.9400000004</v>
      </c>
      <c r="F18" s="124">
        <v>1.4445805980317943</v>
      </c>
      <c r="G18" s="26"/>
      <c r="H18" s="29">
        <v>2642000</v>
      </c>
      <c r="I18" s="29">
        <v>1412000</v>
      </c>
      <c r="J18" s="29">
        <v>1567063.1199999088</v>
      </c>
      <c r="K18" s="31">
        <v>1.1098180736543264</v>
      </c>
      <c r="L18" s="39"/>
      <c r="M18" s="29">
        <v>335106.6981962623</v>
      </c>
      <c r="N18" s="29">
        <v>179031.5485758213</v>
      </c>
      <c r="O18" s="27">
        <v>1475.42</v>
      </c>
      <c r="P18" s="29">
        <v>203905.78868000102</v>
      </c>
      <c r="Q18" s="31">
        <v>1.1389377475760663</v>
      </c>
      <c r="R18" s="39"/>
      <c r="S18" s="128">
        <v>0.12683826578208263</v>
      </c>
      <c r="T18" s="128">
        <v>0.13011970358922931</v>
      </c>
      <c r="U18" s="39"/>
      <c r="V18" s="29"/>
      <c r="W18" s="32">
        <v>3.1425606315020906</v>
      </c>
      <c r="X18" s="30" t="s">
        <v>69</v>
      </c>
      <c r="Y18" s="39"/>
      <c r="Z18" s="62"/>
      <c r="AA18" s="27">
        <v>90999.999999999985</v>
      </c>
      <c r="AB18" s="27">
        <v>94578.53</v>
      </c>
      <c r="AC18" s="39"/>
      <c r="AD18" s="29">
        <v>11478.199477690176</v>
      </c>
      <c r="AE18" s="29">
        <v>9577.3153000000038</v>
      </c>
      <c r="AF18" s="31">
        <v>0.83439178057631236</v>
      </c>
      <c r="AG18" s="39"/>
      <c r="AH18" s="29">
        <v>13055.375499196492</v>
      </c>
      <c r="AI18" s="29">
        <v>381700.8263616091</v>
      </c>
      <c r="AJ18" s="31">
        <v>1.1390426643697165</v>
      </c>
      <c r="AK18" s="39"/>
      <c r="AL18" s="80">
        <v>0.12683826578208263</v>
      </c>
      <c r="AM18" s="80">
        <v>0.10126310167857339</v>
      </c>
      <c r="AN18" s="39"/>
      <c r="AO18" s="32">
        <v>0</v>
      </c>
      <c r="AP18" s="31">
        <v>0</v>
      </c>
      <c r="AQ18" s="10"/>
    </row>
    <row r="19" spans="1:43" ht="8" customHeight="1" x14ac:dyDescent="0.3">
      <c r="B19" s="16"/>
      <c r="D19" s="34"/>
      <c r="E19" s="47"/>
      <c r="F19" s="125"/>
      <c r="G19" s="34"/>
      <c r="H19" s="48"/>
      <c r="I19" s="48"/>
      <c r="J19" s="48"/>
      <c r="K19" s="51"/>
      <c r="L19" s="34"/>
      <c r="M19" s="48"/>
      <c r="N19" s="48"/>
      <c r="O19" s="51"/>
      <c r="P19" s="48"/>
      <c r="Q19" s="47"/>
      <c r="R19" s="34"/>
      <c r="S19" s="51"/>
      <c r="T19" s="51"/>
      <c r="U19" s="34"/>
      <c r="V19" s="48"/>
      <c r="W19" s="52"/>
      <c r="X19" s="48"/>
      <c r="Y19" s="34"/>
      <c r="Z19" s="62"/>
      <c r="AA19" s="47"/>
      <c r="AB19" s="47"/>
      <c r="AC19" s="36"/>
      <c r="AD19" s="48"/>
      <c r="AE19" s="48"/>
      <c r="AF19" s="47"/>
      <c r="AG19" s="36"/>
      <c r="AH19" s="48"/>
      <c r="AI19" s="48"/>
      <c r="AJ19" s="47"/>
      <c r="AK19" s="36"/>
      <c r="AL19" s="49"/>
      <c r="AM19" s="53"/>
      <c r="AN19" s="36"/>
      <c r="AO19" s="52"/>
      <c r="AP19" s="47"/>
    </row>
    <row r="20" spans="1:43" ht="12" customHeight="1" x14ac:dyDescent="0.3">
      <c r="A20" s="7" t="s">
        <v>14</v>
      </c>
      <c r="B20" s="211" t="s">
        <v>33</v>
      </c>
      <c r="C20" s="6" t="s">
        <v>8</v>
      </c>
      <c r="D20" s="34"/>
      <c r="E20" s="33">
        <v>82585</v>
      </c>
      <c r="F20" s="123">
        <v>0.47191428571428573</v>
      </c>
      <c r="G20" s="7"/>
      <c r="H20" s="35">
        <v>175000</v>
      </c>
      <c r="I20" s="35">
        <v>94230.76923076922</v>
      </c>
      <c r="J20" s="35">
        <v>105034.28000000016</v>
      </c>
      <c r="K20" s="70">
        <v>1.1146495020408183</v>
      </c>
      <c r="L20" s="36"/>
      <c r="M20" s="35">
        <v>31586.694747374659</v>
      </c>
      <c r="N20" s="35">
        <v>17008.220248586356</v>
      </c>
      <c r="O20" s="37">
        <v>0</v>
      </c>
      <c r="P20" s="35">
        <v>14420.664690000014</v>
      </c>
      <c r="Q20" s="115">
        <v>0.84786441375008603</v>
      </c>
      <c r="R20" s="36"/>
      <c r="S20" s="127">
        <v>0.18049539855642663</v>
      </c>
      <c r="T20" s="127">
        <v>0.13729484021787927</v>
      </c>
      <c r="U20" s="36"/>
      <c r="V20" s="35"/>
      <c r="W20" s="38">
        <v>-2.6186263284708544</v>
      </c>
      <c r="X20" s="69" t="s">
        <v>69</v>
      </c>
      <c r="Y20" s="36"/>
      <c r="Z20" s="62"/>
      <c r="AA20" s="33">
        <v>6730.7692307692305</v>
      </c>
      <c r="AB20" s="33">
        <v>5235.6499999999978</v>
      </c>
      <c r="AC20" s="36"/>
      <c r="AD20" s="35">
        <v>1214.8728748990254</v>
      </c>
      <c r="AE20" s="35">
        <v>927.09152999999992</v>
      </c>
      <c r="AF20" s="115">
        <v>0.76311814112818632</v>
      </c>
      <c r="AG20" s="36"/>
      <c r="AH20" s="35">
        <v>1030.0474778571438</v>
      </c>
      <c r="AI20" s="35">
        <v>26781.23442428574</v>
      </c>
      <c r="AJ20" s="115">
        <v>0.84786441375008614</v>
      </c>
      <c r="AK20" s="36"/>
      <c r="AL20" s="108">
        <v>0.18049539855642663</v>
      </c>
      <c r="AM20" s="108">
        <v>0.17707286201331263</v>
      </c>
      <c r="AN20" s="36"/>
      <c r="AO20" s="38">
        <v>1.9315945489098196</v>
      </c>
      <c r="AP20" s="70">
        <v>0</v>
      </c>
    </row>
    <row r="21" spans="1:43" ht="12.75" customHeight="1" x14ac:dyDescent="0.3">
      <c r="A21" s="7" t="s">
        <v>14</v>
      </c>
      <c r="B21" s="211"/>
      <c r="C21" s="6" t="s">
        <v>9</v>
      </c>
      <c r="D21" s="34"/>
      <c r="E21" s="33">
        <v>84010.290000000008</v>
      </c>
      <c r="F21" s="123">
        <v>0.48843191860465118</v>
      </c>
      <c r="G21" s="7"/>
      <c r="H21" s="35">
        <v>172000</v>
      </c>
      <c r="I21" s="35">
        <v>91733.333333333328</v>
      </c>
      <c r="J21" s="35">
        <v>82389.350000000806</v>
      </c>
      <c r="K21" s="70">
        <v>0.89813971656977631</v>
      </c>
      <c r="L21" s="36"/>
      <c r="M21" s="35">
        <v>41280</v>
      </c>
      <c r="N21" s="35">
        <v>22016</v>
      </c>
      <c r="O21" s="37">
        <v>0</v>
      </c>
      <c r="P21" s="35">
        <v>15486.460000000039</v>
      </c>
      <c r="Q21" s="115">
        <v>0.70341842296511803</v>
      </c>
      <c r="R21" s="36"/>
      <c r="S21" s="127">
        <v>0.24</v>
      </c>
      <c r="T21" s="127">
        <v>0.18796676997694348</v>
      </c>
      <c r="U21" s="36"/>
      <c r="V21" s="35"/>
      <c r="W21" s="38">
        <v>2.9519349284834595</v>
      </c>
      <c r="X21" s="69" t="s">
        <v>69</v>
      </c>
      <c r="Y21" s="36"/>
      <c r="Z21" s="62"/>
      <c r="AA21" s="33">
        <v>5733.333333333333</v>
      </c>
      <c r="AB21" s="33">
        <v>3654.5499999999965</v>
      </c>
      <c r="AC21" s="36"/>
      <c r="AD21" s="35">
        <v>1376</v>
      </c>
      <c r="AE21" s="35">
        <v>860.86999999999989</v>
      </c>
      <c r="AF21" s="115">
        <v>0.6256322674418604</v>
      </c>
      <c r="AG21" s="36"/>
      <c r="AH21" s="35">
        <v>967.90375000000245</v>
      </c>
      <c r="AI21" s="35">
        <v>29037.112500000072</v>
      </c>
      <c r="AJ21" s="115">
        <v>0.70341842296511803</v>
      </c>
      <c r="AK21" s="36"/>
      <c r="AL21" s="108">
        <v>0.24</v>
      </c>
      <c r="AM21" s="108">
        <v>0.23556114979956511</v>
      </c>
      <c r="AN21" s="36"/>
      <c r="AO21" s="38">
        <v>7.9645920838406532</v>
      </c>
      <c r="AP21" s="70">
        <v>0</v>
      </c>
    </row>
    <row r="22" spans="1:43" ht="12.75" customHeight="1" x14ac:dyDescent="0.3">
      <c r="A22" s="7" t="s">
        <v>14</v>
      </c>
      <c r="B22" s="211"/>
      <c r="C22" s="6" t="s">
        <v>10</v>
      </c>
      <c r="D22" s="34"/>
      <c r="E22" s="33">
        <v>158885.86999999994</v>
      </c>
      <c r="F22" s="123">
        <v>0.56744953571428547</v>
      </c>
      <c r="G22" s="7"/>
      <c r="H22" s="35">
        <v>280000</v>
      </c>
      <c r="I22" s="35">
        <v>149333.33333333334</v>
      </c>
      <c r="J22" s="35">
        <v>155985.13999999894</v>
      </c>
      <c r="K22" s="70">
        <v>1.0445433482142785</v>
      </c>
      <c r="L22" s="36"/>
      <c r="M22" s="35">
        <v>68733.380989284502</v>
      </c>
      <c r="N22" s="35">
        <v>36657.803194285065</v>
      </c>
      <c r="O22" s="37">
        <v>0</v>
      </c>
      <c r="P22" s="35">
        <v>36359.343569999968</v>
      </c>
      <c r="Q22" s="115">
        <v>0.99185822394475542</v>
      </c>
      <c r="R22" s="36"/>
      <c r="S22" s="127">
        <v>0.24547636067601608</v>
      </c>
      <c r="T22" s="127">
        <v>0.23309491897753989</v>
      </c>
      <c r="U22" s="36"/>
      <c r="V22" s="35"/>
      <c r="W22" s="38">
        <v>7.5020053640998894</v>
      </c>
      <c r="X22" s="69" t="s">
        <v>69</v>
      </c>
      <c r="Y22" s="36"/>
      <c r="Z22" s="62"/>
      <c r="AA22" s="33">
        <v>9333.3333333333339</v>
      </c>
      <c r="AB22" s="33">
        <v>6886.0999999999913</v>
      </c>
      <c r="AC22" s="36"/>
      <c r="AD22" s="35">
        <v>2291.1126996428166</v>
      </c>
      <c r="AE22" s="35">
        <v>1916.4201999999998</v>
      </c>
      <c r="AF22" s="115">
        <v>0.83645828522480314</v>
      </c>
      <c r="AG22" s="36"/>
      <c r="AH22" s="35">
        <v>2272.458973124998</v>
      </c>
      <c r="AI22" s="35">
        <v>68173.769193749933</v>
      </c>
      <c r="AJ22" s="115">
        <v>0.99185822394475531</v>
      </c>
      <c r="AK22" s="36"/>
      <c r="AL22" s="108">
        <v>0.24547636067601608</v>
      </c>
      <c r="AM22" s="108">
        <v>0.27830269673690511</v>
      </c>
      <c r="AN22" s="36"/>
      <c r="AO22" s="38">
        <v>12.303338609662811</v>
      </c>
      <c r="AP22" s="70">
        <v>0</v>
      </c>
    </row>
    <row r="23" spans="1:43" ht="12.75" customHeight="1" x14ac:dyDescent="0.3">
      <c r="A23" s="7" t="s">
        <v>14</v>
      </c>
      <c r="B23" s="211"/>
      <c r="C23" s="6" t="s">
        <v>12</v>
      </c>
      <c r="D23" s="34"/>
      <c r="E23" s="33">
        <v>65316.649999999994</v>
      </c>
      <c r="F23" s="123">
        <v>7.2574055555555544E-2</v>
      </c>
      <c r="G23" s="7"/>
      <c r="H23" s="35">
        <v>900000</v>
      </c>
      <c r="I23" s="35">
        <v>484615.38461538462</v>
      </c>
      <c r="J23" s="35">
        <v>563065.71</v>
      </c>
      <c r="K23" s="70">
        <v>1.1618816238095238</v>
      </c>
      <c r="L23" s="36"/>
      <c r="M23" s="35">
        <v>230888.65095804792</v>
      </c>
      <c r="N23" s="35">
        <v>124324.65820817964</v>
      </c>
      <c r="O23" s="37">
        <v>16939.95</v>
      </c>
      <c r="P23" s="35">
        <v>86515.159999999989</v>
      </c>
      <c r="Q23" s="115">
        <v>0.69588093984647637</v>
      </c>
      <c r="R23" s="36"/>
      <c r="S23" s="127">
        <v>0.25654294550894213</v>
      </c>
      <c r="T23" s="127">
        <v>0.15365020185654707</v>
      </c>
      <c r="U23" s="36"/>
      <c r="V23" s="35"/>
      <c r="W23" s="38">
        <v>-3.8519447401619131</v>
      </c>
      <c r="X23" s="69" t="s">
        <v>69</v>
      </c>
      <c r="Y23" s="36"/>
      <c r="Z23" s="62"/>
      <c r="AA23" s="33">
        <v>34615.384615384617</v>
      </c>
      <c r="AB23" s="33">
        <v>26422.16</v>
      </c>
      <c r="AC23" s="36"/>
      <c r="AD23" s="35">
        <v>8880.3327291556889</v>
      </c>
      <c r="AE23" s="35">
        <v>3357.9899999999989</v>
      </c>
      <c r="AF23" s="115">
        <v>0.3781378583907255</v>
      </c>
      <c r="AG23" s="36"/>
      <c r="AH23" s="35">
        <v>6179.6542857142849</v>
      </c>
      <c r="AI23" s="35">
        <v>160671.01142857142</v>
      </c>
      <c r="AJ23" s="115">
        <v>0.69588093984647637</v>
      </c>
      <c r="AK23" s="36"/>
      <c r="AL23" s="108">
        <v>0.25654294550894213</v>
      </c>
      <c r="AM23" s="108">
        <v>0.12708991240685844</v>
      </c>
      <c r="AN23" s="36"/>
      <c r="AO23" s="38">
        <v>-1.9052567995954905</v>
      </c>
      <c r="AP23" s="70">
        <v>0</v>
      </c>
    </row>
    <row r="24" spans="1:43" s="15" customFormat="1" ht="14.25" customHeight="1" x14ac:dyDescent="0.3">
      <c r="A24" s="26"/>
      <c r="B24" s="211"/>
      <c r="C24" s="9" t="s">
        <v>34</v>
      </c>
      <c r="D24" s="28"/>
      <c r="E24" s="27">
        <v>390797.80999999994</v>
      </c>
      <c r="F24" s="124">
        <v>0.25592521938441387</v>
      </c>
      <c r="G24" s="26"/>
      <c r="H24" s="29">
        <v>1527000</v>
      </c>
      <c r="I24" s="29">
        <v>819912.8205128205</v>
      </c>
      <c r="J24" s="29">
        <v>906474.47999999986</v>
      </c>
      <c r="K24" s="31">
        <v>1.1055742236510446</v>
      </c>
      <c r="L24" s="39"/>
      <c r="M24" s="29">
        <v>372488.72669470706</v>
      </c>
      <c r="N24" s="29">
        <v>200006.68165105104</v>
      </c>
      <c r="O24" s="27">
        <v>16939.95</v>
      </c>
      <c r="P24" s="29">
        <v>152781.62826000003</v>
      </c>
      <c r="Q24" s="31">
        <v>0.76388262131440221</v>
      </c>
      <c r="R24" s="39"/>
      <c r="S24" s="128">
        <v>0.24393498801225086</v>
      </c>
      <c r="T24" s="128">
        <v>0.16854487537255328</v>
      </c>
      <c r="U24" s="39"/>
      <c r="V24" s="29"/>
      <c r="W24" s="32">
        <v>-1.1368595550534393</v>
      </c>
      <c r="X24" s="30" t="s">
        <v>69</v>
      </c>
      <c r="Y24" s="39"/>
      <c r="Z24" s="62"/>
      <c r="AA24" s="27">
        <v>56412.820512820515</v>
      </c>
      <c r="AB24" s="27">
        <v>42198.459999999985</v>
      </c>
      <c r="AC24" s="39"/>
      <c r="AD24" s="29">
        <v>13762.318303697532</v>
      </c>
      <c r="AE24" s="29">
        <v>7062.3717299999989</v>
      </c>
      <c r="AF24" s="31">
        <v>0.51316730031614999</v>
      </c>
      <c r="AG24" s="39"/>
      <c r="AH24" s="29">
        <v>10450.064486696429</v>
      </c>
      <c r="AI24" s="29">
        <v>284663.12754660717</v>
      </c>
      <c r="AJ24" s="31">
        <v>0.7642194438274047</v>
      </c>
      <c r="AK24" s="39"/>
      <c r="AL24" s="80">
        <v>0.24393498801225086</v>
      </c>
      <c r="AM24" s="80">
        <v>0.16736088781438946</v>
      </c>
      <c r="AN24" s="39"/>
      <c r="AO24" s="32">
        <v>0</v>
      </c>
      <c r="AP24" s="31">
        <v>0</v>
      </c>
      <c r="AQ24" s="10"/>
    </row>
    <row r="25" spans="1:43" ht="8" customHeight="1" x14ac:dyDescent="0.3">
      <c r="B25" s="16"/>
      <c r="D25" s="34"/>
      <c r="E25" s="47"/>
      <c r="F25" s="125"/>
      <c r="G25" s="34"/>
      <c r="H25" s="48"/>
      <c r="I25" s="48"/>
      <c r="J25" s="48"/>
      <c r="K25" s="51"/>
      <c r="L25" s="34"/>
      <c r="M25" s="48"/>
      <c r="N25" s="48"/>
      <c r="O25" s="51"/>
      <c r="P25" s="48"/>
      <c r="Q25" s="47"/>
      <c r="R25" s="34"/>
      <c r="S25" s="51"/>
      <c r="T25" s="51"/>
      <c r="U25" s="34"/>
      <c r="V25" s="48"/>
      <c r="W25" s="52"/>
      <c r="X25" s="48"/>
      <c r="Y25" s="34"/>
      <c r="Z25" s="62"/>
      <c r="AA25" s="47"/>
      <c r="AB25" s="47"/>
      <c r="AC25" s="36"/>
      <c r="AD25" s="48"/>
      <c r="AE25" s="48"/>
      <c r="AF25" s="47"/>
      <c r="AG25" s="36"/>
      <c r="AH25" s="48"/>
      <c r="AI25" s="48"/>
      <c r="AJ25" s="47"/>
      <c r="AK25" s="36"/>
      <c r="AL25" s="49"/>
      <c r="AM25" s="53"/>
      <c r="AN25" s="36"/>
      <c r="AO25" s="52"/>
      <c r="AP25" s="47"/>
    </row>
    <row r="26" spans="1:43" ht="12.75" customHeight="1" x14ac:dyDescent="0.3">
      <c r="A26" s="7" t="s">
        <v>18</v>
      </c>
      <c r="B26" s="211" t="s">
        <v>53</v>
      </c>
      <c r="C26" s="6" t="s">
        <v>8</v>
      </c>
      <c r="D26" s="34"/>
      <c r="E26" s="33">
        <v>198980.61</v>
      </c>
      <c r="F26" s="123">
        <v>0.60297154545454545</v>
      </c>
      <c r="G26" s="7"/>
      <c r="H26" s="35">
        <v>330000</v>
      </c>
      <c r="I26" s="35">
        <v>177692.30769230769</v>
      </c>
      <c r="J26" s="35">
        <v>193590.52999999854</v>
      </c>
      <c r="K26" s="70">
        <v>1.0894705151515069</v>
      </c>
      <c r="L26" s="36"/>
      <c r="M26" s="35">
        <v>45867.685825971581</v>
      </c>
      <c r="N26" s="35">
        <v>24697.984675523159</v>
      </c>
      <c r="O26" s="37">
        <v>0</v>
      </c>
      <c r="P26" s="35">
        <v>20048.17049999996</v>
      </c>
      <c r="Q26" s="115">
        <v>0.81173305285384767</v>
      </c>
      <c r="R26" s="36"/>
      <c r="S26" s="127">
        <v>0.13899298735142904</v>
      </c>
      <c r="T26" s="127">
        <v>0.10355966534106865</v>
      </c>
      <c r="U26" s="36"/>
      <c r="V26" s="35"/>
      <c r="W26" s="38">
        <v>-3.9046638799951157</v>
      </c>
      <c r="X26" s="69" t="s">
        <v>69</v>
      </c>
      <c r="Y26" s="36"/>
      <c r="Z26" s="62"/>
      <c r="AA26" s="33">
        <v>12692.307692307691</v>
      </c>
      <c r="AB26" s="33">
        <v>6986.9799999999932</v>
      </c>
      <c r="AC26" s="36"/>
      <c r="AD26" s="35">
        <v>1764.1417625373685</v>
      </c>
      <c r="AE26" s="35">
        <v>1074.4497499999998</v>
      </c>
      <c r="AF26" s="115">
        <v>0.60904955192184584</v>
      </c>
      <c r="AG26" s="36"/>
      <c r="AH26" s="35">
        <v>1432.0121785714257</v>
      </c>
      <c r="AI26" s="35">
        <v>37232.316642857069</v>
      </c>
      <c r="AJ26" s="115">
        <v>0.81173305285384767</v>
      </c>
      <c r="AK26" s="36"/>
      <c r="AL26" s="108">
        <v>0.13899298735142904</v>
      </c>
      <c r="AM26" s="108">
        <v>0.15377885008973846</v>
      </c>
      <c r="AN26" s="36"/>
      <c r="AO26" s="38">
        <v>1.5659090193472964</v>
      </c>
      <c r="AP26" s="70">
        <v>0</v>
      </c>
    </row>
    <row r="27" spans="1:43" ht="12.75" customHeight="1" x14ac:dyDescent="0.3">
      <c r="A27" s="7" t="s">
        <v>18</v>
      </c>
      <c r="B27" s="211"/>
      <c r="C27" s="6" t="s">
        <v>9</v>
      </c>
      <c r="D27" s="34"/>
      <c r="E27" s="33">
        <v>179134.03000000009</v>
      </c>
      <c r="F27" s="123">
        <v>0.61770355172413827</v>
      </c>
      <c r="G27" s="7"/>
      <c r="H27" s="35">
        <v>290000</v>
      </c>
      <c r="I27" s="35">
        <v>154666.66666666666</v>
      </c>
      <c r="J27" s="35">
        <v>137735.37000000177</v>
      </c>
      <c r="K27" s="70">
        <v>0.89053040948277018</v>
      </c>
      <c r="L27" s="36"/>
      <c r="M27" s="35">
        <v>49010</v>
      </c>
      <c r="N27" s="35">
        <v>26138.666666666668</v>
      </c>
      <c r="O27" s="37">
        <v>0</v>
      </c>
      <c r="P27" s="35">
        <v>22322.699999999837</v>
      </c>
      <c r="Q27" s="115">
        <v>0.85401066108956725</v>
      </c>
      <c r="R27" s="36"/>
      <c r="S27" s="127">
        <v>0.16900000000000001</v>
      </c>
      <c r="T27" s="127">
        <v>0.16206948149919334</v>
      </c>
      <c r="U27" s="36"/>
      <c r="V27" s="35"/>
      <c r="W27" s="38">
        <v>2.5860750219802728</v>
      </c>
      <c r="X27" s="69" t="s">
        <v>69</v>
      </c>
      <c r="Y27" s="36"/>
      <c r="Z27" s="62"/>
      <c r="AA27" s="33">
        <v>9666.6666666666661</v>
      </c>
      <c r="AB27" s="33">
        <v>7776.9799999999632</v>
      </c>
      <c r="AC27" s="36"/>
      <c r="AD27" s="35">
        <v>1633.6666666666667</v>
      </c>
      <c r="AE27" s="35">
        <v>1297.9299999999989</v>
      </c>
      <c r="AF27" s="115">
        <v>0.79448887982044414</v>
      </c>
      <c r="AG27" s="36"/>
      <c r="AH27" s="35">
        <v>1395.1687499999898</v>
      </c>
      <c r="AI27" s="35">
        <v>41855.062499999694</v>
      </c>
      <c r="AJ27" s="115">
        <v>0.85401066108956736</v>
      </c>
      <c r="AK27" s="36"/>
      <c r="AL27" s="108">
        <v>0.16900000000000001</v>
      </c>
      <c r="AM27" s="108">
        <v>0.16689383282456752</v>
      </c>
      <c r="AN27" s="36"/>
      <c r="AO27" s="38">
        <v>2.9434304832977003</v>
      </c>
      <c r="AP27" s="70">
        <v>0</v>
      </c>
    </row>
    <row r="28" spans="1:43" ht="12.75" customHeight="1" x14ac:dyDescent="0.3">
      <c r="A28" s="7" t="s">
        <v>18</v>
      </c>
      <c r="B28" s="211"/>
      <c r="C28" s="6" t="s">
        <v>10</v>
      </c>
      <c r="D28" s="34"/>
      <c r="E28" s="33">
        <v>435459.37</v>
      </c>
      <c r="F28" s="123">
        <v>1.0368080238095239</v>
      </c>
      <c r="G28" s="7"/>
      <c r="H28" s="35">
        <v>420000</v>
      </c>
      <c r="I28" s="35">
        <v>224000</v>
      </c>
      <c r="J28" s="35">
        <v>228046.80999999546</v>
      </c>
      <c r="K28" s="70">
        <v>1.0180661160714084</v>
      </c>
      <c r="L28" s="36"/>
      <c r="M28" s="35">
        <v>79380</v>
      </c>
      <c r="N28" s="35">
        <v>42336</v>
      </c>
      <c r="O28" s="37">
        <v>459</v>
      </c>
      <c r="P28" s="35">
        <v>38157.392689999702</v>
      </c>
      <c r="Q28" s="115">
        <v>0.90129895809712068</v>
      </c>
      <c r="R28" s="36"/>
      <c r="S28" s="127">
        <v>0.189</v>
      </c>
      <c r="T28" s="127">
        <v>0.16732263297171515</v>
      </c>
      <c r="U28" s="36"/>
      <c r="V28" s="35"/>
      <c r="W28" s="38">
        <v>2.6946584738443002</v>
      </c>
      <c r="X28" s="69" t="s">
        <v>69</v>
      </c>
      <c r="Y28" s="36"/>
      <c r="Z28" s="62"/>
      <c r="AA28" s="33">
        <v>14000</v>
      </c>
      <c r="AB28" s="33">
        <v>15149.629999999972</v>
      </c>
      <c r="AC28" s="36"/>
      <c r="AD28" s="35">
        <v>2646</v>
      </c>
      <c r="AE28" s="35">
        <v>1745.122699999999</v>
      </c>
      <c r="AF28" s="115">
        <v>0.65953238851095952</v>
      </c>
      <c r="AG28" s="36"/>
      <c r="AH28" s="35">
        <v>2384.8370431249814</v>
      </c>
      <c r="AI28" s="35">
        <v>71545.111293749447</v>
      </c>
      <c r="AJ28" s="115">
        <v>0.90129895809712079</v>
      </c>
      <c r="AK28" s="36"/>
      <c r="AL28" s="108">
        <v>0.189</v>
      </c>
      <c r="AM28" s="108">
        <v>0.11519243044219576</v>
      </c>
      <c r="AN28" s="36"/>
      <c r="AO28" s="38">
        <v>-2.4516592154397041</v>
      </c>
      <c r="AP28" s="70">
        <v>0</v>
      </c>
    </row>
    <row r="29" spans="1:43" ht="12.75" customHeight="1" x14ac:dyDescent="0.3">
      <c r="A29" s="7" t="s">
        <v>18</v>
      </c>
      <c r="B29" s="211"/>
      <c r="C29" s="6" t="s">
        <v>12</v>
      </c>
      <c r="D29" s="34"/>
      <c r="E29" s="33">
        <v>28510.029999999988</v>
      </c>
      <c r="F29" s="123">
        <v>5.3792509433962243E-2</v>
      </c>
      <c r="G29" s="7"/>
      <c r="H29" s="35">
        <v>530000</v>
      </c>
      <c r="I29" s="35">
        <v>285384.61538461538</v>
      </c>
      <c r="J29" s="35">
        <v>322114.12999999954</v>
      </c>
      <c r="K29" s="70">
        <v>1.1287018032344998</v>
      </c>
      <c r="L29" s="36"/>
      <c r="M29" s="35">
        <v>116600</v>
      </c>
      <c r="N29" s="35">
        <v>62784.61538461539</v>
      </c>
      <c r="O29" s="37">
        <v>0</v>
      </c>
      <c r="P29" s="35">
        <v>54149.770000000026</v>
      </c>
      <c r="Q29" s="115">
        <v>0.8624687699093363</v>
      </c>
      <c r="R29" s="36"/>
      <c r="S29" s="127">
        <v>0.22</v>
      </c>
      <c r="T29" s="127">
        <v>0.16810740342250774</v>
      </c>
      <c r="U29" s="36"/>
      <c r="V29" s="35"/>
      <c r="W29" s="38">
        <v>2.7623718338588859</v>
      </c>
      <c r="X29" s="69" t="s">
        <v>69</v>
      </c>
      <c r="Y29" s="36"/>
      <c r="Z29" s="62"/>
      <c r="AA29" s="33">
        <v>20384.615384615383</v>
      </c>
      <c r="AB29" s="33">
        <v>812.06000000000017</v>
      </c>
      <c r="AC29" s="36"/>
      <c r="AD29" s="35">
        <v>4484.6153846153848</v>
      </c>
      <c r="AE29" s="35">
        <v>180.21000000000004</v>
      </c>
      <c r="AF29" s="115">
        <v>4.0184048027444262E-2</v>
      </c>
      <c r="AG29" s="36"/>
      <c r="AH29" s="35">
        <v>3867.8407142857163</v>
      </c>
      <c r="AI29" s="35">
        <v>100563.85857142863</v>
      </c>
      <c r="AJ29" s="115">
        <v>0.86246876990933641</v>
      </c>
      <c r="AK29" s="36"/>
      <c r="AL29" s="108">
        <v>0.22</v>
      </c>
      <c r="AM29" s="108">
        <v>0.22191709972169543</v>
      </c>
      <c r="AN29" s="36"/>
      <c r="AO29" s="38">
        <v>7.759278871019422</v>
      </c>
      <c r="AP29" s="70">
        <v>0</v>
      </c>
    </row>
    <row r="30" spans="1:43" s="15" customFormat="1" ht="14.25" customHeight="1" x14ac:dyDescent="0.3">
      <c r="A30" s="26"/>
      <c r="B30" s="211"/>
      <c r="C30" s="9" t="s">
        <v>54</v>
      </c>
      <c r="D30" s="28"/>
      <c r="E30" s="27">
        <v>842084.04</v>
      </c>
      <c r="F30" s="124">
        <v>0.53635926114649679</v>
      </c>
      <c r="G30" s="26"/>
      <c r="H30" s="29">
        <v>1570000</v>
      </c>
      <c r="I30" s="29">
        <v>841743.58974358975</v>
      </c>
      <c r="J30" s="29">
        <v>881486.83999999531</v>
      </c>
      <c r="K30" s="31">
        <v>1.0472153880833379</v>
      </c>
      <c r="L30" s="39"/>
      <c r="M30" s="29">
        <v>290857.6858259716</v>
      </c>
      <c r="N30" s="29">
        <v>155957.26672680522</v>
      </c>
      <c r="O30" s="27">
        <v>459</v>
      </c>
      <c r="P30" s="29">
        <v>134678.03318999952</v>
      </c>
      <c r="Q30" s="31">
        <v>0.86355728089232842</v>
      </c>
      <c r="R30" s="39"/>
      <c r="S30" s="128">
        <v>0.18525967250061884</v>
      </c>
      <c r="T30" s="128">
        <v>0.1527850752598873</v>
      </c>
      <c r="U30" s="39"/>
      <c r="V30" s="29"/>
      <c r="W30" s="32">
        <v>1.2531047190673015</v>
      </c>
      <c r="X30" s="30" t="s">
        <v>69</v>
      </c>
      <c r="Y30" s="39"/>
      <c r="Z30" s="62"/>
      <c r="AA30" s="27">
        <v>56743.589743589742</v>
      </c>
      <c r="AB30" s="27">
        <v>30725.649999999929</v>
      </c>
      <c r="AC30" s="39"/>
      <c r="AD30" s="29">
        <v>10528.42381381942</v>
      </c>
      <c r="AE30" s="29">
        <v>4297.7124499999982</v>
      </c>
      <c r="AF30" s="31">
        <v>0.40820093548655384</v>
      </c>
      <c r="AG30" s="39"/>
      <c r="AH30" s="29">
        <v>9079.8586859821135</v>
      </c>
      <c r="AI30" s="29">
        <v>251196.34900803486</v>
      </c>
      <c r="AJ30" s="31">
        <v>0.86364005920865627</v>
      </c>
      <c r="AK30" s="39"/>
      <c r="AL30" s="80">
        <v>0.18525967250061884</v>
      </c>
      <c r="AM30" s="80">
        <v>0.1398737683336238</v>
      </c>
      <c r="AN30" s="39"/>
      <c r="AO30" s="32">
        <v>0</v>
      </c>
      <c r="AP30" s="31">
        <v>0</v>
      </c>
      <c r="AQ30" s="10"/>
    </row>
    <row r="31" spans="1:43" ht="8" customHeight="1" x14ac:dyDescent="0.3">
      <c r="B31" s="16"/>
      <c r="D31" s="34"/>
      <c r="E31" s="47"/>
      <c r="F31" s="125"/>
      <c r="G31" s="34"/>
      <c r="H31" s="48"/>
      <c r="I31" s="48"/>
      <c r="J31" s="48"/>
      <c r="K31" s="51"/>
      <c r="L31" s="34"/>
      <c r="M31" s="48"/>
      <c r="N31" s="48"/>
      <c r="O31" s="51"/>
      <c r="P31" s="48"/>
      <c r="Q31" s="47"/>
      <c r="R31" s="34"/>
      <c r="S31" s="51"/>
      <c r="T31" s="51"/>
      <c r="U31" s="34"/>
      <c r="V31" s="48"/>
      <c r="W31" s="52"/>
      <c r="X31" s="48"/>
      <c r="Y31" s="34"/>
      <c r="Z31" s="62"/>
      <c r="AA31" s="47"/>
      <c r="AB31" s="47"/>
      <c r="AC31" s="36"/>
      <c r="AD31" s="48"/>
      <c r="AE31" s="48"/>
      <c r="AF31" s="47"/>
      <c r="AG31" s="36"/>
      <c r="AH31" s="48"/>
      <c r="AI31" s="48"/>
      <c r="AJ31" s="47"/>
      <c r="AK31" s="36"/>
      <c r="AL31" s="49"/>
      <c r="AM31" s="53"/>
      <c r="AN31" s="36"/>
      <c r="AO31" s="52"/>
      <c r="AP31" s="47"/>
    </row>
    <row r="32" spans="1:43" ht="12.75" customHeight="1" x14ac:dyDescent="0.3">
      <c r="A32" s="7" t="s">
        <v>16</v>
      </c>
      <c r="B32" s="211" t="s">
        <v>57</v>
      </c>
      <c r="C32" s="6" t="s">
        <v>8</v>
      </c>
      <c r="D32" s="34"/>
      <c r="E32" s="33">
        <v>473106.97999999986</v>
      </c>
      <c r="F32" s="123">
        <v>0.30134202547770694</v>
      </c>
      <c r="G32" s="7"/>
      <c r="H32" s="35">
        <v>1570000</v>
      </c>
      <c r="I32" s="35">
        <v>845384.61538461538</v>
      </c>
      <c r="J32" s="35">
        <v>883038.99999999953</v>
      </c>
      <c r="K32" s="70">
        <v>1.0445411282984527</v>
      </c>
      <c r="L32" s="36"/>
      <c r="M32" s="35">
        <v>109900.00000000001</v>
      </c>
      <c r="N32" s="35">
        <v>59176.923076923078</v>
      </c>
      <c r="O32" s="37">
        <v>0</v>
      </c>
      <c r="P32" s="35">
        <v>78200.384399999981</v>
      </c>
      <c r="Q32" s="115">
        <v>1.3214675642792144</v>
      </c>
      <c r="R32" s="36"/>
      <c r="S32" s="127">
        <v>7.0000000000000007E-2</v>
      </c>
      <c r="T32" s="127">
        <v>8.8558245332312643E-2</v>
      </c>
      <c r="U32" s="36"/>
      <c r="V32" s="35"/>
      <c r="W32" s="38">
        <v>-7.4862226470178515</v>
      </c>
      <c r="X32" s="69" t="s">
        <v>69</v>
      </c>
      <c r="Y32" s="36"/>
      <c r="Z32" s="62"/>
      <c r="AA32" s="33">
        <v>60384.615384615383</v>
      </c>
      <c r="AB32" s="33">
        <v>47720.69000000001</v>
      </c>
      <c r="AC32" s="36"/>
      <c r="AD32" s="35">
        <v>4226.9230769230771</v>
      </c>
      <c r="AE32" s="35">
        <v>3895.4899999999984</v>
      </c>
      <c r="AF32" s="115">
        <v>0.9215899909008185</v>
      </c>
      <c r="AG32" s="36"/>
      <c r="AH32" s="35">
        <v>5585.7417428571416</v>
      </c>
      <c r="AI32" s="35">
        <v>145229.28531428569</v>
      </c>
      <c r="AJ32" s="115">
        <v>1.3214675642792144</v>
      </c>
      <c r="AK32" s="36"/>
      <c r="AL32" s="108">
        <v>7.0000000000000007E-2</v>
      </c>
      <c r="AM32" s="108">
        <v>8.1631049341491027E-2</v>
      </c>
      <c r="AN32" s="36"/>
      <c r="AO32" s="38">
        <v>-8.2230579650042586</v>
      </c>
      <c r="AP32" s="70">
        <v>0</v>
      </c>
    </row>
    <row r="33" spans="1:43" ht="12.75" customHeight="1" x14ac:dyDescent="0.3">
      <c r="A33" s="7" t="s">
        <v>16</v>
      </c>
      <c r="B33" s="211"/>
      <c r="C33" s="6" t="s">
        <v>9</v>
      </c>
      <c r="D33" s="34"/>
      <c r="E33" s="33">
        <v>283123.31999999995</v>
      </c>
      <c r="F33" s="123">
        <v>0.45665051612903218</v>
      </c>
      <c r="G33" s="7"/>
      <c r="H33" s="35">
        <v>620000</v>
      </c>
      <c r="I33" s="35">
        <v>330666.66666666669</v>
      </c>
      <c r="J33" s="35">
        <v>316023.48999999912</v>
      </c>
      <c r="K33" s="70">
        <v>0.95571619959677145</v>
      </c>
      <c r="L33" s="36"/>
      <c r="M33" s="35">
        <v>92380</v>
      </c>
      <c r="N33" s="35">
        <v>49269.333333333336</v>
      </c>
      <c r="O33" s="37">
        <v>0</v>
      </c>
      <c r="P33" s="35">
        <v>37090.519999999982</v>
      </c>
      <c r="Q33" s="115">
        <v>0.75281148516994978</v>
      </c>
      <c r="R33" s="36"/>
      <c r="S33" s="127">
        <v>0.14899999999999999</v>
      </c>
      <c r="T33" s="127">
        <v>0.11736633881234615</v>
      </c>
      <c r="U33" s="36"/>
      <c r="V33" s="35"/>
      <c r="W33" s="38">
        <v>-3.1539554227445166</v>
      </c>
      <c r="X33" s="69" t="s">
        <v>69</v>
      </c>
      <c r="Y33" s="36"/>
      <c r="Z33" s="62"/>
      <c r="AA33" s="33">
        <v>20666.666666666668</v>
      </c>
      <c r="AB33" s="33">
        <v>16181.139999999996</v>
      </c>
      <c r="AC33" s="36"/>
      <c r="AD33" s="35">
        <v>3079.3333333333335</v>
      </c>
      <c r="AE33" s="35">
        <v>2016.0899999999988</v>
      </c>
      <c r="AF33" s="115">
        <v>0.65471638882875038</v>
      </c>
      <c r="AG33" s="36"/>
      <c r="AH33" s="35">
        <v>2318.1574999999989</v>
      </c>
      <c r="AI33" s="35">
        <v>69544.724999999962</v>
      </c>
      <c r="AJ33" s="115">
        <v>0.75281148516994978</v>
      </c>
      <c r="AK33" s="36"/>
      <c r="AL33" s="108">
        <v>0.14899999999999999</v>
      </c>
      <c r="AM33" s="108">
        <v>0.1245950532533554</v>
      </c>
      <c r="AN33" s="36"/>
      <c r="AO33" s="38">
        <v>-1.6577941974422301</v>
      </c>
      <c r="AP33" s="70">
        <v>0</v>
      </c>
    </row>
    <row r="34" spans="1:43" ht="12.75" customHeight="1" x14ac:dyDescent="0.3">
      <c r="A34" s="7" t="s">
        <v>16</v>
      </c>
      <c r="B34" s="211"/>
      <c r="C34" s="6" t="s">
        <v>10</v>
      </c>
      <c r="D34" s="34"/>
      <c r="E34" s="33">
        <v>681528.61999999976</v>
      </c>
      <c r="F34" s="123">
        <v>0.41055940963855408</v>
      </c>
      <c r="G34" s="7"/>
      <c r="H34" s="35">
        <v>1660000</v>
      </c>
      <c r="I34" s="35">
        <v>885333.33333333337</v>
      </c>
      <c r="J34" s="35">
        <v>863914.46999999683</v>
      </c>
      <c r="K34" s="70">
        <v>0.97580700677710486</v>
      </c>
      <c r="L34" s="36"/>
      <c r="M34" s="35">
        <v>224100.00000000003</v>
      </c>
      <c r="N34" s="35">
        <v>119520.00000000001</v>
      </c>
      <c r="O34" s="37">
        <v>0</v>
      </c>
      <c r="P34" s="35">
        <v>119855.38520000021</v>
      </c>
      <c r="Q34" s="115">
        <v>1.0028061010709521</v>
      </c>
      <c r="R34" s="36"/>
      <c r="S34" s="127">
        <v>0.13500000000000001</v>
      </c>
      <c r="T34" s="127">
        <v>0.13873524447391261</v>
      </c>
      <c r="U34" s="36"/>
      <c r="V34" s="35"/>
      <c r="W34" s="38">
        <v>-1.8087421084641138</v>
      </c>
      <c r="X34" s="69" t="s">
        <v>69</v>
      </c>
      <c r="Y34" s="36"/>
      <c r="Z34" s="62"/>
      <c r="AA34" s="33">
        <v>55333.333333333336</v>
      </c>
      <c r="AB34" s="33">
        <v>26970.120000000003</v>
      </c>
      <c r="AC34" s="36"/>
      <c r="AD34" s="35">
        <v>7470.0000000000009</v>
      </c>
      <c r="AE34" s="35">
        <v>3529.3307999999984</v>
      </c>
      <c r="AF34" s="115">
        <v>0.47246730923694752</v>
      </c>
      <c r="AG34" s="36"/>
      <c r="AH34" s="35">
        <v>7490.961575000013</v>
      </c>
      <c r="AI34" s="35">
        <v>224728.8472500004</v>
      </c>
      <c r="AJ34" s="115">
        <v>1.0028061010709521</v>
      </c>
      <c r="AK34" s="36"/>
      <c r="AL34" s="108">
        <v>0.13500000000000001</v>
      </c>
      <c r="AM34" s="108">
        <v>0.13086077481301522</v>
      </c>
      <c r="AN34" s="36"/>
      <c r="AO34" s="38">
        <v>-1.2703658715645081</v>
      </c>
      <c r="AP34" s="70">
        <v>0</v>
      </c>
    </row>
    <row r="35" spans="1:43" ht="12.75" customHeight="1" x14ac:dyDescent="0.3">
      <c r="A35" s="7" t="s">
        <v>16</v>
      </c>
      <c r="B35" s="211"/>
      <c r="C35" s="6" t="s">
        <v>12</v>
      </c>
      <c r="D35" s="34"/>
      <c r="E35" s="33">
        <v>134814.65000000002</v>
      </c>
      <c r="F35" s="123">
        <v>0.23243905172413798</v>
      </c>
      <c r="G35" s="7"/>
      <c r="H35" s="35">
        <v>580000</v>
      </c>
      <c r="I35" s="35">
        <v>312307.69230769231</v>
      </c>
      <c r="J35" s="35">
        <v>205984.22999999998</v>
      </c>
      <c r="K35" s="70">
        <v>0.65955541625615755</v>
      </c>
      <c r="L35" s="36"/>
      <c r="M35" s="35">
        <v>34800</v>
      </c>
      <c r="N35" s="35">
        <v>18738.461538461539</v>
      </c>
      <c r="O35" s="37">
        <v>642.34</v>
      </c>
      <c r="P35" s="35">
        <v>29069.999999999989</v>
      </c>
      <c r="Q35" s="115">
        <v>1.5513546798029549</v>
      </c>
      <c r="R35" s="36"/>
      <c r="S35" s="127">
        <v>0.06</v>
      </c>
      <c r="T35" s="127">
        <v>0.14112730862940329</v>
      </c>
      <c r="U35" s="36"/>
      <c r="V35" s="35"/>
      <c r="W35" s="38">
        <v>-2.8287214026044198</v>
      </c>
      <c r="X35" s="69" t="s">
        <v>69</v>
      </c>
      <c r="Y35" s="36"/>
      <c r="Z35" s="62"/>
      <c r="AA35" s="33">
        <v>22307.692307692309</v>
      </c>
      <c r="AB35" s="33">
        <v>9743.32</v>
      </c>
      <c r="AC35" s="36"/>
      <c r="AD35" s="35">
        <v>1338.4615384615386</v>
      </c>
      <c r="AE35" s="35">
        <v>1505.7799999999995</v>
      </c>
      <c r="AF35" s="115">
        <v>1.1250080459770111</v>
      </c>
      <c r="AG35" s="36"/>
      <c r="AH35" s="35">
        <v>2076.4285714285706</v>
      </c>
      <c r="AI35" s="35">
        <v>53987.142857142841</v>
      </c>
      <c r="AJ35" s="115">
        <v>1.5513546798029552</v>
      </c>
      <c r="AK35" s="36"/>
      <c r="AL35" s="108">
        <v>0.06</v>
      </c>
      <c r="AM35" s="108">
        <v>0.15454485739973639</v>
      </c>
      <c r="AN35" s="36"/>
      <c r="AO35" s="38">
        <v>-1.5623011458106617</v>
      </c>
      <c r="AP35" s="70">
        <v>0</v>
      </c>
    </row>
    <row r="36" spans="1:43" s="15" customFormat="1" ht="17" customHeight="1" x14ac:dyDescent="0.3">
      <c r="A36" s="26"/>
      <c r="B36" s="211"/>
      <c r="C36" s="9" t="s">
        <v>58</v>
      </c>
      <c r="D36" s="28"/>
      <c r="E36" s="27">
        <v>1572573.5699999994</v>
      </c>
      <c r="F36" s="124">
        <v>0.35498274717832945</v>
      </c>
      <c r="G36" s="26"/>
      <c r="H36" s="29">
        <v>4430000</v>
      </c>
      <c r="I36" s="29">
        <v>2373692.307692308</v>
      </c>
      <c r="J36" s="29">
        <v>2268961.1899999953</v>
      </c>
      <c r="K36" s="31">
        <v>0.95587839360943472</v>
      </c>
      <c r="L36" s="39"/>
      <c r="M36" s="29">
        <v>461180</v>
      </c>
      <c r="N36" s="29">
        <v>246704.71794871797</v>
      </c>
      <c r="O36" s="27">
        <v>642.34</v>
      </c>
      <c r="P36" s="29">
        <v>264216.28960000019</v>
      </c>
      <c r="Q36" s="31">
        <v>1.0709819082378567</v>
      </c>
      <c r="R36" s="39"/>
      <c r="S36" s="128">
        <v>0.1041038374717833</v>
      </c>
      <c r="T36" s="128">
        <v>0.11644813087349491</v>
      </c>
      <c r="U36" s="39"/>
      <c r="V36" s="29"/>
      <c r="W36" s="32">
        <v>-4.2982758290372525</v>
      </c>
      <c r="X36" s="30" t="s">
        <v>69</v>
      </c>
      <c r="Y36" s="39"/>
      <c r="Z36" s="62"/>
      <c r="AA36" s="27">
        <v>158692.30769230769</v>
      </c>
      <c r="AB36" s="27">
        <v>100615.27000000002</v>
      </c>
      <c r="AC36" s="39"/>
      <c r="AD36" s="29">
        <v>16114.717948717949</v>
      </c>
      <c r="AE36" s="29">
        <v>10946.690799999995</v>
      </c>
      <c r="AF36" s="31">
        <v>0.67929769759767278</v>
      </c>
      <c r="AG36" s="39"/>
      <c r="AH36" s="29">
        <v>17471.289389285725</v>
      </c>
      <c r="AI36" s="29">
        <v>493490.00042142888</v>
      </c>
      <c r="AJ36" s="31">
        <v>1.0700594137244219</v>
      </c>
      <c r="AK36" s="39"/>
      <c r="AL36" s="80">
        <v>0.1041038374717833</v>
      </c>
      <c r="AM36" s="80">
        <v>0.1087975095629122</v>
      </c>
      <c r="AN36" s="39"/>
      <c r="AO36" s="32">
        <v>0</v>
      </c>
      <c r="AP36" s="31">
        <v>0</v>
      </c>
      <c r="AQ36" s="10"/>
    </row>
    <row r="37" spans="1:43" ht="8" customHeight="1" x14ac:dyDescent="0.3">
      <c r="B37" s="16"/>
      <c r="D37" s="34"/>
      <c r="E37" s="47"/>
      <c r="F37" s="125"/>
      <c r="G37" s="34"/>
      <c r="H37" s="48"/>
      <c r="I37" s="48"/>
      <c r="J37" s="48"/>
      <c r="K37" s="51"/>
      <c r="L37" s="34"/>
      <c r="M37" s="48"/>
      <c r="N37" s="48"/>
      <c r="O37" s="51"/>
      <c r="P37" s="48"/>
      <c r="Q37" s="47"/>
      <c r="R37" s="34"/>
      <c r="S37" s="51"/>
      <c r="T37" s="51"/>
      <c r="U37" s="34"/>
      <c r="V37" s="48"/>
      <c r="W37" s="52"/>
      <c r="X37" s="48"/>
      <c r="Y37" s="34"/>
      <c r="Z37" s="62"/>
      <c r="AA37" s="47"/>
      <c r="AB37" s="47"/>
      <c r="AC37" s="36"/>
      <c r="AD37" s="48"/>
      <c r="AE37" s="48"/>
      <c r="AF37" s="47"/>
      <c r="AG37" s="36"/>
      <c r="AH37" s="48"/>
      <c r="AI37" s="48"/>
      <c r="AJ37" s="47"/>
      <c r="AK37" s="36"/>
      <c r="AL37" s="49"/>
      <c r="AM37" s="53"/>
      <c r="AN37" s="36"/>
      <c r="AO37" s="52"/>
      <c r="AP37" s="47"/>
    </row>
    <row r="38" spans="1:43" ht="12.75" customHeight="1" x14ac:dyDescent="0.3">
      <c r="A38" s="7" t="s">
        <v>19</v>
      </c>
      <c r="B38" s="211" t="s">
        <v>31</v>
      </c>
      <c r="C38" s="6" t="s">
        <v>8</v>
      </c>
      <c r="D38" s="34"/>
      <c r="E38" s="33">
        <v>125198.63000000006</v>
      </c>
      <c r="F38" s="123">
        <v>0.52384364016736429</v>
      </c>
      <c r="G38" s="7"/>
      <c r="H38" s="35">
        <v>239000</v>
      </c>
      <c r="I38" s="35">
        <v>128692.30769230769</v>
      </c>
      <c r="J38" s="35">
        <v>165333.95000000007</v>
      </c>
      <c r="K38" s="70">
        <v>1.2847228631201439</v>
      </c>
      <c r="L38" s="36"/>
      <c r="M38" s="35">
        <v>25095</v>
      </c>
      <c r="N38" s="35">
        <v>13512.692307692309</v>
      </c>
      <c r="O38" s="37">
        <v>114.32</v>
      </c>
      <c r="P38" s="35">
        <v>14790.718800000024</v>
      </c>
      <c r="Q38" s="115">
        <v>1.0945797079668704</v>
      </c>
      <c r="R38" s="36"/>
      <c r="S38" s="127">
        <v>0.105</v>
      </c>
      <c r="T38" s="127">
        <v>8.9459659071836228E-2</v>
      </c>
      <c r="U38" s="36"/>
      <c r="V38" s="35"/>
      <c r="W38" s="38">
        <v>-4.0478686924253608</v>
      </c>
      <c r="X38" s="69" t="s">
        <v>69</v>
      </c>
      <c r="Y38" s="36"/>
      <c r="Z38" s="62"/>
      <c r="AA38" s="33">
        <v>9192.3076923076915</v>
      </c>
      <c r="AB38" s="33">
        <v>19116.029999999988</v>
      </c>
      <c r="AC38" s="36"/>
      <c r="AD38" s="35">
        <v>965.19230769230774</v>
      </c>
      <c r="AE38" s="35">
        <v>1354.5080000000009</v>
      </c>
      <c r="AF38" s="115">
        <v>1.4033555688384149</v>
      </c>
      <c r="AG38" s="36"/>
      <c r="AH38" s="35">
        <v>1056.4799142857159</v>
      </c>
      <c r="AI38" s="35">
        <v>27468.477771428614</v>
      </c>
      <c r="AJ38" s="115">
        <v>1.0945797079668704</v>
      </c>
      <c r="AK38" s="36"/>
      <c r="AL38" s="108">
        <v>0.105</v>
      </c>
      <c r="AM38" s="108">
        <v>7.0857181119720031E-2</v>
      </c>
      <c r="AN38" s="36"/>
      <c r="AO38" s="38">
        <v>-7.9014941910010812</v>
      </c>
      <c r="AP38" s="70">
        <v>0</v>
      </c>
    </row>
    <row r="39" spans="1:43" ht="12.75" customHeight="1" x14ac:dyDescent="0.3">
      <c r="A39" s="7" t="s">
        <v>19</v>
      </c>
      <c r="B39" s="211"/>
      <c r="C39" s="6" t="s">
        <v>9</v>
      </c>
      <c r="D39" s="34"/>
      <c r="E39" s="33">
        <v>213286.65000000002</v>
      </c>
      <c r="F39" s="123">
        <v>0.37418710526315796</v>
      </c>
      <c r="G39" s="7"/>
      <c r="H39" s="35">
        <v>570000</v>
      </c>
      <c r="I39" s="35">
        <v>304000</v>
      </c>
      <c r="J39" s="35">
        <v>293104.87999998638</v>
      </c>
      <c r="K39" s="70">
        <v>0.96416078947363937</v>
      </c>
      <c r="L39" s="36"/>
      <c r="M39" s="35">
        <v>91142.999999999985</v>
      </c>
      <c r="N39" s="35">
        <v>48609.599999999991</v>
      </c>
      <c r="O39" s="37">
        <v>392.36</v>
      </c>
      <c r="P39" s="35">
        <v>43084.700000000441</v>
      </c>
      <c r="Q39" s="115">
        <v>0.88634138112637106</v>
      </c>
      <c r="R39" s="36"/>
      <c r="S39" s="127">
        <v>0.15989999999999999</v>
      </c>
      <c r="T39" s="127">
        <v>0.1469941408003935</v>
      </c>
      <c r="U39" s="36"/>
      <c r="V39" s="35"/>
      <c r="W39" s="38">
        <v>3.9994864636804643</v>
      </c>
      <c r="X39" s="69" t="s">
        <v>69</v>
      </c>
      <c r="Y39" s="36"/>
      <c r="Z39" s="62"/>
      <c r="AA39" s="33">
        <v>19000</v>
      </c>
      <c r="AB39" s="33">
        <v>15222.719999999934</v>
      </c>
      <c r="AC39" s="36"/>
      <c r="AD39" s="35">
        <v>3038.0999999999995</v>
      </c>
      <c r="AE39" s="35">
        <v>2109.8999999999996</v>
      </c>
      <c r="AF39" s="115">
        <v>0.69448010269576377</v>
      </c>
      <c r="AG39" s="36"/>
      <c r="AH39" s="35">
        <v>2692.7937500000276</v>
      </c>
      <c r="AI39" s="35">
        <v>80783.812500000829</v>
      </c>
      <c r="AJ39" s="115">
        <v>0.88634138112637106</v>
      </c>
      <c r="AK39" s="36"/>
      <c r="AL39" s="108">
        <v>0.15989999999999999</v>
      </c>
      <c r="AM39" s="108">
        <v>0.13860203695528847</v>
      </c>
      <c r="AN39" s="36"/>
      <c r="AO39" s="38">
        <v>3.3572843749339389</v>
      </c>
      <c r="AP39" s="70">
        <v>0</v>
      </c>
    </row>
    <row r="40" spans="1:43" ht="12.75" customHeight="1" x14ac:dyDescent="0.3">
      <c r="A40" s="7" t="s">
        <v>19</v>
      </c>
      <c r="B40" s="211"/>
      <c r="C40" s="6" t="s">
        <v>10</v>
      </c>
      <c r="D40" s="34"/>
      <c r="E40" s="33">
        <v>374496.37999999995</v>
      </c>
      <c r="F40" s="123">
        <v>0.40706128260869562</v>
      </c>
      <c r="G40" s="7"/>
      <c r="H40" s="35">
        <v>920000</v>
      </c>
      <c r="I40" s="35">
        <v>490666.66666666669</v>
      </c>
      <c r="J40" s="35">
        <v>505207.14999995858</v>
      </c>
      <c r="K40" s="70">
        <v>1.0296341372281763</v>
      </c>
      <c r="L40" s="36"/>
      <c r="M40" s="35">
        <v>158240</v>
      </c>
      <c r="N40" s="35">
        <v>84394.666666666672</v>
      </c>
      <c r="O40" s="37">
        <v>2184.75</v>
      </c>
      <c r="P40" s="35">
        <v>81660.175200001162</v>
      </c>
      <c r="Q40" s="115">
        <v>0.96759876453489746</v>
      </c>
      <c r="R40" s="36"/>
      <c r="S40" s="127">
        <v>0.17199999999999999</v>
      </c>
      <c r="T40" s="127">
        <v>0.1616370140446505</v>
      </c>
      <c r="U40" s="36"/>
      <c r="V40" s="35"/>
      <c r="W40" s="38">
        <v>5.0467704584066153</v>
      </c>
      <c r="X40" s="69" t="s">
        <v>69</v>
      </c>
      <c r="Y40" s="36"/>
      <c r="Z40" s="62"/>
      <c r="AA40" s="33">
        <v>30666.666666666668</v>
      </c>
      <c r="AB40" s="33">
        <v>26788.670000000173</v>
      </c>
      <c r="AC40" s="36"/>
      <c r="AD40" s="35">
        <v>5274.666666666667</v>
      </c>
      <c r="AE40" s="35">
        <v>4165.3284000000003</v>
      </c>
      <c r="AF40" s="115">
        <v>0.78968561678463101</v>
      </c>
      <c r="AG40" s="36"/>
      <c r="AH40" s="35">
        <v>5103.7609500000726</v>
      </c>
      <c r="AI40" s="35">
        <v>153112.82850000219</v>
      </c>
      <c r="AJ40" s="115">
        <v>0.96759876453489757</v>
      </c>
      <c r="AK40" s="36"/>
      <c r="AL40" s="108">
        <v>0.17199999999999999</v>
      </c>
      <c r="AM40" s="108">
        <v>0.15548843596938458</v>
      </c>
      <c r="AN40" s="36"/>
      <c r="AO40" s="38">
        <v>5.0127848825647954</v>
      </c>
      <c r="AP40" s="70">
        <v>0</v>
      </c>
    </row>
    <row r="41" spans="1:43" ht="12.75" customHeight="1" x14ac:dyDescent="0.3">
      <c r="A41" s="7" t="s">
        <v>19</v>
      </c>
      <c r="B41" s="211"/>
      <c r="C41" s="6" t="s">
        <v>12</v>
      </c>
      <c r="D41" s="34"/>
      <c r="E41" s="33">
        <v>17589.069999999989</v>
      </c>
      <c r="F41" s="123">
        <v>0.27060107692307678</v>
      </c>
      <c r="G41" s="7"/>
      <c r="H41" s="35">
        <v>65000</v>
      </c>
      <c r="I41" s="35">
        <v>35000</v>
      </c>
      <c r="J41" s="35">
        <v>22471.02000000004</v>
      </c>
      <c r="K41" s="70">
        <v>0.64202914285714396</v>
      </c>
      <c r="L41" s="36"/>
      <c r="M41" s="35">
        <v>10543.019453627085</v>
      </c>
      <c r="N41" s="35">
        <v>5677.0104750299688</v>
      </c>
      <c r="O41" s="37">
        <v>2585.5500000000002</v>
      </c>
      <c r="P41" s="35">
        <v>5246.6699999999964</v>
      </c>
      <c r="Q41" s="115">
        <v>0.92419593429978641</v>
      </c>
      <c r="R41" s="36"/>
      <c r="S41" s="127">
        <v>0.16220029928657054</v>
      </c>
      <c r="T41" s="127">
        <v>0.23348606338297001</v>
      </c>
      <c r="U41" s="36"/>
      <c r="V41" s="35"/>
      <c r="W41" s="38">
        <v>0.62698533488915986</v>
      </c>
      <c r="X41" s="69" t="s">
        <v>69</v>
      </c>
      <c r="Y41" s="36"/>
      <c r="Z41" s="62"/>
      <c r="AA41" s="33">
        <v>2500</v>
      </c>
      <c r="AB41" s="33">
        <v>539.25000000000023</v>
      </c>
      <c r="AC41" s="36"/>
      <c r="AD41" s="35">
        <v>405.50074821642636</v>
      </c>
      <c r="AE41" s="35">
        <v>90.320000000000007</v>
      </c>
      <c r="AF41" s="115">
        <v>0.22273695029483365</v>
      </c>
      <c r="AG41" s="36"/>
      <c r="AH41" s="35">
        <v>374.76214285714258</v>
      </c>
      <c r="AI41" s="35">
        <v>9743.8157142857071</v>
      </c>
      <c r="AJ41" s="115">
        <v>0.92419593429978641</v>
      </c>
      <c r="AK41" s="36"/>
      <c r="AL41" s="108">
        <v>0.16220029928657054</v>
      </c>
      <c r="AM41" s="108">
        <v>0.16749188687992578</v>
      </c>
      <c r="AN41" s="36"/>
      <c r="AO41" s="38">
        <v>5.8840982846546668</v>
      </c>
      <c r="AP41" s="70">
        <v>0</v>
      </c>
    </row>
    <row r="42" spans="1:43" s="15" customFormat="1" ht="14.25" customHeight="1" x14ac:dyDescent="0.3">
      <c r="A42" s="26"/>
      <c r="B42" s="211"/>
      <c r="C42" s="9" t="s">
        <v>30</v>
      </c>
      <c r="D42" s="28"/>
      <c r="E42" s="27">
        <v>730570.73</v>
      </c>
      <c r="F42" s="124">
        <v>0.40723006131549611</v>
      </c>
      <c r="G42" s="26"/>
      <c r="H42" s="29">
        <v>1794000</v>
      </c>
      <c r="I42" s="29">
        <v>958358.97435897437</v>
      </c>
      <c r="J42" s="29">
        <v>986116.99999994505</v>
      </c>
      <c r="K42" s="31">
        <v>1.0289641213612439</v>
      </c>
      <c r="L42" s="39"/>
      <c r="M42" s="29">
        <v>285021.01945362706</v>
      </c>
      <c r="N42" s="29">
        <v>152193.96944938894</v>
      </c>
      <c r="O42" s="27">
        <v>5276.98</v>
      </c>
      <c r="P42" s="29">
        <v>144782.2640000016</v>
      </c>
      <c r="Q42" s="31">
        <v>0.9513009255478283</v>
      </c>
      <c r="R42" s="39"/>
      <c r="S42" s="128">
        <v>0.15887459278351565</v>
      </c>
      <c r="T42" s="128">
        <v>0.14682057402925786</v>
      </c>
      <c r="U42" s="39"/>
      <c r="V42" s="29"/>
      <c r="W42" s="32">
        <v>3.1099478053764154</v>
      </c>
      <c r="X42" s="30" t="s">
        <v>69</v>
      </c>
      <c r="Y42" s="39"/>
      <c r="Z42" s="62"/>
      <c r="AA42" s="27">
        <v>61358.974358974359</v>
      </c>
      <c r="AB42" s="27">
        <v>61666.670000000093</v>
      </c>
      <c r="AC42" s="39"/>
      <c r="AD42" s="29">
        <v>9683.4597225754005</v>
      </c>
      <c r="AE42" s="29">
        <v>7720.0564000000004</v>
      </c>
      <c r="AF42" s="31">
        <v>0.79724154601500052</v>
      </c>
      <c r="AG42" s="39"/>
      <c r="AH42" s="29">
        <v>9227.7967571429581</v>
      </c>
      <c r="AI42" s="29">
        <v>271108.93448571733</v>
      </c>
      <c r="AJ42" s="31">
        <v>0.95118926669135284</v>
      </c>
      <c r="AK42" s="39"/>
      <c r="AL42" s="80">
        <v>0.15887459278351565</v>
      </c>
      <c r="AM42" s="80">
        <v>0.12519009701675132</v>
      </c>
      <c r="AN42" s="39"/>
      <c r="AO42" s="32">
        <v>0</v>
      </c>
      <c r="AP42" s="31">
        <v>0</v>
      </c>
      <c r="AQ42" s="10"/>
    </row>
    <row r="43" spans="1:43" ht="8" customHeight="1" x14ac:dyDescent="0.3">
      <c r="B43" s="16"/>
      <c r="D43" s="34"/>
      <c r="E43" s="47"/>
      <c r="F43" s="125"/>
      <c r="G43" s="34"/>
      <c r="H43" s="48"/>
      <c r="I43" s="48"/>
      <c r="J43" s="48"/>
      <c r="K43" s="51"/>
      <c r="L43" s="34"/>
      <c r="M43" s="48"/>
      <c r="N43" s="48"/>
      <c r="O43" s="51"/>
      <c r="P43" s="48"/>
      <c r="Q43" s="47"/>
      <c r="R43" s="34"/>
      <c r="S43" s="51"/>
      <c r="T43" s="51"/>
      <c r="U43" s="34"/>
      <c r="V43" s="48"/>
      <c r="W43" s="52"/>
      <c r="X43" s="48"/>
      <c r="Y43" s="34"/>
      <c r="Z43" s="62"/>
      <c r="AA43" s="47"/>
      <c r="AB43" s="47"/>
      <c r="AC43" s="36"/>
      <c r="AD43" s="48"/>
      <c r="AE43" s="48"/>
      <c r="AF43" s="47"/>
      <c r="AG43" s="36"/>
      <c r="AH43" s="48"/>
      <c r="AI43" s="48"/>
      <c r="AJ43" s="47"/>
      <c r="AK43" s="36"/>
      <c r="AL43" s="49"/>
      <c r="AM43" s="53"/>
      <c r="AN43" s="36"/>
      <c r="AO43" s="52"/>
      <c r="AP43" s="47"/>
    </row>
    <row r="44" spans="1:43" ht="12.75" customHeight="1" x14ac:dyDescent="0.3">
      <c r="A44" s="7" t="s">
        <v>20</v>
      </c>
      <c r="B44" s="211" t="s">
        <v>27</v>
      </c>
      <c r="C44" s="6" t="s">
        <v>8</v>
      </c>
      <c r="D44" s="34"/>
      <c r="E44" s="33">
        <v>585194.8699999993</v>
      </c>
      <c r="F44" s="123">
        <v>3.1804069021739094</v>
      </c>
      <c r="G44" s="7"/>
      <c r="H44" s="35">
        <v>184000</v>
      </c>
      <c r="I44" s="35">
        <v>99076.923076923078</v>
      </c>
      <c r="J44" s="35">
        <v>104397.32000000085</v>
      </c>
      <c r="K44" s="70">
        <v>1.0536996583851017</v>
      </c>
      <c r="L44" s="36"/>
      <c r="M44" s="35">
        <v>22080</v>
      </c>
      <c r="N44" s="35">
        <v>11889.23076923077</v>
      </c>
      <c r="O44" s="37">
        <v>0</v>
      </c>
      <c r="P44" s="35">
        <v>12461.157750000046</v>
      </c>
      <c r="Q44" s="115">
        <v>1.0481046244177057</v>
      </c>
      <c r="R44" s="36"/>
      <c r="S44" s="127">
        <v>0.12</v>
      </c>
      <c r="T44" s="127">
        <v>0.11936281266607174</v>
      </c>
      <c r="U44" s="36"/>
      <c r="V44" s="35"/>
      <c r="W44" s="38">
        <v>1.7184614988210545</v>
      </c>
      <c r="X44" s="69" t="s">
        <v>69</v>
      </c>
      <c r="Y44" s="36"/>
      <c r="Z44" s="62"/>
      <c r="AA44" s="33">
        <v>7076.9230769230771</v>
      </c>
      <c r="AB44" s="33">
        <v>8962.1799999999821</v>
      </c>
      <c r="AC44" s="36"/>
      <c r="AD44" s="35">
        <v>849.23076923076928</v>
      </c>
      <c r="AE44" s="35">
        <v>1127.5173999999997</v>
      </c>
      <c r="AF44" s="115">
        <v>1.3276925905797097</v>
      </c>
      <c r="AG44" s="36"/>
      <c r="AH44" s="35">
        <v>890.08269642857465</v>
      </c>
      <c r="AI44" s="35">
        <v>23142.150107142941</v>
      </c>
      <c r="AJ44" s="115">
        <v>1.0481046244177057</v>
      </c>
      <c r="AK44" s="36"/>
      <c r="AL44" s="108">
        <v>0.12</v>
      </c>
      <c r="AM44" s="108">
        <v>0.12580838590610788</v>
      </c>
      <c r="AN44" s="36"/>
      <c r="AO44" s="38">
        <v>1.539328600853562</v>
      </c>
      <c r="AP44" s="70">
        <v>0</v>
      </c>
    </row>
    <row r="45" spans="1:43" ht="12.75" customHeight="1" x14ac:dyDescent="0.3">
      <c r="A45" s="7" t="s">
        <v>20</v>
      </c>
      <c r="B45" s="211"/>
      <c r="C45" s="6" t="s">
        <v>9</v>
      </c>
      <c r="D45" s="34"/>
      <c r="E45" s="33">
        <v>966937.94000000064</v>
      </c>
      <c r="F45" s="123">
        <v>2.2751480941176485</v>
      </c>
      <c r="G45" s="7"/>
      <c r="H45" s="35">
        <v>425000</v>
      </c>
      <c r="I45" s="35">
        <v>226666.66666666666</v>
      </c>
      <c r="J45" s="35">
        <v>219208.01999999108</v>
      </c>
      <c r="K45" s="70">
        <v>0.96709420588231365</v>
      </c>
      <c r="L45" s="36"/>
      <c r="M45" s="35">
        <v>67649.851647662959</v>
      </c>
      <c r="N45" s="35">
        <v>36079.920878753575</v>
      </c>
      <c r="O45" s="37">
        <v>411.1</v>
      </c>
      <c r="P45" s="35">
        <v>40885.219999999543</v>
      </c>
      <c r="Q45" s="115">
        <v>1.1331848575110282</v>
      </c>
      <c r="R45" s="36"/>
      <c r="S45" s="127">
        <v>0.15917612152391283</v>
      </c>
      <c r="T45" s="127">
        <v>0.18651334015973142</v>
      </c>
      <c r="U45" s="36"/>
      <c r="V45" s="35"/>
      <c r="W45" s="38">
        <v>8.0037628185275445</v>
      </c>
      <c r="X45" s="69" t="s">
        <v>69</v>
      </c>
      <c r="Y45" s="36"/>
      <c r="Z45" s="62"/>
      <c r="AA45" s="33">
        <v>14166.666666666666</v>
      </c>
      <c r="AB45" s="33">
        <v>10492.229999999918</v>
      </c>
      <c r="AC45" s="36"/>
      <c r="AD45" s="35">
        <v>2254.9950549220985</v>
      </c>
      <c r="AE45" s="35">
        <v>2035.1800000000005</v>
      </c>
      <c r="AF45" s="115">
        <v>0.90252082617995288</v>
      </c>
      <c r="AG45" s="36"/>
      <c r="AH45" s="35">
        <v>2555.3262499999714</v>
      </c>
      <c r="AI45" s="35">
        <v>76659.787499999147</v>
      </c>
      <c r="AJ45" s="115">
        <v>1.1331848575110282</v>
      </c>
      <c r="AK45" s="36"/>
      <c r="AL45" s="108">
        <v>0.15917612152391283</v>
      </c>
      <c r="AM45" s="108">
        <v>0.19397020461808562</v>
      </c>
      <c r="AN45" s="36"/>
      <c r="AO45" s="38">
        <v>8.8269128679024664</v>
      </c>
      <c r="AP45" s="70">
        <v>0</v>
      </c>
    </row>
    <row r="46" spans="1:43" ht="12.75" customHeight="1" x14ac:dyDescent="0.3">
      <c r="A46" s="7" t="s">
        <v>20</v>
      </c>
      <c r="B46" s="211"/>
      <c r="C46" s="6" t="s">
        <v>10</v>
      </c>
      <c r="D46" s="34"/>
      <c r="E46" s="33">
        <v>1254219.8600000024</v>
      </c>
      <c r="F46" s="123">
        <v>2.2003857192982497</v>
      </c>
      <c r="G46" s="7"/>
      <c r="H46" s="35">
        <v>570000</v>
      </c>
      <c r="I46" s="35">
        <v>304000</v>
      </c>
      <c r="J46" s="35">
        <v>294131.5599999759</v>
      </c>
      <c r="K46" s="70">
        <v>0.96753802631571018</v>
      </c>
      <c r="L46" s="36"/>
      <c r="M46" s="35">
        <v>95190</v>
      </c>
      <c r="N46" s="35">
        <v>50768</v>
      </c>
      <c r="O46" s="37">
        <v>196.65</v>
      </c>
      <c r="P46" s="35">
        <v>47104.080539999428</v>
      </c>
      <c r="Q46" s="115">
        <v>0.92783013985186391</v>
      </c>
      <c r="R46" s="36"/>
      <c r="S46" s="127">
        <v>0.16700000000000001</v>
      </c>
      <c r="T46" s="127">
        <v>0.16014629827551755</v>
      </c>
      <c r="U46" s="36"/>
      <c r="V46" s="35"/>
      <c r="W46" s="38">
        <v>5.3633382762379709</v>
      </c>
      <c r="X46" s="69" t="s">
        <v>69</v>
      </c>
      <c r="Y46" s="36"/>
      <c r="Z46" s="62"/>
      <c r="AA46" s="33">
        <v>19000</v>
      </c>
      <c r="AB46" s="33">
        <v>23087.179999999909</v>
      </c>
      <c r="AC46" s="36"/>
      <c r="AD46" s="35">
        <v>3173</v>
      </c>
      <c r="AE46" s="35">
        <v>4262.8031399999991</v>
      </c>
      <c r="AF46" s="115">
        <v>1.3434614371257483</v>
      </c>
      <c r="AG46" s="36"/>
      <c r="AH46" s="35">
        <v>2944.0050337499642</v>
      </c>
      <c r="AI46" s="35">
        <v>88320.151012498929</v>
      </c>
      <c r="AJ46" s="115">
        <v>0.92783013985186391</v>
      </c>
      <c r="AK46" s="36"/>
      <c r="AL46" s="108">
        <v>0.16700000000000001</v>
      </c>
      <c r="AM46" s="108">
        <v>0.1846394033398629</v>
      </c>
      <c r="AN46" s="36"/>
      <c r="AO46" s="38">
        <v>7.777230220407616</v>
      </c>
      <c r="AP46" s="70">
        <v>0</v>
      </c>
    </row>
    <row r="47" spans="1:43" ht="12.75" customHeight="1" x14ac:dyDescent="0.3">
      <c r="A47" s="7" t="s">
        <v>20</v>
      </c>
      <c r="B47" s="211"/>
      <c r="C47" s="6" t="s">
        <v>12</v>
      </c>
      <c r="D47" s="34"/>
      <c r="E47" s="33">
        <v>46482.429999999957</v>
      </c>
      <c r="F47" s="123">
        <v>1.9367679166666649</v>
      </c>
      <c r="G47" s="7"/>
      <c r="H47" s="35">
        <v>24000</v>
      </c>
      <c r="I47" s="35">
        <v>12923.076923076924</v>
      </c>
      <c r="J47" s="35">
        <v>11344.429999999908</v>
      </c>
      <c r="K47" s="70">
        <v>0.87784279761904038</v>
      </c>
      <c r="L47" s="36"/>
      <c r="M47" s="35">
        <v>4080.0000000000005</v>
      </c>
      <c r="N47" s="35">
        <v>2196.9230769230771</v>
      </c>
      <c r="O47" s="37">
        <v>0</v>
      </c>
      <c r="P47" s="35">
        <v>2066.7799999999947</v>
      </c>
      <c r="Q47" s="115">
        <v>0.94076120448179024</v>
      </c>
      <c r="R47" s="36"/>
      <c r="S47" s="127">
        <v>0.17</v>
      </c>
      <c r="T47" s="127">
        <v>0.18218456105771832</v>
      </c>
      <c r="U47" s="36"/>
      <c r="V47" s="35"/>
      <c r="W47" s="38">
        <v>7.5622133505158757</v>
      </c>
      <c r="X47" s="69" t="s">
        <v>69</v>
      </c>
      <c r="Y47" s="36"/>
      <c r="Z47" s="62"/>
      <c r="AA47" s="33">
        <v>923.07692307692309</v>
      </c>
      <c r="AB47" s="33">
        <v>689.78000000000031</v>
      </c>
      <c r="AC47" s="36"/>
      <c r="AD47" s="35">
        <v>156.92307692307693</v>
      </c>
      <c r="AE47" s="35">
        <v>152.33000000000004</v>
      </c>
      <c r="AF47" s="115">
        <v>0.97073039215686296</v>
      </c>
      <c r="AG47" s="36"/>
      <c r="AH47" s="35">
        <v>147.62714285714247</v>
      </c>
      <c r="AI47" s="35">
        <v>3838.3057142857042</v>
      </c>
      <c r="AJ47" s="115">
        <v>0.94076120448179013</v>
      </c>
      <c r="AK47" s="36"/>
      <c r="AL47" s="108">
        <v>0.17</v>
      </c>
      <c r="AM47" s="108">
        <v>0.220838528226391</v>
      </c>
      <c r="AN47" s="36"/>
      <c r="AO47" s="38">
        <v>11.560207602424006</v>
      </c>
      <c r="AP47" s="70">
        <v>0</v>
      </c>
    </row>
    <row r="48" spans="1:43" s="15" customFormat="1" ht="14.25" customHeight="1" x14ac:dyDescent="0.3">
      <c r="A48" s="26"/>
      <c r="B48" s="211"/>
      <c r="C48" s="9" t="s">
        <v>28</v>
      </c>
      <c r="D48" s="28"/>
      <c r="E48" s="27">
        <v>2852835.1000000029</v>
      </c>
      <c r="F48" s="124">
        <v>2.3714339983374919</v>
      </c>
      <c r="G48" s="26"/>
      <c r="H48" s="29">
        <v>1203000</v>
      </c>
      <c r="I48" s="29">
        <v>642666.66666666663</v>
      </c>
      <c r="J48" s="29">
        <v>629081.32999996771</v>
      </c>
      <c r="K48" s="31">
        <v>0.97886099066385024</v>
      </c>
      <c r="L48" s="39"/>
      <c r="M48" s="29">
        <v>188999.85164766296</v>
      </c>
      <c r="N48" s="29">
        <v>100934.07472490742</v>
      </c>
      <c r="O48" s="27">
        <v>607.75</v>
      </c>
      <c r="P48" s="29">
        <v>102517.23828999902</v>
      </c>
      <c r="Q48" s="31">
        <v>1.0156851248639913</v>
      </c>
      <c r="R48" s="39"/>
      <c r="S48" s="128">
        <v>0.15710710860154858</v>
      </c>
      <c r="T48" s="128">
        <v>0.16296340934168924</v>
      </c>
      <c r="U48" s="39"/>
      <c r="V48" s="29"/>
      <c r="W48" s="32">
        <v>5.7181920007015732</v>
      </c>
      <c r="X48" s="30" t="s">
        <v>69</v>
      </c>
      <c r="Y48" s="39"/>
      <c r="Z48" s="62"/>
      <c r="AA48" s="27">
        <v>41166.666666666664</v>
      </c>
      <c r="AB48" s="27">
        <v>43231.369999999806</v>
      </c>
      <c r="AC48" s="39"/>
      <c r="AD48" s="29">
        <v>6434.1489010759451</v>
      </c>
      <c r="AE48" s="29">
        <v>7577.830539999999</v>
      </c>
      <c r="AF48" s="31">
        <v>1.1777518140329022</v>
      </c>
      <c r="AG48" s="39"/>
      <c r="AH48" s="29">
        <v>6537.0411230356531</v>
      </c>
      <c r="AI48" s="29">
        <v>191960.39433392673</v>
      </c>
      <c r="AJ48" s="31">
        <v>1.0156642593126626</v>
      </c>
      <c r="AK48" s="39"/>
      <c r="AL48" s="80">
        <v>0.15710710860154858</v>
      </c>
      <c r="AM48" s="80">
        <v>0.1752854591469119</v>
      </c>
      <c r="AN48" s="39"/>
      <c r="AO48" s="32">
        <v>0</v>
      </c>
      <c r="AP48" s="31">
        <v>0</v>
      </c>
      <c r="AQ48" s="10"/>
    </row>
    <row r="49" spans="1:43" ht="8" customHeight="1" x14ac:dyDescent="0.3">
      <c r="B49" s="16"/>
      <c r="D49" s="34"/>
      <c r="E49" s="47"/>
      <c r="F49" s="125"/>
      <c r="G49" s="34"/>
      <c r="H49" s="48"/>
      <c r="I49" s="48"/>
      <c r="J49" s="48"/>
      <c r="K49" s="51"/>
      <c r="L49" s="34"/>
      <c r="M49" s="48"/>
      <c r="N49" s="48"/>
      <c r="O49" s="51"/>
      <c r="P49" s="48"/>
      <c r="Q49" s="47"/>
      <c r="R49" s="34"/>
      <c r="S49" s="51"/>
      <c r="T49" s="51"/>
      <c r="U49" s="34"/>
      <c r="V49" s="48"/>
      <c r="W49" s="52"/>
      <c r="X49" s="48"/>
      <c r="Y49" s="34"/>
      <c r="Z49" s="62"/>
      <c r="AA49" s="47"/>
      <c r="AB49" s="47"/>
      <c r="AC49" s="36"/>
      <c r="AD49" s="48"/>
      <c r="AE49" s="48"/>
      <c r="AF49" s="47"/>
      <c r="AG49" s="36"/>
      <c r="AH49" s="48"/>
      <c r="AI49" s="48"/>
      <c r="AJ49" s="47"/>
      <c r="AK49" s="36"/>
      <c r="AL49" s="49"/>
      <c r="AM49" s="53"/>
      <c r="AN49" s="36"/>
      <c r="AO49" s="52"/>
      <c r="AP49" s="47"/>
    </row>
    <row r="50" spans="1:43" ht="12.75" customHeight="1" x14ac:dyDescent="0.3">
      <c r="A50" s="7" t="s">
        <v>17</v>
      </c>
      <c r="B50" s="234" t="s">
        <v>67</v>
      </c>
      <c r="C50" s="6" t="s">
        <v>8</v>
      </c>
      <c r="D50" s="34"/>
      <c r="E50" s="33">
        <v>144077.81999999998</v>
      </c>
      <c r="F50" s="123">
        <v>0.24841003448275858</v>
      </c>
      <c r="G50" s="7"/>
      <c r="H50" s="35">
        <v>580000</v>
      </c>
      <c r="I50" s="35">
        <v>312307.69230769231</v>
      </c>
      <c r="J50" s="35">
        <v>302482.66999999841</v>
      </c>
      <c r="K50" s="70">
        <v>0.96854056896551211</v>
      </c>
      <c r="L50" s="36"/>
      <c r="M50" s="35">
        <v>98020</v>
      </c>
      <c r="N50" s="35">
        <v>52780</v>
      </c>
      <c r="O50" s="37">
        <v>0</v>
      </c>
      <c r="P50" s="35">
        <v>51590.701450000059</v>
      </c>
      <c r="Q50" s="115">
        <v>0.97746687097385487</v>
      </c>
      <c r="R50" s="36"/>
      <c r="S50" s="127">
        <v>0.16900000000000001</v>
      </c>
      <c r="T50" s="127">
        <v>0.17055754450329444</v>
      </c>
      <c r="U50" s="36"/>
      <c r="V50" s="35"/>
      <c r="W50" s="38">
        <v>-9.7711840979193738</v>
      </c>
      <c r="X50" s="69" t="s">
        <v>69</v>
      </c>
      <c r="Y50" s="36"/>
      <c r="Z50" s="62"/>
      <c r="AA50" s="33">
        <v>22307.692307692309</v>
      </c>
      <c r="AB50" s="33">
        <v>17889.43</v>
      </c>
      <c r="AC50" s="36"/>
      <c r="AD50" s="35">
        <v>3770</v>
      </c>
      <c r="AE50" s="35">
        <v>3119.2385000000004</v>
      </c>
      <c r="AF50" s="115">
        <v>0.82738421750663138</v>
      </c>
      <c r="AG50" s="36"/>
      <c r="AH50" s="35">
        <v>3685.0501035714328</v>
      </c>
      <c r="AI50" s="35">
        <v>95811.302692857251</v>
      </c>
      <c r="AJ50" s="115">
        <v>0.97746687097385487</v>
      </c>
      <c r="AK50" s="36"/>
      <c r="AL50" s="108">
        <v>0.16900000000000001</v>
      </c>
      <c r="AM50" s="108">
        <v>0.17436209538258068</v>
      </c>
      <c r="AN50" s="36"/>
      <c r="AO50" s="38">
        <v>-8.4689758142098519</v>
      </c>
      <c r="AP50" s="70">
        <v>0</v>
      </c>
    </row>
    <row r="51" spans="1:43" ht="12.75" customHeight="1" x14ac:dyDescent="0.3">
      <c r="A51" s="7" t="s">
        <v>17</v>
      </c>
      <c r="B51" s="234"/>
      <c r="C51" s="6" t="s">
        <v>9</v>
      </c>
      <c r="D51" s="34"/>
      <c r="E51" s="33">
        <v>109188.81999999996</v>
      </c>
      <c r="F51" s="123">
        <v>0.47473399999999982</v>
      </c>
      <c r="G51" s="7"/>
      <c r="H51" s="35">
        <v>230000</v>
      </c>
      <c r="I51" s="35">
        <v>122666.66666666667</v>
      </c>
      <c r="J51" s="35">
        <v>163227.13999999917</v>
      </c>
      <c r="K51" s="70">
        <v>1.3306560326086889</v>
      </c>
      <c r="L51" s="36"/>
      <c r="M51" s="35">
        <v>45770</v>
      </c>
      <c r="N51" s="35">
        <v>24410.666666666668</v>
      </c>
      <c r="O51" s="37">
        <v>330.74</v>
      </c>
      <c r="P51" s="35">
        <v>24243.69000000005</v>
      </c>
      <c r="Q51" s="115">
        <v>0.9931596842910223</v>
      </c>
      <c r="R51" s="36"/>
      <c r="S51" s="127">
        <v>0.19900000000000001</v>
      </c>
      <c r="T51" s="127">
        <v>0.1485273221107726</v>
      </c>
      <c r="U51" s="36"/>
      <c r="V51" s="35"/>
      <c r="W51" s="38">
        <v>-8.0752686103555344</v>
      </c>
      <c r="X51" s="69" t="s">
        <v>69</v>
      </c>
      <c r="Y51" s="36"/>
      <c r="Z51" s="62"/>
      <c r="AA51" s="33">
        <v>7666.666666666667</v>
      </c>
      <c r="AB51" s="33">
        <v>8793.1299999999865</v>
      </c>
      <c r="AC51" s="36"/>
      <c r="AD51" s="35">
        <v>1525.6666666666667</v>
      </c>
      <c r="AE51" s="35">
        <v>1277.1599999999999</v>
      </c>
      <c r="AF51" s="115">
        <v>0.83711601485689302</v>
      </c>
      <c r="AG51" s="36"/>
      <c r="AH51" s="35">
        <v>1515.2306250000031</v>
      </c>
      <c r="AI51" s="35">
        <v>45456.918750000092</v>
      </c>
      <c r="AJ51" s="115">
        <v>0.9931596842910223</v>
      </c>
      <c r="AK51" s="36"/>
      <c r="AL51" s="108">
        <v>0.19900000000000001</v>
      </c>
      <c r="AM51" s="108">
        <v>0.14524520847525305</v>
      </c>
      <c r="AN51" s="36"/>
      <c r="AO51" s="38">
        <v>-4.6731937319249006</v>
      </c>
      <c r="AP51" s="70">
        <v>0</v>
      </c>
    </row>
    <row r="52" spans="1:43" ht="12.75" customHeight="1" x14ac:dyDescent="0.3">
      <c r="A52" s="7" t="s">
        <v>17</v>
      </c>
      <c r="B52" s="234"/>
      <c r="C52" s="6" t="s">
        <v>10</v>
      </c>
      <c r="D52" s="34"/>
      <c r="E52" s="33">
        <v>167946.16000000009</v>
      </c>
      <c r="F52" s="123">
        <v>0.43063117948717972</v>
      </c>
      <c r="G52" s="7"/>
      <c r="H52" s="35">
        <v>390000</v>
      </c>
      <c r="I52" s="35">
        <v>208000</v>
      </c>
      <c r="J52" s="35">
        <v>228481.7899999982</v>
      </c>
      <c r="K52" s="70">
        <v>1.0984701442307605</v>
      </c>
      <c r="L52" s="36"/>
      <c r="M52" s="35">
        <v>80997.011004653381</v>
      </c>
      <c r="N52" s="35">
        <v>43198.405869148468</v>
      </c>
      <c r="O52" s="37">
        <v>330.74</v>
      </c>
      <c r="P52" s="35">
        <v>47257.714849999946</v>
      </c>
      <c r="Q52" s="115">
        <v>1.0939689532328452</v>
      </c>
      <c r="R52" s="36"/>
      <c r="S52" s="127">
        <v>0.20768464360167532</v>
      </c>
      <c r="T52" s="127">
        <v>0.2068336161494547</v>
      </c>
      <c r="U52" s="36"/>
      <c r="V52" s="35"/>
      <c r="W52" s="38">
        <v>-1.4208638465242152</v>
      </c>
      <c r="X52" s="69" t="s">
        <v>69</v>
      </c>
      <c r="Y52" s="36"/>
      <c r="Z52" s="62"/>
      <c r="AA52" s="33">
        <v>13000</v>
      </c>
      <c r="AB52" s="33">
        <v>19643.829999999984</v>
      </c>
      <c r="AC52" s="36"/>
      <c r="AD52" s="35">
        <v>2699.9003668217792</v>
      </c>
      <c r="AE52" s="35">
        <v>3423.3091000000027</v>
      </c>
      <c r="AF52" s="115">
        <v>1.2679390477026353</v>
      </c>
      <c r="AG52" s="36"/>
      <c r="AH52" s="35">
        <v>2953.6071781249966</v>
      </c>
      <c r="AI52" s="35">
        <v>88608.215343749893</v>
      </c>
      <c r="AJ52" s="115">
        <v>1.0939689532328452</v>
      </c>
      <c r="AK52" s="36"/>
      <c r="AL52" s="108">
        <v>0.20768464360167532</v>
      </c>
      <c r="AM52" s="108">
        <v>0.17426892311733536</v>
      </c>
      <c r="AN52" s="36"/>
      <c r="AO52" s="38">
        <v>-6.308295785496056</v>
      </c>
      <c r="AP52" s="70">
        <v>0</v>
      </c>
    </row>
    <row r="53" spans="1:43" ht="12.75" customHeight="1" x14ac:dyDescent="0.3">
      <c r="A53" s="7" t="s">
        <v>17</v>
      </c>
      <c r="B53" s="234"/>
      <c r="C53" s="6" t="s">
        <v>12</v>
      </c>
      <c r="D53" s="34"/>
      <c r="E53" s="33">
        <v>211182.67000000004</v>
      </c>
      <c r="F53" s="123">
        <v>0.47996061363636372</v>
      </c>
      <c r="G53" s="7"/>
      <c r="H53" s="35">
        <v>440000</v>
      </c>
      <c r="I53" s="35">
        <v>236923.07692307691</v>
      </c>
      <c r="J53" s="35">
        <v>281462.99999999988</v>
      </c>
      <c r="K53" s="70">
        <v>1.1879931818181815</v>
      </c>
      <c r="L53" s="36"/>
      <c r="M53" s="35">
        <v>94600</v>
      </c>
      <c r="N53" s="35">
        <v>50938.461538461539</v>
      </c>
      <c r="O53" s="37">
        <v>6796.7699999999995</v>
      </c>
      <c r="P53" s="35">
        <v>69816.540000000023</v>
      </c>
      <c r="Q53" s="115">
        <v>1.3706055874358205</v>
      </c>
      <c r="R53" s="36"/>
      <c r="S53" s="127">
        <v>0.215</v>
      </c>
      <c r="T53" s="127">
        <v>0.24804873109431808</v>
      </c>
      <c r="U53" s="36"/>
      <c r="V53" s="35"/>
      <c r="W53" s="38">
        <v>-2.2465936908226221</v>
      </c>
      <c r="X53" s="69" t="s">
        <v>69</v>
      </c>
      <c r="Y53" s="36"/>
      <c r="Z53" s="62"/>
      <c r="AA53" s="33">
        <v>16923.076923076922</v>
      </c>
      <c r="AB53" s="33">
        <v>4919.78</v>
      </c>
      <c r="AC53" s="36"/>
      <c r="AD53" s="35">
        <v>3638.4615384615386</v>
      </c>
      <c r="AE53" s="35">
        <v>1072.2599999999998</v>
      </c>
      <c r="AF53" s="115">
        <v>0.29470147991543333</v>
      </c>
      <c r="AG53" s="36"/>
      <c r="AH53" s="35">
        <v>4986.8957142857162</v>
      </c>
      <c r="AI53" s="35">
        <v>129659.28857142862</v>
      </c>
      <c r="AJ53" s="115">
        <v>1.3706055874358205</v>
      </c>
      <c r="AK53" s="36"/>
      <c r="AL53" s="108">
        <v>0.215</v>
      </c>
      <c r="AM53" s="108">
        <v>0.21794877006695418</v>
      </c>
      <c r="AN53" s="36"/>
      <c r="AO53" s="38">
        <v>7.517815837293532</v>
      </c>
      <c r="AP53" s="70">
        <v>0</v>
      </c>
    </row>
    <row r="54" spans="1:43" s="15" customFormat="1" ht="14.25" customHeight="1" x14ac:dyDescent="0.3">
      <c r="A54" s="26"/>
      <c r="B54" s="234"/>
      <c r="C54" s="9" t="s">
        <v>71</v>
      </c>
      <c r="D54" s="28"/>
      <c r="E54" s="27">
        <v>632395.47000000009</v>
      </c>
      <c r="F54" s="124">
        <v>0.38560699390243908</v>
      </c>
      <c r="G54" s="26"/>
      <c r="H54" s="29">
        <v>1640000</v>
      </c>
      <c r="I54" s="29">
        <v>879897.43589743588</v>
      </c>
      <c r="J54" s="29">
        <v>975654.59999999567</v>
      </c>
      <c r="K54" s="31">
        <v>1.1088276430819395</v>
      </c>
      <c r="L54" s="39"/>
      <c r="M54" s="29">
        <v>319387.01100465341</v>
      </c>
      <c r="N54" s="29">
        <v>171327.53407427669</v>
      </c>
      <c r="O54" s="27">
        <v>7458.25</v>
      </c>
      <c r="P54" s="29">
        <v>192908.64630000008</v>
      </c>
      <c r="Q54" s="31">
        <v>1.1259640625911722</v>
      </c>
      <c r="R54" s="39"/>
      <c r="S54" s="128">
        <v>0.19474817744186185</v>
      </c>
      <c r="T54" s="128">
        <v>0.19772227415316951</v>
      </c>
      <c r="U54" s="39"/>
      <c r="V54" s="29"/>
      <c r="W54" s="32">
        <v>-5.3612122261304833</v>
      </c>
      <c r="X54" s="30" t="s">
        <v>69</v>
      </c>
      <c r="Y54" s="39"/>
      <c r="Z54" s="62"/>
      <c r="AA54" s="27">
        <v>59897.435897435898</v>
      </c>
      <c r="AB54" s="27">
        <v>51246.169999999969</v>
      </c>
      <c r="AC54" s="39"/>
      <c r="AD54" s="29">
        <v>11634.028571949984</v>
      </c>
      <c r="AE54" s="29">
        <v>8891.9676000000036</v>
      </c>
      <c r="AF54" s="31">
        <v>0.76430683877112204</v>
      </c>
      <c r="AG54" s="39"/>
      <c r="AH54" s="29">
        <v>13140.783620982149</v>
      </c>
      <c r="AI54" s="29">
        <v>359535.72535803588</v>
      </c>
      <c r="AJ54" s="31">
        <v>1.1257055326924286</v>
      </c>
      <c r="AK54" s="39"/>
      <c r="AL54" s="80">
        <v>0.19474817744186185</v>
      </c>
      <c r="AM54" s="80">
        <v>0.1735147738845656</v>
      </c>
      <c r="AN54" s="39"/>
      <c r="AO54" s="32">
        <v>0</v>
      </c>
      <c r="AP54" s="31">
        <v>0</v>
      </c>
      <c r="AQ54" s="10"/>
    </row>
    <row r="55" spans="1:43" ht="8" customHeight="1" x14ac:dyDescent="0.3">
      <c r="B55" s="16"/>
      <c r="D55" s="34"/>
      <c r="E55" s="47"/>
      <c r="F55" s="125"/>
      <c r="G55" s="34"/>
      <c r="H55" s="48"/>
      <c r="I55" s="48"/>
      <c r="J55" s="48"/>
      <c r="K55" s="51"/>
      <c r="L55" s="34"/>
      <c r="M55" s="48"/>
      <c r="N55" s="48"/>
      <c r="O55" s="51"/>
      <c r="P55" s="48"/>
      <c r="Q55" s="47"/>
      <c r="R55" s="34"/>
      <c r="S55" s="51"/>
      <c r="T55" s="51"/>
      <c r="U55" s="34"/>
      <c r="V55" s="48"/>
      <c r="W55" s="52"/>
      <c r="X55" s="48"/>
      <c r="Y55" s="34"/>
      <c r="Z55" s="62"/>
      <c r="AA55" s="47"/>
      <c r="AB55" s="47"/>
      <c r="AC55" s="36"/>
      <c r="AD55" s="48"/>
      <c r="AE55" s="48"/>
      <c r="AF55" s="47"/>
      <c r="AG55" s="36"/>
      <c r="AH55" s="48"/>
      <c r="AI55" s="48"/>
      <c r="AJ55" s="47"/>
      <c r="AK55" s="36"/>
      <c r="AL55" s="49"/>
      <c r="AM55" s="53"/>
      <c r="AN55" s="36"/>
      <c r="AO55" s="52"/>
      <c r="AP55" s="47"/>
    </row>
    <row r="56" spans="1:43" ht="12.75" customHeight="1" x14ac:dyDescent="0.3">
      <c r="A56" s="7" t="s">
        <v>21</v>
      </c>
      <c r="B56" s="234" t="s">
        <v>75</v>
      </c>
      <c r="C56" s="6" t="s">
        <v>8</v>
      </c>
      <c r="D56" s="34"/>
      <c r="E56" s="33">
        <v>352535.4099999998</v>
      </c>
      <c r="F56" s="123">
        <v>4.7639920270270242</v>
      </c>
      <c r="G56" s="7"/>
      <c r="H56" s="35">
        <v>74000</v>
      </c>
      <c r="I56" s="35">
        <v>39846.153846153844</v>
      </c>
      <c r="J56" s="35">
        <v>40602.950000000703</v>
      </c>
      <c r="K56" s="70">
        <v>1.0189929536679714</v>
      </c>
      <c r="L56" s="36"/>
      <c r="M56" s="35">
        <v>16206</v>
      </c>
      <c r="N56" s="35">
        <v>8726.3076923076915</v>
      </c>
      <c r="O56" s="37">
        <v>0</v>
      </c>
      <c r="P56" s="35">
        <v>8866.7500000000036</v>
      </c>
      <c r="Q56" s="115">
        <v>1.0160941273954978</v>
      </c>
      <c r="R56" s="36"/>
      <c r="S56" s="127">
        <v>0.219</v>
      </c>
      <c r="T56" s="127">
        <v>0.21837698984925602</v>
      </c>
      <c r="U56" s="36"/>
      <c r="V56" s="35"/>
      <c r="W56" s="38">
        <v>10.242851812493129</v>
      </c>
      <c r="X56" s="69" t="s">
        <v>69</v>
      </c>
      <c r="Y56" s="36"/>
      <c r="Z56" s="62"/>
      <c r="AA56" s="33">
        <v>2846.1538461538462</v>
      </c>
      <c r="AB56" s="33">
        <v>2926.1099999999983</v>
      </c>
      <c r="AC56" s="36"/>
      <c r="AD56" s="35">
        <v>623.30769230769226</v>
      </c>
      <c r="AE56" s="35">
        <v>511.4799999999999</v>
      </c>
      <c r="AF56" s="115">
        <v>0.82058990497346651</v>
      </c>
      <c r="AG56" s="36"/>
      <c r="AH56" s="35">
        <v>633.33928571428601</v>
      </c>
      <c r="AI56" s="35">
        <v>16466.821428571435</v>
      </c>
      <c r="AJ56" s="115">
        <v>1.0160941273954975</v>
      </c>
      <c r="AK56" s="36"/>
      <c r="AL56" s="108">
        <v>0.219</v>
      </c>
      <c r="AM56" s="108">
        <v>0.17479862342837427</v>
      </c>
      <c r="AN56" s="36"/>
      <c r="AO56" s="38">
        <v>5.4393033754711713</v>
      </c>
      <c r="AP56" s="70">
        <v>0</v>
      </c>
    </row>
    <row r="57" spans="1:43" ht="12.75" customHeight="1" x14ac:dyDescent="0.3">
      <c r="A57" s="7" t="s">
        <v>21</v>
      </c>
      <c r="B57" s="234"/>
      <c r="C57" s="6" t="s">
        <v>9</v>
      </c>
      <c r="D57" s="34"/>
      <c r="E57" s="33">
        <v>480508.75000000047</v>
      </c>
      <c r="F57" s="123">
        <v>2.4025437500000022</v>
      </c>
      <c r="G57" s="7"/>
      <c r="H57" s="35">
        <v>200000</v>
      </c>
      <c r="I57" s="35">
        <v>106666.66666666667</v>
      </c>
      <c r="J57" s="35">
        <v>94245.630000002391</v>
      </c>
      <c r="K57" s="70">
        <v>0.88355278125002235</v>
      </c>
      <c r="L57" s="36"/>
      <c r="M57" s="35">
        <v>45000</v>
      </c>
      <c r="N57" s="35">
        <v>24000</v>
      </c>
      <c r="O57" s="37">
        <v>0</v>
      </c>
      <c r="P57" s="35">
        <v>20399.589999999956</v>
      </c>
      <c r="Q57" s="115">
        <v>0.84998291666666481</v>
      </c>
      <c r="R57" s="36"/>
      <c r="S57" s="127">
        <v>0.22500000000000001</v>
      </c>
      <c r="T57" s="127">
        <v>0.21645130920128008</v>
      </c>
      <c r="U57" s="36"/>
      <c r="V57" s="35"/>
      <c r="W57" s="38">
        <v>9.8548972509415158</v>
      </c>
      <c r="X57" s="69" t="s">
        <v>69</v>
      </c>
      <c r="Y57" s="36"/>
      <c r="Z57" s="62"/>
      <c r="AA57" s="33">
        <v>6666.666666666667</v>
      </c>
      <c r="AB57" s="33">
        <v>4525.8599999999842</v>
      </c>
      <c r="AC57" s="36"/>
      <c r="AD57" s="35">
        <v>1500</v>
      </c>
      <c r="AE57" s="35">
        <v>904.25000000000045</v>
      </c>
      <c r="AF57" s="115">
        <v>0.60283333333333367</v>
      </c>
      <c r="AG57" s="36"/>
      <c r="AH57" s="35">
        <v>1274.9743749999973</v>
      </c>
      <c r="AI57" s="35">
        <v>38249.231249999917</v>
      </c>
      <c r="AJ57" s="115">
        <v>0.84998291666666481</v>
      </c>
      <c r="AK57" s="36"/>
      <c r="AL57" s="108">
        <v>0.22500000000000001</v>
      </c>
      <c r="AM57" s="108">
        <v>0.19979628181163439</v>
      </c>
      <c r="AN57" s="36"/>
      <c r="AO57" s="38">
        <v>7.9408112491324747</v>
      </c>
      <c r="AP57" s="70">
        <v>0</v>
      </c>
    </row>
    <row r="58" spans="1:43" ht="12.75" customHeight="1" x14ac:dyDescent="0.3">
      <c r="A58" s="7" t="s">
        <v>21</v>
      </c>
      <c r="B58" s="234"/>
      <c r="C58" s="6" t="s">
        <v>10</v>
      </c>
      <c r="D58" s="34"/>
      <c r="E58" s="33">
        <v>577110.57999999973</v>
      </c>
      <c r="F58" s="123">
        <v>2.7481456190476177</v>
      </c>
      <c r="G58" s="7"/>
      <c r="H58" s="35">
        <v>210000</v>
      </c>
      <c r="I58" s="35">
        <v>112000</v>
      </c>
      <c r="J58" s="35">
        <v>110417.70000000396</v>
      </c>
      <c r="K58" s="70">
        <v>0.9858723214286067</v>
      </c>
      <c r="L58" s="36"/>
      <c r="M58" s="35">
        <v>45990</v>
      </c>
      <c r="N58" s="35">
        <v>24528</v>
      </c>
      <c r="O58" s="37">
        <v>0</v>
      </c>
      <c r="P58" s="35">
        <v>22883.29</v>
      </c>
      <c r="Q58" s="115">
        <v>0.9329456131767776</v>
      </c>
      <c r="R58" s="36"/>
      <c r="S58" s="127">
        <v>0.219</v>
      </c>
      <c r="T58" s="127">
        <v>0.20724295108482771</v>
      </c>
      <c r="U58" s="36"/>
      <c r="V58" s="35"/>
      <c r="W58" s="38">
        <v>9.1453906393665179</v>
      </c>
      <c r="X58" s="69" t="s">
        <v>69</v>
      </c>
      <c r="Y58" s="36"/>
      <c r="Z58" s="62"/>
      <c r="AA58" s="33">
        <v>7000</v>
      </c>
      <c r="AB58" s="33">
        <v>4913.5799999999826</v>
      </c>
      <c r="AC58" s="36"/>
      <c r="AD58" s="35">
        <v>1533</v>
      </c>
      <c r="AE58" s="35">
        <v>1020.9499999999992</v>
      </c>
      <c r="AF58" s="115">
        <v>0.66598173515981685</v>
      </c>
      <c r="AG58" s="36"/>
      <c r="AH58" s="35">
        <v>1430.2056250000001</v>
      </c>
      <c r="AI58" s="35">
        <v>42906.168750000004</v>
      </c>
      <c r="AJ58" s="115">
        <v>0.93294561317677771</v>
      </c>
      <c r="AK58" s="36"/>
      <c r="AL58" s="108">
        <v>0.219</v>
      </c>
      <c r="AM58" s="108">
        <v>0.20778129184830671</v>
      </c>
      <c r="AN58" s="36"/>
      <c r="AO58" s="38">
        <v>9.2981085074423184</v>
      </c>
      <c r="AP58" s="70">
        <v>0</v>
      </c>
    </row>
    <row r="59" spans="1:43" ht="12.75" customHeight="1" x14ac:dyDescent="0.3">
      <c r="A59" s="7" t="s">
        <v>21</v>
      </c>
      <c r="B59" s="234"/>
      <c r="C59" s="6" t="s">
        <v>12</v>
      </c>
      <c r="D59" s="34"/>
      <c r="E59" s="33">
        <v>34690.86</v>
      </c>
      <c r="F59" s="123">
        <v>4.0338209302325581</v>
      </c>
      <c r="G59" s="7"/>
      <c r="H59" s="35">
        <v>8600</v>
      </c>
      <c r="I59" s="35">
        <v>4630.7692307692305</v>
      </c>
      <c r="J59" s="35">
        <v>3372.4399999999923</v>
      </c>
      <c r="K59" s="70">
        <v>0.72826777408637711</v>
      </c>
      <c r="L59" s="36"/>
      <c r="M59" s="35">
        <v>688</v>
      </c>
      <c r="N59" s="35">
        <v>370.46153846153845</v>
      </c>
      <c r="O59" s="37">
        <v>0</v>
      </c>
      <c r="P59" s="35">
        <v>632.2099999999997</v>
      </c>
      <c r="Q59" s="115">
        <v>1.7065469269102982</v>
      </c>
      <c r="R59" s="36"/>
      <c r="S59" s="127">
        <v>0.08</v>
      </c>
      <c r="T59" s="127">
        <v>0.1874636761513922</v>
      </c>
      <c r="U59" s="36"/>
      <c r="V59" s="35"/>
      <c r="W59" s="38">
        <v>7.5197779649153684</v>
      </c>
      <c r="X59" s="69" t="s">
        <v>69</v>
      </c>
      <c r="Y59" s="36"/>
      <c r="Z59" s="62"/>
      <c r="AA59" s="33">
        <v>330.76923076923077</v>
      </c>
      <c r="AB59" s="33">
        <v>206.15000000000003</v>
      </c>
      <c r="AC59" s="36"/>
      <c r="AD59" s="35">
        <v>26.46153846153846</v>
      </c>
      <c r="AE59" s="35">
        <v>34.299999999999997</v>
      </c>
      <c r="AF59" s="115">
        <v>1.296220930232558</v>
      </c>
      <c r="AG59" s="36"/>
      <c r="AH59" s="35">
        <v>45.157857142857118</v>
      </c>
      <c r="AI59" s="35">
        <v>1174.104285714285</v>
      </c>
      <c r="AJ59" s="115">
        <v>1.706546926910298</v>
      </c>
      <c r="AK59" s="36"/>
      <c r="AL59" s="108">
        <v>0.08</v>
      </c>
      <c r="AM59" s="108">
        <v>0.16638370118845497</v>
      </c>
      <c r="AN59" s="36"/>
      <c r="AO59" s="38">
        <v>4.1862721319427854</v>
      </c>
      <c r="AP59" s="70">
        <v>0</v>
      </c>
    </row>
    <row r="60" spans="1:43" s="15" customFormat="1" ht="14.25" customHeight="1" x14ac:dyDescent="0.3">
      <c r="A60" s="26"/>
      <c r="B60" s="234"/>
      <c r="C60" s="9" t="s">
        <v>78</v>
      </c>
      <c r="D60" s="28"/>
      <c r="E60" s="27">
        <v>1444845.6</v>
      </c>
      <c r="F60" s="124">
        <v>2.9331010962241173</v>
      </c>
      <c r="G60" s="26"/>
      <c r="H60" s="29">
        <v>492600</v>
      </c>
      <c r="I60" s="29">
        <v>263143.58974358975</v>
      </c>
      <c r="J60" s="29">
        <v>248638.72000000707</v>
      </c>
      <c r="K60" s="31">
        <v>0.94487849862610607</v>
      </c>
      <c r="L60" s="39"/>
      <c r="M60" s="29">
        <v>107884</v>
      </c>
      <c r="N60" s="29">
        <v>57624.769230769227</v>
      </c>
      <c r="O60" s="27">
        <v>0</v>
      </c>
      <c r="P60" s="29">
        <v>52781.83999999996</v>
      </c>
      <c r="Q60" s="31">
        <v>0.91595750758888339</v>
      </c>
      <c r="R60" s="39"/>
      <c r="S60" s="128">
        <v>0.21900933820544052</v>
      </c>
      <c r="T60" s="128">
        <v>0.21228326786752466</v>
      </c>
      <c r="U60" s="39"/>
      <c r="V60" s="29"/>
      <c r="W60" s="32">
        <v>9.5714939330475062</v>
      </c>
      <c r="X60" s="30" t="s">
        <v>69</v>
      </c>
      <c r="Y60" s="39"/>
      <c r="Z60" s="62"/>
      <c r="AA60" s="27">
        <v>16843.589743589746</v>
      </c>
      <c r="AB60" s="27">
        <v>12571.699999999966</v>
      </c>
      <c r="AC60" s="39"/>
      <c r="AD60" s="29">
        <v>3682.7692307692309</v>
      </c>
      <c r="AE60" s="29">
        <v>2470.98</v>
      </c>
      <c r="AF60" s="31">
        <v>0.67095705572729547</v>
      </c>
      <c r="AG60" s="39"/>
      <c r="AH60" s="29">
        <v>3383.6771428571406</v>
      </c>
      <c r="AI60" s="29">
        <v>98796.325714285646</v>
      </c>
      <c r="AJ60" s="31">
        <v>0.91576439244267593</v>
      </c>
      <c r="AK60" s="39"/>
      <c r="AL60" s="80">
        <v>0.21900933820544052</v>
      </c>
      <c r="AM60" s="80">
        <v>0.19655098355831008</v>
      </c>
      <c r="AN60" s="39"/>
      <c r="AO60" s="32">
        <v>0</v>
      </c>
      <c r="AP60" s="31">
        <v>0</v>
      </c>
      <c r="AQ60" s="10"/>
    </row>
    <row r="61" spans="1:43" ht="8" customHeight="1" x14ac:dyDescent="0.3">
      <c r="B61" s="16"/>
      <c r="D61" s="34"/>
      <c r="E61" s="47"/>
      <c r="F61" s="125"/>
      <c r="G61" s="34"/>
      <c r="H61" s="48"/>
      <c r="I61" s="48"/>
      <c r="J61" s="48"/>
      <c r="K61" s="51"/>
      <c r="L61" s="34"/>
      <c r="M61" s="48"/>
      <c r="N61" s="48"/>
      <c r="O61" s="51"/>
      <c r="P61" s="48"/>
      <c r="Q61" s="47"/>
      <c r="R61" s="34"/>
      <c r="S61" s="51"/>
      <c r="T61" s="51"/>
      <c r="U61" s="34"/>
      <c r="V61" s="48"/>
      <c r="W61" s="52"/>
      <c r="X61" s="48"/>
      <c r="Y61" s="34"/>
      <c r="Z61" s="62"/>
      <c r="AA61" s="47"/>
      <c r="AB61" s="47"/>
      <c r="AC61" s="36"/>
      <c r="AD61" s="48"/>
      <c r="AE61" s="48"/>
      <c r="AF61" s="47"/>
      <c r="AG61" s="36"/>
      <c r="AH61" s="48"/>
      <c r="AI61" s="48"/>
      <c r="AJ61" s="47"/>
      <c r="AK61" s="36"/>
      <c r="AL61" s="49"/>
      <c r="AM61" s="53"/>
      <c r="AN61" s="36"/>
      <c r="AO61" s="52"/>
      <c r="AP61" s="47"/>
    </row>
    <row r="62" spans="1:43" ht="12.75" customHeight="1" x14ac:dyDescent="0.3">
      <c r="A62" s="7" t="s">
        <v>22</v>
      </c>
      <c r="B62" s="211" t="s">
        <v>55</v>
      </c>
      <c r="C62" s="6" t="s">
        <v>8</v>
      </c>
      <c r="D62" s="34"/>
      <c r="E62" s="33">
        <v>183437.47000000003</v>
      </c>
      <c r="F62" s="123">
        <v>0.16984950925925929</v>
      </c>
      <c r="G62" s="7"/>
      <c r="H62" s="35">
        <v>1080000</v>
      </c>
      <c r="I62" s="35">
        <v>581538.4615384615</v>
      </c>
      <c r="J62" s="35">
        <v>608120.1599999977</v>
      </c>
      <c r="K62" s="70">
        <v>1.045709269841266</v>
      </c>
      <c r="L62" s="36"/>
      <c r="M62" s="35">
        <v>43200</v>
      </c>
      <c r="N62" s="35">
        <v>23261.538461538461</v>
      </c>
      <c r="O62" s="37">
        <v>0</v>
      </c>
      <c r="P62" s="35">
        <v>33419.056200000006</v>
      </c>
      <c r="Q62" s="115">
        <v>1.4366657757936512</v>
      </c>
      <c r="R62" s="36"/>
      <c r="S62" s="127">
        <v>0.04</v>
      </c>
      <c r="T62" s="127">
        <v>5.4954692177940842E-2</v>
      </c>
      <c r="U62" s="36"/>
      <c r="V62" s="35"/>
      <c r="W62" s="38">
        <v>-8.0995265475169322</v>
      </c>
      <c r="X62" s="69" t="s">
        <v>69</v>
      </c>
      <c r="Y62" s="36"/>
      <c r="Z62" s="62"/>
      <c r="AA62" s="33">
        <v>41538.461538461539</v>
      </c>
      <c r="AB62" s="33">
        <v>36653.449999999997</v>
      </c>
      <c r="AC62" s="36"/>
      <c r="AD62" s="35">
        <v>1661.5384615384614</v>
      </c>
      <c r="AE62" s="35">
        <v>2242.1209000000017</v>
      </c>
      <c r="AF62" s="115">
        <v>1.3494246157407419</v>
      </c>
      <c r="AG62" s="36"/>
      <c r="AH62" s="35">
        <v>2387.0754428571431</v>
      </c>
      <c r="AI62" s="35">
        <v>62063.961514285722</v>
      </c>
      <c r="AJ62" s="115">
        <v>1.436665775793651</v>
      </c>
      <c r="AK62" s="36"/>
      <c r="AL62" s="108">
        <v>0.04</v>
      </c>
      <c r="AM62" s="108">
        <v>6.1170801111491604E-2</v>
      </c>
      <c r="AN62" s="36"/>
      <c r="AO62" s="38">
        <v>-7.255385509413145</v>
      </c>
      <c r="AP62" s="70">
        <v>0</v>
      </c>
    </row>
    <row r="63" spans="1:43" ht="12.75" customHeight="1" x14ac:dyDescent="0.3">
      <c r="A63" s="7" t="s">
        <v>22</v>
      </c>
      <c r="B63" s="211"/>
      <c r="C63" s="6" t="s">
        <v>9</v>
      </c>
      <c r="D63" s="34"/>
      <c r="E63" s="33">
        <v>226124.7</v>
      </c>
      <c r="F63" s="123">
        <v>0.30975986301369862</v>
      </c>
      <c r="G63" s="7"/>
      <c r="H63" s="35">
        <v>730000</v>
      </c>
      <c r="I63" s="35">
        <v>389333.33333333331</v>
      </c>
      <c r="J63" s="35">
        <v>367128.49999999406</v>
      </c>
      <c r="K63" s="70">
        <v>0.9429670376712177</v>
      </c>
      <c r="L63" s="36"/>
      <c r="M63" s="35">
        <v>65700</v>
      </c>
      <c r="N63" s="35">
        <v>35040</v>
      </c>
      <c r="O63" s="37">
        <v>0</v>
      </c>
      <c r="P63" s="35">
        <v>30883.069999999989</v>
      </c>
      <c r="Q63" s="115">
        <v>0.88136615296803622</v>
      </c>
      <c r="R63" s="36"/>
      <c r="S63" s="127">
        <v>0.09</v>
      </c>
      <c r="T63" s="127">
        <v>8.4120600825053043E-2</v>
      </c>
      <c r="U63" s="36"/>
      <c r="V63" s="35"/>
      <c r="W63" s="38">
        <v>-3.8321350698748242</v>
      </c>
      <c r="X63" s="69" t="s">
        <v>69</v>
      </c>
      <c r="Y63" s="36"/>
      <c r="Z63" s="62"/>
      <c r="AA63" s="33">
        <v>24333.333333333332</v>
      </c>
      <c r="AB63" s="33">
        <v>12716.269999999975</v>
      </c>
      <c r="AC63" s="36"/>
      <c r="AD63" s="35">
        <v>2190</v>
      </c>
      <c r="AE63" s="35">
        <v>1971.4200000000005</v>
      </c>
      <c r="AF63" s="115">
        <v>0.90019178082191809</v>
      </c>
      <c r="AG63" s="36"/>
      <c r="AH63" s="35">
        <v>1930.1918749999993</v>
      </c>
      <c r="AI63" s="35">
        <v>57905.756249999977</v>
      </c>
      <c r="AJ63" s="115">
        <v>0.88136615296803622</v>
      </c>
      <c r="AK63" s="36"/>
      <c r="AL63" s="108">
        <v>0.09</v>
      </c>
      <c r="AM63" s="108">
        <v>0.15503131028202488</v>
      </c>
      <c r="AN63" s="36"/>
      <c r="AO63" s="38">
        <v>3.3932120032050754</v>
      </c>
      <c r="AP63" s="70">
        <v>0</v>
      </c>
    </row>
    <row r="64" spans="1:43" ht="12.75" customHeight="1" x14ac:dyDescent="0.3">
      <c r="A64" s="7" t="s">
        <v>22</v>
      </c>
      <c r="B64" s="211"/>
      <c r="C64" s="6" t="s">
        <v>10</v>
      </c>
      <c r="D64" s="34"/>
      <c r="E64" s="33">
        <v>303961.24</v>
      </c>
      <c r="F64" s="123">
        <v>0.399949</v>
      </c>
      <c r="G64" s="7"/>
      <c r="H64" s="35">
        <v>760000</v>
      </c>
      <c r="I64" s="35">
        <v>405333.33333333331</v>
      </c>
      <c r="J64" s="35">
        <v>374204.22999999259</v>
      </c>
      <c r="K64" s="70">
        <v>0.92320122532892912</v>
      </c>
      <c r="L64" s="36"/>
      <c r="M64" s="35">
        <v>75240</v>
      </c>
      <c r="N64" s="35">
        <v>40128</v>
      </c>
      <c r="O64" s="37">
        <v>0</v>
      </c>
      <c r="P64" s="35">
        <v>46741.059449999993</v>
      </c>
      <c r="Q64" s="115">
        <v>1.1647991290370812</v>
      </c>
      <c r="R64" s="36"/>
      <c r="S64" s="127">
        <v>9.9000000000000005E-2</v>
      </c>
      <c r="T64" s="127">
        <v>0.12490788639669016</v>
      </c>
      <c r="U64" s="36"/>
      <c r="V64" s="35"/>
      <c r="W64" s="38">
        <v>0.37977642582878018</v>
      </c>
      <c r="X64" s="69" t="s">
        <v>69</v>
      </c>
      <c r="Y64" s="36"/>
      <c r="Z64" s="62"/>
      <c r="AA64" s="33">
        <v>25333.333333333332</v>
      </c>
      <c r="AB64" s="33">
        <v>21670.779999999992</v>
      </c>
      <c r="AC64" s="36"/>
      <c r="AD64" s="35">
        <v>2508</v>
      </c>
      <c r="AE64" s="35">
        <v>2885.3859500000017</v>
      </c>
      <c r="AF64" s="115">
        <v>1.150472866826157</v>
      </c>
      <c r="AG64" s="36"/>
      <c r="AH64" s="35">
        <v>2921.3162156249996</v>
      </c>
      <c r="AI64" s="35">
        <v>87639.486468749994</v>
      </c>
      <c r="AJ64" s="115">
        <v>1.1647991290370812</v>
      </c>
      <c r="AK64" s="36"/>
      <c r="AL64" s="108">
        <v>9.9000000000000005E-2</v>
      </c>
      <c r="AM64" s="108">
        <v>0.13314638190226669</v>
      </c>
      <c r="AN64" s="36"/>
      <c r="AO64" s="38">
        <v>1.4863145212123632</v>
      </c>
      <c r="AP64" s="70">
        <v>0</v>
      </c>
    </row>
    <row r="65" spans="1:43" ht="12.75" customHeight="1" x14ac:dyDescent="0.3">
      <c r="A65" s="7" t="s">
        <v>22</v>
      </c>
      <c r="B65" s="211"/>
      <c r="C65" s="6" t="s">
        <v>12</v>
      </c>
      <c r="D65" s="34"/>
      <c r="E65" s="33">
        <v>65048.279999999992</v>
      </c>
      <c r="F65" s="123">
        <v>9.5378709677419349E-2</v>
      </c>
      <c r="G65" s="7"/>
      <c r="H65" s="35">
        <v>682000</v>
      </c>
      <c r="I65" s="35">
        <v>367230.76923076925</v>
      </c>
      <c r="J65" s="35">
        <v>294776.04999999981</v>
      </c>
      <c r="K65" s="70">
        <v>0.80269975911185532</v>
      </c>
      <c r="L65" s="36"/>
      <c r="M65" s="35">
        <v>64829.717876106268</v>
      </c>
      <c r="N65" s="35">
        <v>34908.309625595677</v>
      </c>
      <c r="O65" s="37">
        <v>6023.67</v>
      </c>
      <c r="P65" s="35">
        <v>36224.389999999985</v>
      </c>
      <c r="Q65" s="115">
        <v>1.0377010628277263</v>
      </c>
      <c r="R65" s="36"/>
      <c r="S65" s="127">
        <v>9.5058237354994524E-2</v>
      </c>
      <c r="T65" s="127">
        <v>0.12288783298371767</v>
      </c>
      <c r="U65" s="36"/>
      <c r="V65" s="35"/>
      <c r="W65" s="38">
        <v>-3.6347729064149492</v>
      </c>
      <c r="X65" s="69" t="s">
        <v>69</v>
      </c>
      <c r="Y65" s="36"/>
      <c r="Z65" s="62"/>
      <c r="AA65" s="33">
        <v>26230.76923076923</v>
      </c>
      <c r="AB65" s="33">
        <v>33049.4</v>
      </c>
      <c r="AC65" s="36"/>
      <c r="AD65" s="35">
        <v>2493.4506875425486</v>
      </c>
      <c r="AE65" s="35">
        <v>3042.7000000000012</v>
      </c>
      <c r="AF65" s="115">
        <v>1.2202767895918456</v>
      </c>
      <c r="AG65" s="36"/>
      <c r="AH65" s="35">
        <v>2587.4564285714273</v>
      </c>
      <c r="AI65" s="35">
        <v>67273.867142857111</v>
      </c>
      <c r="AJ65" s="115">
        <v>1.0377010628277261</v>
      </c>
      <c r="AK65" s="36"/>
      <c r="AL65" s="108">
        <v>9.5058237354994524E-2</v>
      </c>
      <c r="AM65" s="108">
        <v>9.2065211471312677E-2</v>
      </c>
      <c r="AN65" s="36"/>
      <c r="AO65" s="38">
        <v>-4.6045919139227971</v>
      </c>
      <c r="AP65" s="70">
        <v>0</v>
      </c>
    </row>
    <row r="66" spans="1:43" s="15" customFormat="1" ht="14.25" customHeight="1" x14ac:dyDescent="0.3">
      <c r="A66" s="26"/>
      <c r="B66" s="211"/>
      <c r="C66" s="9" t="s">
        <v>56</v>
      </c>
      <c r="D66" s="28"/>
      <c r="E66" s="27">
        <v>778571.69000000006</v>
      </c>
      <c r="F66" s="124">
        <v>0.23941318880688808</v>
      </c>
      <c r="G66" s="26"/>
      <c r="H66" s="29">
        <v>3252000</v>
      </c>
      <c r="I66" s="29">
        <v>1743435.8974358973</v>
      </c>
      <c r="J66" s="29">
        <v>1644228.9399999841</v>
      </c>
      <c r="K66" s="31">
        <v>0.94309687119450814</v>
      </c>
      <c r="L66" s="39"/>
      <c r="M66" s="29">
        <v>248969.71787610627</v>
      </c>
      <c r="N66" s="29">
        <v>133337.84808713413</v>
      </c>
      <c r="O66" s="27">
        <v>6023.67</v>
      </c>
      <c r="P66" s="29">
        <v>147267.57564999998</v>
      </c>
      <c r="Q66" s="31">
        <v>1.1044694193186844</v>
      </c>
      <c r="R66" s="39"/>
      <c r="S66" s="128">
        <v>7.655895383644104E-2</v>
      </c>
      <c r="T66" s="128">
        <v>8.9566344483634625E-2</v>
      </c>
      <c r="U66" s="39"/>
      <c r="V66" s="29"/>
      <c r="W66" s="32">
        <v>-4.4164783007659647</v>
      </c>
      <c r="X66" s="30" t="s">
        <v>69</v>
      </c>
      <c r="Y66" s="39"/>
      <c r="Z66" s="62"/>
      <c r="AA66" s="27">
        <v>117435.89743589744</v>
      </c>
      <c r="AB66" s="27">
        <v>104089.89999999997</v>
      </c>
      <c r="AC66" s="39"/>
      <c r="AD66" s="29">
        <v>8852.9891490810096</v>
      </c>
      <c r="AE66" s="29">
        <v>10141.626850000004</v>
      </c>
      <c r="AF66" s="31">
        <v>1.1455596159917085</v>
      </c>
      <c r="AG66" s="39"/>
      <c r="AH66" s="29">
        <v>9826.03996205357</v>
      </c>
      <c r="AI66" s="29">
        <v>274883.07137589279</v>
      </c>
      <c r="AJ66" s="31">
        <v>1.1040823507406698</v>
      </c>
      <c r="AK66" s="39"/>
      <c r="AL66" s="80">
        <v>7.655895383644104E-2</v>
      </c>
      <c r="AM66" s="80">
        <v>9.7431420819887496E-2</v>
      </c>
      <c r="AN66" s="39"/>
      <c r="AO66" s="32">
        <v>0</v>
      </c>
      <c r="AP66" s="31">
        <v>0</v>
      </c>
      <c r="AQ66" s="10"/>
    </row>
    <row r="67" spans="1:43" ht="8" customHeight="1" x14ac:dyDescent="0.3">
      <c r="B67" s="16"/>
      <c r="D67" s="34"/>
      <c r="E67" s="47"/>
      <c r="F67" s="125"/>
      <c r="G67" s="34"/>
      <c r="H67" s="48"/>
      <c r="I67" s="48"/>
      <c r="J67" s="48"/>
      <c r="K67" s="51"/>
      <c r="L67" s="34"/>
      <c r="M67" s="48"/>
      <c r="N67" s="48"/>
      <c r="O67" s="51"/>
      <c r="P67" s="48"/>
      <c r="Q67" s="47"/>
      <c r="R67" s="34"/>
      <c r="S67" s="51"/>
      <c r="T67" s="51"/>
      <c r="U67" s="34"/>
      <c r="V67" s="48"/>
      <c r="W67" s="52"/>
      <c r="X67" s="48"/>
      <c r="Y67" s="34"/>
      <c r="Z67" s="62"/>
      <c r="AA67" s="47"/>
      <c r="AB67" s="47"/>
      <c r="AC67" s="36"/>
      <c r="AD67" s="48"/>
      <c r="AE67" s="48"/>
      <c r="AF67" s="47"/>
      <c r="AG67" s="36"/>
      <c r="AH67" s="48"/>
      <c r="AI67" s="48"/>
      <c r="AJ67" s="47"/>
      <c r="AK67" s="36"/>
      <c r="AL67" s="49"/>
      <c r="AM67" s="53"/>
      <c r="AN67" s="36"/>
      <c r="AO67" s="52"/>
      <c r="AP67" s="47"/>
    </row>
    <row r="68" spans="1:43" ht="12.75" customHeight="1" x14ac:dyDescent="0.3">
      <c r="A68" s="7" t="s">
        <v>23</v>
      </c>
      <c r="B68" s="235" t="s">
        <v>76</v>
      </c>
      <c r="C68" s="6" t="s">
        <v>8</v>
      </c>
      <c r="D68" s="34"/>
      <c r="E68" s="33">
        <v>280951.61000000016</v>
      </c>
      <c r="F68" s="123">
        <v>4.3898689062500029</v>
      </c>
      <c r="G68" s="7"/>
      <c r="H68" s="35">
        <v>64000</v>
      </c>
      <c r="I68" s="35">
        <v>34461.538461538461</v>
      </c>
      <c r="J68" s="35">
        <v>34137.860000000786</v>
      </c>
      <c r="K68" s="70">
        <v>0.99060754464288003</v>
      </c>
      <c r="L68" s="36"/>
      <c r="M68" s="35">
        <v>12928</v>
      </c>
      <c r="N68" s="35">
        <v>6961.2307692307695</v>
      </c>
      <c r="O68" s="37">
        <v>0</v>
      </c>
      <c r="P68" s="35">
        <v>6971.2400000000143</v>
      </c>
      <c r="Q68" s="115">
        <v>1.0014378536067912</v>
      </c>
      <c r="R68" s="36"/>
      <c r="S68" s="127">
        <v>0.20200000000000001</v>
      </c>
      <c r="T68" s="127">
        <v>0.20420846532266093</v>
      </c>
      <c r="U68" s="36"/>
      <c r="V68" s="35"/>
      <c r="W68" s="38">
        <v>8.721724208842236</v>
      </c>
      <c r="X68" s="69" t="s">
        <v>69</v>
      </c>
      <c r="Y68" s="36"/>
      <c r="Z68" s="62"/>
      <c r="AA68" s="33">
        <v>2461.5384615384614</v>
      </c>
      <c r="AB68" s="33">
        <v>2163.4900000000007</v>
      </c>
      <c r="AC68" s="36"/>
      <c r="AD68" s="35">
        <v>497.23076923076923</v>
      </c>
      <c r="AE68" s="35">
        <v>435.94999999999982</v>
      </c>
      <c r="AF68" s="115">
        <v>0.87675587871287097</v>
      </c>
      <c r="AG68" s="36"/>
      <c r="AH68" s="35">
        <v>497.94571428571533</v>
      </c>
      <c r="AI68" s="35">
        <v>12946.588571428598</v>
      </c>
      <c r="AJ68" s="115">
        <v>1.0014378536067914</v>
      </c>
      <c r="AK68" s="36"/>
      <c r="AL68" s="108">
        <v>0.20200000000000001</v>
      </c>
      <c r="AM68" s="108">
        <v>0.20150312689219718</v>
      </c>
      <c r="AN68" s="36"/>
      <c r="AO68" s="38">
        <v>7.7721644195258817</v>
      </c>
      <c r="AP68" s="70">
        <v>0</v>
      </c>
    </row>
    <row r="69" spans="1:43" ht="12.75" customHeight="1" x14ac:dyDescent="0.3">
      <c r="A69" s="7" t="s">
        <v>23</v>
      </c>
      <c r="B69" s="211"/>
      <c r="C69" s="6" t="s">
        <v>9</v>
      </c>
      <c r="D69" s="34"/>
      <c r="E69" s="33">
        <v>314288.58000000025</v>
      </c>
      <c r="F69" s="123">
        <v>2.1978222377622396</v>
      </c>
      <c r="G69" s="7"/>
      <c r="H69" s="35">
        <v>143000</v>
      </c>
      <c r="I69" s="35">
        <v>76266.666666666672</v>
      </c>
      <c r="J69" s="35">
        <v>72692.300000000483</v>
      </c>
      <c r="K69" s="70">
        <v>0.95313330419581044</v>
      </c>
      <c r="L69" s="36"/>
      <c r="M69" s="35">
        <v>34694.736930389947</v>
      </c>
      <c r="N69" s="35">
        <v>18503.859696207972</v>
      </c>
      <c r="O69" s="37">
        <v>0</v>
      </c>
      <c r="P69" s="35">
        <v>16232.179999999966</v>
      </c>
      <c r="Q69" s="115">
        <v>0.87723211624472353</v>
      </c>
      <c r="R69" s="36"/>
      <c r="S69" s="127">
        <v>0.24262053797475489</v>
      </c>
      <c r="T69" s="127">
        <v>0.22329985431744295</v>
      </c>
      <c r="U69" s="36"/>
      <c r="V69" s="35"/>
      <c r="W69" s="38">
        <v>10.465289996327263</v>
      </c>
      <c r="X69" s="69" t="s">
        <v>69</v>
      </c>
      <c r="Y69" s="36"/>
      <c r="Z69" s="62"/>
      <c r="AA69" s="33">
        <v>4766.666666666667</v>
      </c>
      <c r="AB69" s="33">
        <v>4191.0199999999923</v>
      </c>
      <c r="AC69" s="36"/>
      <c r="AD69" s="35">
        <v>1156.4912310129982</v>
      </c>
      <c r="AE69" s="35">
        <v>866.56000000000029</v>
      </c>
      <c r="AF69" s="115">
        <v>0.74930096896710552</v>
      </c>
      <c r="AG69" s="36"/>
      <c r="AH69" s="35">
        <v>1014.5112499999979</v>
      </c>
      <c r="AI69" s="35">
        <v>30435.337499999936</v>
      </c>
      <c r="AJ69" s="115">
        <v>0.87723211624472353</v>
      </c>
      <c r="AK69" s="36"/>
      <c r="AL69" s="108">
        <v>0.24262053797475489</v>
      </c>
      <c r="AM69" s="108">
        <v>0.20676589469866569</v>
      </c>
      <c r="AN69" s="36"/>
      <c r="AO69" s="38">
        <v>8.7880754565712511</v>
      </c>
      <c r="AP69" s="70">
        <v>0</v>
      </c>
    </row>
    <row r="70" spans="1:43" ht="12.75" customHeight="1" x14ac:dyDescent="0.3">
      <c r="A70" s="7" t="s">
        <v>23</v>
      </c>
      <c r="B70" s="211"/>
      <c r="C70" s="6" t="s">
        <v>10</v>
      </c>
      <c r="D70" s="34"/>
      <c r="E70" s="33">
        <v>520459.59000000008</v>
      </c>
      <c r="F70" s="123">
        <v>2.7392610000000004</v>
      </c>
      <c r="G70" s="7"/>
      <c r="H70" s="35">
        <v>190000</v>
      </c>
      <c r="I70" s="35">
        <v>101333.33333333333</v>
      </c>
      <c r="J70" s="35">
        <v>102039.61000000357</v>
      </c>
      <c r="K70" s="70">
        <v>1.006969835526351</v>
      </c>
      <c r="L70" s="36"/>
      <c r="M70" s="35">
        <v>45410</v>
      </c>
      <c r="N70" s="35">
        <v>24218.666666666668</v>
      </c>
      <c r="O70" s="37">
        <v>371.15</v>
      </c>
      <c r="P70" s="35">
        <v>22516.390000000058</v>
      </c>
      <c r="Q70" s="115">
        <v>0.92971220546135447</v>
      </c>
      <c r="R70" s="36"/>
      <c r="S70" s="127">
        <v>0.23899999999999999</v>
      </c>
      <c r="T70" s="127">
        <v>0.22066323068070595</v>
      </c>
      <c r="U70" s="36"/>
      <c r="V70" s="35"/>
      <c r="W70" s="38">
        <v>9.938003487080012</v>
      </c>
      <c r="X70" s="69" t="s">
        <v>69</v>
      </c>
      <c r="Y70" s="36"/>
      <c r="Z70" s="62"/>
      <c r="AA70" s="33">
        <v>6333.333333333333</v>
      </c>
      <c r="AB70" s="33">
        <v>5079.0799999999736</v>
      </c>
      <c r="AC70" s="36"/>
      <c r="AD70" s="35">
        <v>1513.6666666666667</v>
      </c>
      <c r="AE70" s="35">
        <v>1059.6900000000005</v>
      </c>
      <c r="AF70" s="115">
        <v>0.7000814798502536</v>
      </c>
      <c r="AG70" s="36"/>
      <c r="AH70" s="35">
        <v>1407.2743750000036</v>
      </c>
      <c r="AI70" s="35">
        <v>42218.231250000106</v>
      </c>
      <c r="AJ70" s="115">
        <v>0.92971220546135447</v>
      </c>
      <c r="AK70" s="36"/>
      <c r="AL70" s="108">
        <v>0.23899999999999999</v>
      </c>
      <c r="AM70" s="108">
        <v>0.20863817856777331</v>
      </c>
      <c r="AN70" s="36"/>
      <c r="AO70" s="38">
        <v>8.876016916448993</v>
      </c>
      <c r="AP70" s="70">
        <v>0</v>
      </c>
    </row>
    <row r="71" spans="1:43" ht="12.75" customHeight="1" x14ac:dyDescent="0.3">
      <c r="A71" s="7" t="s">
        <v>23</v>
      </c>
      <c r="B71" s="211"/>
      <c r="C71" s="6" t="s">
        <v>12</v>
      </c>
      <c r="D71" s="34"/>
      <c r="E71" s="33">
        <v>24407.440000000002</v>
      </c>
      <c r="F71" s="123">
        <v>6.973554285714286</v>
      </c>
      <c r="G71" s="7"/>
      <c r="H71" s="35">
        <v>3500</v>
      </c>
      <c r="I71" s="35">
        <v>1884.6153846153845</v>
      </c>
      <c r="J71" s="35">
        <v>2154.0800000000013</v>
      </c>
      <c r="K71" s="70">
        <v>1.1429812244897966</v>
      </c>
      <c r="L71" s="36"/>
      <c r="M71" s="35">
        <v>840</v>
      </c>
      <c r="N71" s="35">
        <v>452.30769230769226</v>
      </c>
      <c r="O71" s="37">
        <v>463.57</v>
      </c>
      <c r="P71" s="35">
        <v>1059.4099999999999</v>
      </c>
      <c r="Q71" s="115">
        <v>2.3422329931972787</v>
      </c>
      <c r="R71" s="36"/>
      <c r="S71" s="127">
        <v>0.24</v>
      </c>
      <c r="T71" s="127">
        <v>0.49181553145658435</v>
      </c>
      <c r="U71" s="36"/>
      <c r="V71" s="35"/>
      <c r="W71" s="38">
        <v>14.223241476639709</v>
      </c>
      <c r="X71" s="69" t="s">
        <v>69</v>
      </c>
      <c r="Y71" s="36"/>
      <c r="Z71" s="62"/>
      <c r="AA71" s="33">
        <v>134.61538461538461</v>
      </c>
      <c r="AB71" s="33">
        <v>154.70000000000002</v>
      </c>
      <c r="AC71" s="36"/>
      <c r="AD71" s="35">
        <v>32.307692307692307</v>
      </c>
      <c r="AE71" s="35">
        <v>42.449999999999996</v>
      </c>
      <c r="AF71" s="115">
        <v>1.3139285714285713</v>
      </c>
      <c r="AG71" s="36"/>
      <c r="AH71" s="35">
        <v>75.672142857142845</v>
      </c>
      <c r="AI71" s="35">
        <v>1967.475714285714</v>
      </c>
      <c r="AJ71" s="115">
        <v>2.3422329931972787</v>
      </c>
      <c r="AK71" s="36"/>
      <c r="AL71" s="108">
        <v>0.24</v>
      </c>
      <c r="AM71" s="108">
        <v>0.27440206851971555</v>
      </c>
      <c r="AN71" s="36"/>
      <c r="AO71" s="38">
        <v>13.380736910148686</v>
      </c>
      <c r="AP71" s="70">
        <v>0</v>
      </c>
    </row>
    <row r="72" spans="1:43" s="15" customFormat="1" ht="14.25" customHeight="1" x14ac:dyDescent="0.3">
      <c r="A72" s="26"/>
      <c r="B72" s="211"/>
      <c r="C72" s="9" t="s">
        <v>79</v>
      </c>
      <c r="D72" s="28"/>
      <c r="E72" s="27">
        <v>1140107.2200000004</v>
      </c>
      <c r="F72" s="124">
        <v>2.8467096629213495</v>
      </c>
      <c r="G72" s="26"/>
      <c r="H72" s="29">
        <v>400500</v>
      </c>
      <c r="I72" s="29">
        <v>213946.15384615381</v>
      </c>
      <c r="J72" s="29">
        <v>211023.85000000484</v>
      </c>
      <c r="K72" s="31">
        <v>0.98634093769103059</v>
      </c>
      <c r="L72" s="39"/>
      <c r="M72" s="29">
        <v>93872.736930389947</v>
      </c>
      <c r="N72" s="29">
        <v>50136.064824413108</v>
      </c>
      <c r="O72" s="27">
        <v>834.72</v>
      </c>
      <c r="P72" s="29">
        <v>46779.220000000045</v>
      </c>
      <c r="Q72" s="31">
        <v>0.93304530708244793</v>
      </c>
      <c r="R72" s="39"/>
      <c r="S72" s="128">
        <v>0.23438885625565531</v>
      </c>
      <c r="T72" s="128">
        <v>0.22167740755369109</v>
      </c>
      <c r="U72" s="39"/>
      <c r="V72" s="29"/>
      <c r="W72" s="32">
        <v>9.9666222562064473</v>
      </c>
      <c r="X72" s="30" t="s">
        <v>69</v>
      </c>
      <c r="Y72" s="39"/>
      <c r="Z72" s="62"/>
      <c r="AA72" s="27">
        <v>13696.153846153846</v>
      </c>
      <c r="AB72" s="27">
        <v>11588.289999999968</v>
      </c>
      <c r="AC72" s="39"/>
      <c r="AD72" s="29">
        <v>3199.6963592181264</v>
      </c>
      <c r="AE72" s="29">
        <v>2404.6500000000005</v>
      </c>
      <c r="AF72" s="31">
        <v>0.75152443545849379</v>
      </c>
      <c r="AG72" s="39"/>
      <c r="AH72" s="29">
        <v>2995.4034821428595</v>
      </c>
      <c r="AI72" s="29">
        <v>87567.63303571436</v>
      </c>
      <c r="AJ72" s="31">
        <v>0.93283349244039782</v>
      </c>
      <c r="AK72" s="39"/>
      <c r="AL72" s="80">
        <v>0.23438885625565531</v>
      </c>
      <c r="AM72" s="80">
        <v>0.20750688841925832</v>
      </c>
      <c r="AN72" s="39"/>
      <c r="AO72" s="32">
        <v>0</v>
      </c>
      <c r="AP72" s="31">
        <v>0</v>
      </c>
      <c r="AQ72" s="10"/>
    </row>
    <row r="73" spans="1:43" ht="7.75" customHeight="1" x14ac:dyDescent="0.3">
      <c r="B73" s="16"/>
      <c r="D73" s="34"/>
      <c r="E73" s="47"/>
      <c r="F73" s="125"/>
      <c r="G73" s="34"/>
      <c r="H73" s="48"/>
      <c r="I73" s="48"/>
      <c r="J73" s="48"/>
      <c r="K73" s="51"/>
      <c r="L73" s="34"/>
      <c r="M73" s="48"/>
      <c r="N73" s="48"/>
      <c r="O73" s="51"/>
      <c r="P73" s="48"/>
      <c r="Q73" s="47"/>
      <c r="R73" s="34"/>
      <c r="S73" s="51"/>
      <c r="T73" s="51"/>
      <c r="U73" s="34"/>
      <c r="V73" s="48"/>
      <c r="W73" s="52"/>
      <c r="X73" s="48"/>
      <c r="Y73" s="34"/>
      <c r="Z73" s="62"/>
      <c r="AA73" s="47"/>
      <c r="AB73" s="47"/>
      <c r="AC73" s="36"/>
      <c r="AD73" s="48"/>
      <c r="AE73" s="48"/>
      <c r="AF73" s="47"/>
      <c r="AG73" s="36"/>
      <c r="AH73" s="48"/>
      <c r="AI73" s="48"/>
      <c r="AJ73" s="47"/>
      <c r="AK73" s="36"/>
      <c r="AL73" s="49"/>
      <c r="AM73" s="53"/>
      <c r="AN73" s="36"/>
      <c r="AO73" s="52"/>
      <c r="AP73" s="47"/>
    </row>
    <row r="74" spans="1:43" ht="12.75" customHeight="1" x14ac:dyDescent="0.3">
      <c r="A74" s="7" t="s">
        <v>68</v>
      </c>
      <c r="B74" s="211" t="s">
        <v>70</v>
      </c>
      <c r="C74" s="6" t="s">
        <v>8</v>
      </c>
      <c r="D74" s="34"/>
      <c r="E74" s="33">
        <v>44378.109999999993</v>
      </c>
      <c r="F74" s="123">
        <v>0.672395606060606</v>
      </c>
      <c r="G74" s="7"/>
      <c r="H74" s="35">
        <v>66000</v>
      </c>
      <c r="I74" s="35">
        <v>35538.461538461539</v>
      </c>
      <c r="J74" s="35">
        <v>38277.900000000416</v>
      </c>
      <c r="K74" s="70">
        <v>1.077083766233778</v>
      </c>
      <c r="L74" s="36"/>
      <c r="M74" s="35">
        <v>11550</v>
      </c>
      <c r="N74" s="35">
        <v>6219.2307692307695</v>
      </c>
      <c r="O74" s="37">
        <v>182.85999999999999</v>
      </c>
      <c r="P74" s="35">
        <v>4646.0199999999913</v>
      </c>
      <c r="Q74" s="115">
        <v>0.74704094001236721</v>
      </c>
      <c r="R74" s="36"/>
      <c r="S74" s="127">
        <v>0.17499999999999999</v>
      </c>
      <c r="T74" s="127">
        <v>0.12137604205037217</v>
      </c>
      <c r="U74" s="36"/>
      <c r="V74" s="35"/>
      <c r="W74" s="38">
        <v>0.73606441314782112</v>
      </c>
      <c r="X74" s="69" t="s">
        <v>69</v>
      </c>
      <c r="Y74" s="36"/>
      <c r="Z74" s="62"/>
      <c r="AA74" s="33">
        <v>2538.4615384615386</v>
      </c>
      <c r="AB74" s="33">
        <v>3453.6199999999985</v>
      </c>
      <c r="AC74" s="36"/>
      <c r="AD74" s="35">
        <v>444.23076923076923</v>
      </c>
      <c r="AE74" s="35">
        <v>525.34999999999991</v>
      </c>
      <c r="AF74" s="115">
        <v>1.1826060606060604</v>
      </c>
      <c r="AG74" s="36"/>
      <c r="AH74" s="35">
        <v>331.85857142857083</v>
      </c>
      <c r="AI74" s="35">
        <v>8628.3228571428408</v>
      </c>
      <c r="AJ74" s="115">
        <v>0.74704094001236721</v>
      </c>
      <c r="AK74" s="36"/>
      <c r="AL74" s="108">
        <v>0.17499999999999999</v>
      </c>
      <c r="AM74" s="108">
        <v>0.15211575100908617</v>
      </c>
      <c r="AN74" s="36"/>
      <c r="AO74" s="38">
        <v>4.83347907413083</v>
      </c>
      <c r="AP74" s="70">
        <v>0</v>
      </c>
    </row>
    <row r="75" spans="1:43" ht="12.5" customHeight="1" x14ac:dyDescent="0.3">
      <c r="A75" s="7" t="s">
        <v>68</v>
      </c>
      <c r="B75" s="211"/>
      <c r="C75" s="6" t="s">
        <v>9</v>
      </c>
      <c r="D75" s="34"/>
      <c r="E75" s="33">
        <v>111396.54999999997</v>
      </c>
      <c r="F75" s="123">
        <v>0.72808202614379069</v>
      </c>
      <c r="G75" s="7"/>
      <c r="H75" s="35">
        <v>153000</v>
      </c>
      <c r="I75" s="35">
        <v>81600</v>
      </c>
      <c r="J75" s="35">
        <v>90146.130000003031</v>
      </c>
      <c r="K75" s="70">
        <v>1.1047319852941548</v>
      </c>
      <c r="L75" s="36"/>
      <c r="M75" s="35">
        <v>30083.290842020251</v>
      </c>
      <c r="N75" s="35">
        <v>16044.4217824108</v>
      </c>
      <c r="O75" s="37">
        <v>1600.1399999999999</v>
      </c>
      <c r="P75" s="35">
        <v>15236.760000000078</v>
      </c>
      <c r="Q75" s="115">
        <v>0.94966089813868226</v>
      </c>
      <c r="R75" s="36"/>
      <c r="S75" s="127">
        <v>0.19662281596091669</v>
      </c>
      <c r="T75" s="127">
        <v>0.16902289649039362</v>
      </c>
      <c r="U75" s="36"/>
      <c r="V75" s="35"/>
      <c r="W75" s="38">
        <v>4.7242516123579748</v>
      </c>
      <c r="X75" s="69" t="s">
        <v>69</v>
      </c>
      <c r="Y75" s="36"/>
      <c r="Z75" s="62"/>
      <c r="AA75" s="33">
        <v>5100</v>
      </c>
      <c r="AB75" s="33">
        <v>4641.4899999999889</v>
      </c>
      <c r="AC75" s="36"/>
      <c r="AD75" s="35">
        <v>1002.776361400675</v>
      </c>
      <c r="AE75" s="35">
        <v>790.39000000000021</v>
      </c>
      <c r="AF75" s="115">
        <v>0.78820166731491936</v>
      </c>
      <c r="AG75" s="36"/>
      <c r="AH75" s="35">
        <v>952.2975000000049</v>
      </c>
      <c r="AI75" s="35">
        <v>28568.925000000148</v>
      </c>
      <c r="AJ75" s="115">
        <v>0.94966089813868237</v>
      </c>
      <c r="AK75" s="36"/>
      <c r="AL75" s="108">
        <v>0.19662281596091669</v>
      </c>
      <c r="AM75" s="108">
        <v>0.17028798941719192</v>
      </c>
      <c r="AN75" s="36"/>
      <c r="AO75" s="38">
        <v>6.7900609502549765</v>
      </c>
      <c r="AP75" s="70">
        <v>0</v>
      </c>
    </row>
    <row r="76" spans="1:43" ht="12.75" customHeight="1" x14ac:dyDescent="0.3">
      <c r="A76" s="7" t="s">
        <v>68</v>
      </c>
      <c r="B76" s="211"/>
      <c r="C76" s="6" t="s">
        <v>10</v>
      </c>
      <c r="D76" s="34"/>
      <c r="E76" s="33">
        <v>143173.17000000013</v>
      </c>
      <c r="F76" s="123">
        <v>0.62795250000000058</v>
      </c>
      <c r="G76" s="7"/>
      <c r="H76" s="35">
        <v>228000</v>
      </c>
      <c r="I76" s="35">
        <v>121600</v>
      </c>
      <c r="J76" s="35">
        <v>129194.17000000515</v>
      </c>
      <c r="K76" s="70">
        <v>1.062452055921095</v>
      </c>
      <c r="L76" s="36"/>
      <c r="M76" s="35">
        <v>39900</v>
      </c>
      <c r="N76" s="35">
        <v>21280</v>
      </c>
      <c r="O76" s="37">
        <v>1049.3700000000001</v>
      </c>
      <c r="P76" s="35">
        <v>20282.120000000003</v>
      </c>
      <c r="Q76" s="115">
        <v>0.95310714285714293</v>
      </c>
      <c r="R76" s="36"/>
      <c r="S76" s="127">
        <v>0.17499999999999999</v>
      </c>
      <c r="T76" s="127">
        <v>0.1569894369072474</v>
      </c>
      <c r="U76" s="36"/>
      <c r="V76" s="35"/>
      <c r="W76" s="38">
        <v>4.686117028349992</v>
      </c>
      <c r="X76" s="69" t="s">
        <v>69</v>
      </c>
      <c r="Y76" s="36"/>
      <c r="Z76" s="62"/>
      <c r="AA76" s="33">
        <v>7600</v>
      </c>
      <c r="AB76" s="33">
        <v>7821.8199999999633</v>
      </c>
      <c r="AC76" s="36"/>
      <c r="AD76" s="35">
        <v>1330</v>
      </c>
      <c r="AE76" s="35">
        <v>1280.3600000000017</v>
      </c>
      <c r="AF76" s="115">
        <v>0.96267669172932457</v>
      </c>
      <c r="AG76" s="36"/>
      <c r="AH76" s="35">
        <v>1267.6325000000002</v>
      </c>
      <c r="AI76" s="35">
        <v>38028.975000000006</v>
      </c>
      <c r="AJ76" s="115">
        <v>0.95310714285714304</v>
      </c>
      <c r="AK76" s="36"/>
      <c r="AL76" s="108">
        <v>0.17499999999999999</v>
      </c>
      <c r="AM76" s="108">
        <v>0.16369080341915407</v>
      </c>
      <c r="AN76" s="36"/>
      <c r="AO76" s="38">
        <v>6.2527647018208787</v>
      </c>
      <c r="AP76" s="70">
        <v>0</v>
      </c>
    </row>
    <row r="77" spans="1:43" ht="12.75" customHeight="1" x14ac:dyDescent="0.3">
      <c r="A77" s="7" t="s">
        <v>68</v>
      </c>
      <c r="B77" s="211"/>
      <c r="C77" s="6" t="s">
        <v>12</v>
      </c>
      <c r="D77" s="34"/>
      <c r="E77" s="33">
        <v>6800.1399999999976</v>
      </c>
      <c r="F77" s="123">
        <v>0.97144857142857111</v>
      </c>
      <c r="G77" s="7"/>
      <c r="H77" s="35">
        <v>7000</v>
      </c>
      <c r="I77" s="35">
        <v>3769.2307692307691</v>
      </c>
      <c r="J77" s="35">
        <v>3274.3699999999853</v>
      </c>
      <c r="K77" s="70">
        <v>0.8687104081632615</v>
      </c>
      <c r="L77" s="36"/>
      <c r="M77" s="35">
        <v>1104.2494392822834</v>
      </c>
      <c r="N77" s="35">
        <v>594.5958519212295</v>
      </c>
      <c r="O77" s="37">
        <v>700.07</v>
      </c>
      <c r="P77" s="35">
        <v>919.87000000000012</v>
      </c>
      <c r="Q77" s="115">
        <v>1.5470508195234804</v>
      </c>
      <c r="R77" s="36"/>
      <c r="S77" s="127">
        <v>0.15774991989746906</v>
      </c>
      <c r="T77" s="127">
        <v>0.28093037744665517</v>
      </c>
      <c r="U77" s="36"/>
      <c r="V77" s="35"/>
      <c r="W77" s="38">
        <v>-3.481891172958985</v>
      </c>
      <c r="X77" s="69" t="s">
        <v>69</v>
      </c>
      <c r="Y77" s="36"/>
      <c r="Z77" s="62"/>
      <c r="AA77" s="33">
        <v>269.23076923076923</v>
      </c>
      <c r="AB77" s="33">
        <v>212.04999999999998</v>
      </c>
      <c r="AC77" s="36"/>
      <c r="AD77" s="35">
        <v>42.471132280087822</v>
      </c>
      <c r="AE77" s="35">
        <v>54.540000000000006</v>
      </c>
      <c r="AF77" s="115">
        <v>1.2841663754175576</v>
      </c>
      <c r="AG77" s="36"/>
      <c r="AH77" s="35">
        <v>65.705000000000013</v>
      </c>
      <c r="AI77" s="35">
        <v>1708.3300000000004</v>
      </c>
      <c r="AJ77" s="115">
        <v>1.5470508195234804</v>
      </c>
      <c r="AK77" s="36"/>
      <c r="AL77" s="108">
        <v>0.15774991989746906</v>
      </c>
      <c r="AM77" s="108">
        <v>0.25720348974298518</v>
      </c>
      <c r="AN77" s="36"/>
      <c r="AO77" s="38">
        <v>15.081348738505065</v>
      </c>
      <c r="AP77" s="70">
        <v>0</v>
      </c>
    </row>
    <row r="78" spans="1:43" s="15" customFormat="1" ht="14.25" customHeight="1" x14ac:dyDescent="0.3">
      <c r="A78" s="26"/>
      <c r="B78" s="211"/>
      <c r="C78" s="9" t="s">
        <v>80</v>
      </c>
      <c r="D78" s="28"/>
      <c r="E78" s="27">
        <v>305747.97000000009</v>
      </c>
      <c r="F78" s="124">
        <v>0.67345367841409709</v>
      </c>
      <c r="G78" s="26"/>
      <c r="H78" s="29">
        <v>454000</v>
      </c>
      <c r="I78" s="29">
        <v>242507.69230769231</v>
      </c>
      <c r="J78" s="29">
        <v>260892.57000000859</v>
      </c>
      <c r="K78" s="31">
        <v>1.075811523821643</v>
      </c>
      <c r="L78" s="39"/>
      <c r="M78" s="29">
        <v>82637.540281302528</v>
      </c>
      <c r="N78" s="29">
        <v>44138.2484035628</v>
      </c>
      <c r="O78" s="27">
        <v>3532.44</v>
      </c>
      <c r="P78" s="29">
        <v>41084.770000000077</v>
      </c>
      <c r="Q78" s="31">
        <v>0.93082012734976927</v>
      </c>
      <c r="R78" s="39"/>
      <c r="S78" s="128">
        <v>0.18202101383546812</v>
      </c>
      <c r="T78" s="128">
        <v>0.15747773115960614</v>
      </c>
      <c r="U78" s="39"/>
      <c r="V78" s="29"/>
      <c r="W78" s="32">
        <v>4.0172320737263956</v>
      </c>
      <c r="X78" s="30" t="s">
        <v>69</v>
      </c>
      <c r="Y78" s="39"/>
      <c r="Z78" s="62"/>
      <c r="AA78" s="27">
        <v>15507.692307692309</v>
      </c>
      <c r="AB78" s="27">
        <v>16128.97999999995</v>
      </c>
      <c r="AC78" s="39"/>
      <c r="AD78" s="29">
        <v>2819.4782629115316</v>
      </c>
      <c r="AE78" s="29">
        <v>2650.6400000000021</v>
      </c>
      <c r="AF78" s="31">
        <v>0.94011719645705705</v>
      </c>
      <c r="AG78" s="39"/>
      <c r="AH78" s="29">
        <v>2617.4935714285757</v>
      </c>
      <c r="AI78" s="29">
        <v>76934.552857143004</v>
      </c>
      <c r="AJ78" s="31">
        <v>0.93098793351367604</v>
      </c>
      <c r="AK78" s="39"/>
      <c r="AL78" s="80">
        <v>0.18202101383546812</v>
      </c>
      <c r="AM78" s="80">
        <v>0.16434021246228903</v>
      </c>
      <c r="AN78" s="39"/>
      <c r="AO78" s="32">
        <v>0</v>
      </c>
      <c r="AP78" s="31">
        <v>0</v>
      </c>
      <c r="AQ78" s="10"/>
    </row>
    <row r="79" spans="1:43" ht="8" customHeight="1" x14ac:dyDescent="0.3">
      <c r="B79" s="16"/>
      <c r="D79" s="34"/>
      <c r="E79" s="47"/>
      <c r="F79" s="125"/>
      <c r="G79" s="34"/>
      <c r="H79" s="48"/>
      <c r="I79" s="48"/>
      <c r="J79" s="48"/>
      <c r="K79" s="51"/>
      <c r="L79" s="34"/>
      <c r="M79" s="48"/>
      <c r="N79" s="48"/>
      <c r="O79" s="51"/>
      <c r="P79" s="48"/>
      <c r="Q79" s="47"/>
      <c r="R79" s="34"/>
      <c r="S79" s="51"/>
      <c r="T79" s="51"/>
      <c r="U79" s="34"/>
      <c r="V79" s="48"/>
      <c r="W79" s="52"/>
      <c r="X79" s="48"/>
      <c r="Y79" s="34"/>
      <c r="Z79" s="62"/>
      <c r="AA79" s="47"/>
      <c r="AB79" s="47"/>
      <c r="AC79" s="36"/>
      <c r="AD79" s="48"/>
      <c r="AE79" s="48"/>
      <c r="AF79" s="47"/>
      <c r="AG79" s="36"/>
      <c r="AH79" s="48"/>
      <c r="AI79" s="48"/>
      <c r="AJ79" s="47"/>
      <c r="AK79" s="36"/>
      <c r="AL79" s="49"/>
      <c r="AM79" s="53"/>
      <c r="AN79" s="36"/>
      <c r="AO79" s="52"/>
      <c r="AP79" s="47"/>
    </row>
    <row r="80" spans="1:43" ht="12.75" customHeight="1" x14ac:dyDescent="0.3">
      <c r="A80" s="7" t="s">
        <v>29</v>
      </c>
      <c r="B80" s="211" t="s">
        <v>66</v>
      </c>
      <c r="C80" s="6" t="s">
        <v>8</v>
      </c>
      <c r="D80" s="34"/>
      <c r="E80" s="33">
        <v>582274.79</v>
      </c>
      <c r="F80" s="123">
        <v>2.4261449583333334</v>
      </c>
      <c r="G80" s="7"/>
      <c r="H80" s="35">
        <v>240000</v>
      </c>
      <c r="I80" s="130">
        <v>129230.76923076922</v>
      </c>
      <c r="J80" s="35">
        <v>98614.850000001563</v>
      </c>
      <c r="K80" s="70">
        <v>0.7630911011904884</v>
      </c>
      <c r="L80" s="36"/>
      <c r="M80" s="35">
        <v>26400</v>
      </c>
      <c r="N80" s="35">
        <v>14215.384615384615</v>
      </c>
      <c r="O80" s="37">
        <v>250</v>
      </c>
      <c r="P80" s="130">
        <v>13695.409999999985</v>
      </c>
      <c r="Q80" s="70">
        <v>0.96342169913419806</v>
      </c>
      <c r="R80" s="36"/>
      <c r="S80" s="127">
        <v>0.11</v>
      </c>
      <c r="T80" s="127">
        <v>0.13887776536697838</v>
      </c>
      <c r="U80" s="36"/>
      <c r="V80" s="35"/>
      <c r="W80" s="38">
        <v>3.9496384165282179</v>
      </c>
      <c r="X80" s="69" t="s">
        <v>69</v>
      </c>
      <c r="Y80" s="36"/>
      <c r="Z80" s="62"/>
      <c r="AA80" s="33">
        <v>9230.7692307692305</v>
      </c>
      <c r="AB80" s="33">
        <v>6845.9899999999898</v>
      </c>
      <c r="AC80" s="36"/>
      <c r="AD80" s="35">
        <v>1015.3846153846154</v>
      </c>
      <c r="AE80" s="35">
        <v>1122.3999999999999</v>
      </c>
      <c r="AF80" s="115">
        <v>1.1053939393939394</v>
      </c>
      <c r="AG80" s="36"/>
      <c r="AH80" s="35">
        <v>978.24357142857036</v>
      </c>
      <c r="AI80" s="35">
        <v>25434.332857142828</v>
      </c>
      <c r="AJ80" s="115">
        <v>0.96342169913419806</v>
      </c>
      <c r="AK80" s="36"/>
      <c r="AL80" s="108">
        <v>0.11</v>
      </c>
      <c r="AM80" s="108">
        <v>0.16394999116271008</v>
      </c>
      <c r="AN80" s="36"/>
      <c r="AO80" s="38">
        <v>6.4639299794477063</v>
      </c>
      <c r="AP80" s="70">
        <v>0</v>
      </c>
    </row>
    <row r="81" spans="1:43" ht="12.75" customHeight="1" x14ac:dyDescent="0.3">
      <c r="A81" s="7" t="s">
        <v>29</v>
      </c>
      <c r="B81" s="211"/>
      <c r="C81" s="6" t="s">
        <v>9</v>
      </c>
      <c r="D81" s="34"/>
      <c r="E81" s="33">
        <v>458027.40999999992</v>
      </c>
      <c r="F81" s="123">
        <v>1.3471394411764703</v>
      </c>
      <c r="G81" s="7"/>
      <c r="H81" s="35">
        <v>340000</v>
      </c>
      <c r="I81" s="130">
        <v>181333.33333333334</v>
      </c>
      <c r="J81" s="35">
        <v>153740.86000000214</v>
      </c>
      <c r="K81" s="70">
        <v>0.84783562500001175</v>
      </c>
      <c r="L81" s="36"/>
      <c r="M81" s="35">
        <v>50660</v>
      </c>
      <c r="N81" s="35">
        <v>27018.666666666668</v>
      </c>
      <c r="O81" s="37">
        <v>0</v>
      </c>
      <c r="P81" s="130">
        <v>24036.190000000242</v>
      </c>
      <c r="Q81" s="70">
        <v>0.88961421733123669</v>
      </c>
      <c r="R81" s="36"/>
      <c r="S81" s="127">
        <v>0.14899999999999999</v>
      </c>
      <c r="T81" s="127">
        <v>0.15634223719055498</v>
      </c>
      <c r="U81" s="36"/>
      <c r="V81" s="35"/>
      <c r="W81" s="38">
        <v>5.7693120748785116</v>
      </c>
      <c r="X81" s="69" t="s">
        <v>69</v>
      </c>
      <c r="Y81" s="36"/>
      <c r="Z81" s="62"/>
      <c r="AA81" s="33">
        <v>11333.333333333334</v>
      </c>
      <c r="AB81" s="33">
        <v>9149.4599999999264</v>
      </c>
      <c r="AC81" s="36"/>
      <c r="AD81" s="35">
        <v>1688.6666666666667</v>
      </c>
      <c r="AE81" s="35">
        <v>1471.890000000001</v>
      </c>
      <c r="AF81" s="115">
        <v>0.87162850375049405</v>
      </c>
      <c r="AG81" s="36"/>
      <c r="AH81" s="35">
        <v>1502.2618750000152</v>
      </c>
      <c r="AI81" s="35">
        <v>45067.856250000455</v>
      </c>
      <c r="AJ81" s="115">
        <v>0.8896142173312368</v>
      </c>
      <c r="AK81" s="36"/>
      <c r="AL81" s="108">
        <v>0.14899999999999999</v>
      </c>
      <c r="AM81" s="108">
        <v>0.16087178915477118</v>
      </c>
      <c r="AN81" s="36"/>
      <c r="AO81" s="38">
        <v>5.851055690717593</v>
      </c>
      <c r="AP81" s="70">
        <v>0</v>
      </c>
    </row>
    <row r="82" spans="1:43" ht="12.75" customHeight="1" x14ac:dyDescent="0.3">
      <c r="A82" s="7" t="s">
        <v>29</v>
      </c>
      <c r="B82" s="211"/>
      <c r="C82" s="6" t="s">
        <v>10</v>
      </c>
      <c r="D82" s="34"/>
      <c r="E82" s="33">
        <v>895104.10000000009</v>
      </c>
      <c r="F82" s="123">
        <v>2.0816374418604653</v>
      </c>
      <c r="G82" s="7"/>
      <c r="H82" s="35">
        <v>430000</v>
      </c>
      <c r="I82" s="130">
        <v>229333.33333333334</v>
      </c>
      <c r="J82" s="35">
        <v>218326.83999999147</v>
      </c>
      <c r="K82" s="70">
        <v>0.95200656976740461</v>
      </c>
      <c r="L82" s="36"/>
      <c r="M82" s="35">
        <v>59770.000000000007</v>
      </c>
      <c r="N82" s="35">
        <v>31877.333333333336</v>
      </c>
      <c r="O82" s="37">
        <v>600</v>
      </c>
      <c r="P82" s="130">
        <v>29415.680000000073</v>
      </c>
      <c r="Q82" s="70">
        <v>0.92277731303329646</v>
      </c>
      <c r="R82" s="36"/>
      <c r="S82" s="127">
        <v>0.13900000000000001</v>
      </c>
      <c r="T82" s="127">
        <v>0.13473231234419561</v>
      </c>
      <c r="U82" s="36"/>
      <c r="V82" s="35"/>
      <c r="W82" s="38">
        <v>3.368110856178725</v>
      </c>
      <c r="X82" s="69" t="s">
        <v>69</v>
      </c>
      <c r="Y82" s="36"/>
      <c r="Z82" s="62"/>
      <c r="AA82" s="33">
        <v>14333.333333333334</v>
      </c>
      <c r="AB82" s="33">
        <v>24648.339999999993</v>
      </c>
      <c r="AC82" s="36"/>
      <c r="AD82" s="35">
        <v>1992.3333333333335</v>
      </c>
      <c r="AE82" s="35">
        <v>493.48000000000036</v>
      </c>
      <c r="AF82" s="115">
        <v>0.24768947632591617</v>
      </c>
      <c r="AG82" s="36"/>
      <c r="AH82" s="35">
        <v>1838.4800000000046</v>
      </c>
      <c r="AI82" s="35">
        <v>55154.40000000014</v>
      </c>
      <c r="AJ82" s="115">
        <v>0.92277731303329646</v>
      </c>
      <c r="AK82" s="36"/>
      <c r="AL82" s="108">
        <v>0.13900000000000001</v>
      </c>
      <c r="AM82" s="108">
        <v>2.002082087475264E-2</v>
      </c>
      <c r="AN82" s="36"/>
      <c r="AO82" s="38">
        <v>-6.9603875960815635</v>
      </c>
      <c r="AP82" s="70">
        <v>0</v>
      </c>
    </row>
    <row r="83" spans="1:43" ht="12.75" customHeight="1" x14ac:dyDescent="0.3">
      <c r="A83" s="7" t="s">
        <v>29</v>
      </c>
      <c r="B83" s="211"/>
      <c r="C83" s="6" t="s">
        <v>12</v>
      </c>
      <c r="D83" s="34"/>
      <c r="E83" s="33">
        <v>21147.850000000002</v>
      </c>
      <c r="F83" s="123">
        <v>2.1147850000000004</v>
      </c>
      <c r="G83" s="7"/>
      <c r="H83" s="35">
        <v>10000</v>
      </c>
      <c r="I83" s="130">
        <v>5384.6153846153848</v>
      </c>
      <c r="J83" s="35">
        <v>12319.199999999999</v>
      </c>
      <c r="K83" s="70">
        <v>2.2878514285714284</v>
      </c>
      <c r="L83" s="36"/>
      <c r="M83" s="35">
        <v>1560</v>
      </c>
      <c r="N83" s="35">
        <v>840</v>
      </c>
      <c r="O83" s="37">
        <v>0</v>
      </c>
      <c r="P83" s="130">
        <v>-427.31000000000006</v>
      </c>
      <c r="Q83" s="70">
        <v>-0.50870238095238107</v>
      </c>
      <c r="R83" s="36"/>
      <c r="S83" s="127">
        <v>0.156</v>
      </c>
      <c r="T83" s="127">
        <v>-3.4686505617247884E-2</v>
      </c>
      <c r="U83" s="36"/>
      <c r="V83" s="35"/>
      <c r="W83" s="38">
        <v>-12.998165465289974</v>
      </c>
      <c r="X83" s="69" t="s">
        <v>69</v>
      </c>
      <c r="Y83" s="36"/>
      <c r="Z83" s="62"/>
      <c r="AA83" s="33">
        <v>384.61538461538464</v>
      </c>
      <c r="AB83" s="33">
        <v>156.88999999999999</v>
      </c>
      <c r="AC83" s="36"/>
      <c r="AD83" s="35">
        <v>60</v>
      </c>
      <c r="AE83" s="35">
        <v>32.85</v>
      </c>
      <c r="AF83" s="115">
        <v>0.54749999999999999</v>
      </c>
      <c r="AG83" s="36"/>
      <c r="AH83" s="35">
        <v>-30.52214285714286</v>
      </c>
      <c r="AI83" s="35">
        <v>-793.57571428571441</v>
      </c>
      <c r="AJ83" s="115">
        <v>-0.50870238095238107</v>
      </c>
      <c r="AK83" s="36"/>
      <c r="AL83" s="108">
        <v>0.156</v>
      </c>
      <c r="AM83" s="108">
        <v>0.20938236981324498</v>
      </c>
      <c r="AN83" s="36"/>
      <c r="AO83" s="38">
        <v>12.301612594811642</v>
      </c>
      <c r="AP83" s="70">
        <v>0</v>
      </c>
    </row>
    <row r="84" spans="1:43" s="15" customFormat="1" ht="14.25" customHeight="1" x14ac:dyDescent="0.3">
      <c r="A84" s="26"/>
      <c r="B84" s="211"/>
      <c r="C84" s="9" t="s">
        <v>81</v>
      </c>
      <c r="D84" s="28"/>
      <c r="E84" s="27">
        <v>1956554.1500000001</v>
      </c>
      <c r="F84" s="124">
        <v>1.9181903431372551</v>
      </c>
      <c r="G84" s="26"/>
      <c r="H84" s="29">
        <v>1020000</v>
      </c>
      <c r="I84" s="29">
        <v>545282.05128205125</v>
      </c>
      <c r="J84" s="29">
        <v>483001.74999999517</v>
      </c>
      <c r="K84" s="31">
        <v>0.88578332784725911</v>
      </c>
      <c r="L84" s="39"/>
      <c r="M84" s="29">
        <v>138390</v>
      </c>
      <c r="N84" s="29">
        <v>73951.384615384624</v>
      </c>
      <c r="O84" s="27">
        <v>850</v>
      </c>
      <c r="P84" s="29">
        <v>66719.970000000292</v>
      </c>
      <c r="Q84" s="31">
        <v>0.90221393888708978</v>
      </c>
      <c r="R84" s="39"/>
      <c r="S84" s="128">
        <v>0.13567647058823529</v>
      </c>
      <c r="T84" s="128">
        <v>0.13813608335787803</v>
      </c>
      <c r="U84" s="39"/>
      <c r="V84" s="29"/>
      <c r="W84" s="32">
        <v>3.8337210993533217</v>
      </c>
      <c r="X84" s="30" t="s">
        <v>69</v>
      </c>
      <c r="Y84" s="39"/>
      <c r="Z84" s="62"/>
      <c r="AA84" s="27">
        <v>35282.051282051281</v>
      </c>
      <c r="AB84" s="27">
        <v>40800.679999999906</v>
      </c>
      <c r="AC84" s="39"/>
      <c r="AD84" s="29">
        <v>4756.3846153846152</v>
      </c>
      <c r="AE84" s="29">
        <v>3120.6200000000013</v>
      </c>
      <c r="AF84" s="31">
        <v>0.65609076059709248</v>
      </c>
      <c r="AG84" s="39"/>
      <c r="AH84" s="29">
        <v>4288.4633035714469</v>
      </c>
      <c r="AI84" s="29">
        <v>124863.01339285771</v>
      </c>
      <c r="AJ84" s="31">
        <v>0.90225459493357696</v>
      </c>
      <c r="AK84" s="39"/>
      <c r="AL84" s="80">
        <v>0.13567647058823529</v>
      </c>
      <c r="AM84" s="80">
        <v>7.6484509571899506E-2</v>
      </c>
      <c r="AN84" s="39"/>
      <c r="AO84" s="32">
        <v>0</v>
      </c>
      <c r="AP84" s="31">
        <v>0</v>
      </c>
      <c r="AQ84" s="10"/>
    </row>
    <row r="85" spans="1:43" x14ac:dyDescent="0.3">
      <c r="B85" s="16"/>
      <c r="D85" s="34"/>
      <c r="E85" s="47"/>
      <c r="F85" s="125"/>
      <c r="G85" s="34"/>
      <c r="H85" s="48"/>
      <c r="I85" s="48"/>
      <c r="J85" s="48"/>
      <c r="K85" s="51"/>
      <c r="L85" s="34"/>
      <c r="M85" s="48"/>
      <c r="N85" s="48"/>
      <c r="O85" s="51"/>
      <c r="P85" s="48"/>
      <c r="Q85" s="47"/>
      <c r="R85" s="34"/>
      <c r="S85" s="51"/>
      <c r="T85" s="51"/>
      <c r="U85" s="34"/>
      <c r="V85" s="48"/>
      <c r="W85" s="52"/>
      <c r="X85" s="48"/>
      <c r="Y85" s="34"/>
      <c r="Z85" s="62"/>
      <c r="AA85" s="47"/>
      <c r="AB85" s="47"/>
      <c r="AC85" s="36"/>
      <c r="AD85" s="48"/>
      <c r="AE85" s="48"/>
      <c r="AF85" s="47"/>
      <c r="AG85" s="36"/>
      <c r="AH85" s="48"/>
      <c r="AI85" s="48"/>
      <c r="AJ85" s="47"/>
      <c r="AK85" s="36"/>
      <c r="AL85" s="49"/>
      <c r="AM85" s="53"/>
      <c r="AN85" s="36"/>
      <c r="AO85" s="52"/>
      <c r="AP85" s="47"/>
    </row>
    <row r="86" spans="1:43" x14ac:dyDescent="0.3">
      <c r="A86" s="64" t="s">
        <v>59</v>
      </c>
      <c r="B86" s="211" t="s">
        <v>73</v>
      </c>
      <c r="C86" s="6" t="s">
        <v>8</v>
      </c>
      <c r="D86" s="34"/>
      <c r="E86" s="33">
        <v>447540.51000000013</v>
      </c>
      <c r="F86" s="123">
        <v>1.8647521250000005</v>
      </c>
      <c r="G86" s="7"/>
      <c r="H86" s="35">
        <v>240000</v>
      </c>
      <c r="I86" s="35">
        <v>129230.76923076922</v>
      </c>
      <c r="J86" s="35">
        <v>121874.5100000009</v>
      </c>
      <c r="K86" s="70">
        <v>0.94307656547619745</v>
      </c>
      <c r="L86" s="36"/>
      <c r="M86" s="35">
        <v>31200</v>
      </c>
      <c r="N86" s="35">
        <v>16800</v>
      </c>
      <c r="O86" s="37">
        <v>133.5</v>
      </c>
      <c r="P86" s="35">
        <v>14724.666149999917</v>
      </c>
      <c r="Q86" s="115">
        <v>0.87646822321428075</v>
      </c>
      <c r="R86" s="36"/>
      <c r="S86" s="127">
        <v>0.13</v>
      </c>
      <c r="T86" s="127">
        <v>0.1208182592898204</v>
      </c>
      <c r="U86" s="36"/>
      <c r="V86" s="35"/>
      <c r="W86" s="38">
        <v>3.7369308397639069</v>
      </c>
      <c r="X86" s="69" t="s">
        <v>69</v>
      </c>
      <c r="Y86" s="36"/>
      <c r="Z86" s="62"/>
      <c r="AA86" s="33">
        <v>9230.7692307692305</v>
      </c>
      <c r="AB86" s="33">
        <v>9925.6999999999807</v>
      </c>
      <c r="AC86" s="36"/>
      <c r="AD86" s="35">
        <v>1200</v>
      </c>
      <c r="AE86" s="35">
        <v>1037.3600000000001</v>
      </c>
      <c r="AF86" s="115">
        <v>0.86446666666666683</v>
      </c>
      <c r="AG86" s="36"/>
      <c r="AH86" s="35">
        <v>1051.7618678571368</v>
      </c>
      <c r="AI86" s="35">
        <v>27345.808564285559</v>
      </c>
      <c r="AJ86" s="115">
        <v>0.87646822321428075</v>
      </c>
      <c r="AK86" s="36"/>
      <c r="AL86" s="108">
        <v>0.13</v>
      </c>
      <c r="AM86" s="108">
        <v>0.10451252808366182</v>
      </c>
      <c r="AN86" s="36"/>
      <c r="AO86" s="38">
        <v>1.5520315947487424</v>
      </c>
      <c r="AP86" s="70">
        <v>0</v>
      </c>
    </row>
    <row r="87" spans="1:43" x14ac:dyDescent="0.3">
      <c r="A87" s="64" t="s">
        <v>59</v>
      </c>
      <c r="B87" s="211"/>
      <c r="C87" s="6" t="s">
        <v>9</v>
      </c>
      <c r="D87" s="34"/>
      <c r="E87" s="33">
        <v>657423.31999999972</v>
      </c>
      <c r="F87" s="123">
        <v>1.9055748405797093</v>
      </c>
      <c r="G87" s="7"/>
      <c r="H87" s="35">
        <v>345000</v>
      </c>
      <c r="I87" s="35">
        <v>184000</v>
      </c>
      <c r="J87" s="35">
        <v>178040.27000000028</v>
      </c>
      <c r="K87" s="70">
        <v>0.9676101630434798</v>
      </c>
      <c r="L87" s="36"/>
      <c r="M87" s="35">
        <v>55890</v>
      </c>
      <c r="N87" s="35">
        <v>29808</v>
      </c>
      <c r="O87" s="37">
        <v>275.44</v>
      </c>
      <c r="P87" s="35">
        <v>28900.830000000067</v>
      </c>
      <c r="Q87" s="115">
        <v>0.96956622383253044</v>
      </c>
      <c r="R87" s="36"/>
      <c r="S87" s="127">
        <v>0.16200000000000001</v>
      </c>
      <c r="T87" s="127">
        <v>0.16232748916860226</v>
      </c>
      <c r="U87" s="36"/>
      <c r="V87" s="35"/>
      <c r="W87" s="38">
        <v>7.4847336504271116</v>
      </c>
      <c r="X87" s="69" t="s">
        <v>69</v>
      </c>
      <c r="Y87" s="36"/>
      <c r="Z87" s="62"/>
      <c r="AA87" s="33">
        <v>11500</v>
      </c>
      <c r="AB87" s="33">
        <v>8357.4699999999575</v>
      </c>
      <c r="AC87" s="36"/>
      <c r="AD87" s="35">
        <v>1863</v>
      </c>
      <c r="AE87" s="35">
        <v>1433.4900000000005</v>
      </c>
      <c r="AF87" s="115">
        <v>0.76945249597423537</v>
      </c>
      <c r="AG87" s="36"/>
      <c r="AH87" s="35">
        <v>1806.3018750000042</v>
      </c>
      <c r="AI87" s="35">
        <v>54189.056250000125</v>
      </c>
      <c r="AJ87" s="115">
        <v>0.96956622383253044</v>
      </c>
      <c r="AK87" s="36"/>
      <c r="AL87" s="108">
        <v>0.16200000000000001</v>
      </c>
      <c r="AM87" s="108">
        <v>0.17152200366857526</v>
      </c>
      <c r="AN87" s="36"/>
      <c r="AO87" s="38">
        <v>8.4639250873764631</v>
      </c>
      <c r="AP87" s="70">
        <v>0</v>
      </c>
    </row>
    <row r="88" spans="1:43" x14ac:dyDescent="0.3">
      <c r="A88" s="64" t="s">
        <v>59</v>
      </c>
      <c r="B88" s="211"/>
      <c r="C88" s="6" t="s">
        <v>10</v>
      </c>
      <c r="D88" s="34"/>
      <c r="E88" s="33">
        <v>1035019.4200000007</v>
      </c>
      <c r="F88" s="123">
        <v>2.2021689787234058</v>
      </c>
      <c r="G88" s="7"/>
      <c r="H88" s="35">
        <v>470000</v>
      </c>
      <c r="I88" s="35">
        <v>250666.66666666666</v>
      </c>
      <c r="J88" s="35">
        <v>259516.16999999672</v>
      </c>
      <c r="K88" s="70">
        <v>1.0353038696808381</v>
      </c>
      <c r="L88" s="36"/>
      <c r="M88" s="35">
        <v>71440</v>
      </c>
      <c r="N88" s="35">
        <v>38101.333333333336</v>
      </c>
      <c r="O88" s="37">
        <v>632.55999999999995</v>
      </c>
      <c r="P88" s="35">
        <v>37487.806350000101</v>
      </c>
      <c r="Q88" s="115">
        <v>0.98389749308860841</v>
      </c>
      <c r="R88" s="36"/>
      <c r="S88" s="127">
        <v>0.152</v>
      </c>
      <c r="T88" s="127">
        <v>0.14445268034743489</v>
      </c>
      <c r="U88" s="36"/>
      <c r="V88" s="35"/>
      <c r="W88" s="38">
        <v>5.9060660266366352</v>
      </c>
      <c r="X88" s="69" t="s">
        <v>69</v>
      </c>
      <c r="Y88" s="36"/>
      <c r="Z88" s="62"/>
      <c r="AA88" s="33">
        <v>15666.666666666666</v>
      </c>
      <c r="AB88" s="33">
        <v>18075.389999999941</v>
      </c>
      <c r="AC88" s="36"/>
      <c r="AD88" s="35">
        <v>2381.3333333333335</v>
      </c>
      <c r="AE88" s="35">
        <v>2528.369650000001</v>
      </c>
      <c r="AF88" s="115">
        <v>1.0617453737402018</v>
      </c>
      <c r="AG88" s="36"/>
      <c r="AH88" s="35">
        <v>2342.9878968750063</v>
      </c>
      <c r="AI88" s="35">
        <v>70289.636906250191</v>
      </c>
      <c r="AJ88" s="115">
        <v>0.98389749308860852</v>
      </c>
      <c r="AK88" s="36"/>
      <c r="AL88" s="108">
        <v>0.152</v>
      </c>
      <c r="AM88" s="108">
        <v>0.13987912017389439</v>
      </c>
      <c r="AN88" s="36"/>
      <c r="AO88" s="38">
        <v>5.5215386777267588</v>
      </c>
      <c r="AP88" s="70">
        <v>0</v>
      </c>
    </row>
    <row r="89" spans="1:43" x14ac:dyDescent="0.3">
      <c r="A89" s="64" t="s">
        <v>59</v>
      </c>
      <c r="B89" s="211"/>
      <c r="C89" s="6" t="s">
        <v>12</v>
      </c>
      <c r="D89" s="34"/>
      <c r="E89" s="33">
        <v>14989.870000000003</v>
      </c>
      <c r="F89" s="123">
        <v>2.1414100000000005</v>
      </c>
      <c r="G89" s="7"/>
      <c r="H89" s="35">
        <v>7000</v>
      </c>
      <c r="I89" s="35">
        <v>3769.2307692307691</v>
      </c>
      <c r="J89" s="35">
        <v>5091.5999999999804</v>
      </c>
      <c r="K89" s="70">
        <v>1.3508326530612194</v>
      </c>
      <c r="L89" s="36"/>
      <c r="M89" s="35">
        <v>1680</v>
      </c>
      <c r="N89" s="35">
        <v>904.61538461538453</v>
      </c>
      <c r="O89" s="37">
        <v>456.99</v>
      </c>
      <c r="P89" s="35">
        <v>1554.33</v>
      </c>
      <c r="Q89" s="115">
        <v>1.7182219387755102</v>
      </c>
      <c r="R89" s="36"/>
      <c r="S89" s="127">
        <v>0.24</v>
      </c>
      <c r="T89" s="127">
        <v>0.3052733914683019</v>
      </c>
      <c r="U89" s="36"/>
      <c r="V89" s="35"/>
      <c r="W89" s="38">
        <v>14.587163170712214</v>
      </c>
      <c r="X89" s="69" t="s">
        <v>69</v>
      </c>
      <c r="Y89" s="36"/>
      <c r="Z89" s="62"/>
      <c r="AA89" s="33">
        <v>269.23076923076923</v>
      </c>
      <c r="AB89" s="33">
        <v>440.23000000000008</v>
      </c>
      <c r="AC89" s="36"/>
      <c r="AD89" s="35">
        <v>64.615384615384613</v>
      </c>
      <c r="AE89" s="35">
        <v>115.81999999999996</v>
      </c>
      <c r="AF89" s="115">
        <v>1.7924523809523805</v>
      </c>
      <c r="AG89" s="36"/>
      <c r="AH89" s="35">
        <v>111.02357142857143</v>
      </c>
      <c r="AI89" s="35">
        <v>2886.6128571428571</v>
      </c>
      <c r="AJ89" s="115">
        <v>1.7182219387755102</v>
      </c>
      <c r="AK89" s="36"/>
      <c r="AL89" s="108">
        <v>0.24</v>
      </c>
      <c r="AM89" s="108">
        <v>0.26308974854053552</v>
      </c>
      <c r="AN89" s="36"/>
      <c r="AO89" s="38">
        <v>17.343206959998184</v>
      </c>
      <c r="AP89" s="70">
        <v>0</v>
      </c>
    </row>
    <row r="90" spans="1:43" s="15" customFormat="1" x14ac:dyDescent="0.3">
      <c r="A90" s="26"/>
      <c r="B90" s="211"/>
      <c r="C90" s="9" t="s">
        <v>74</v>
      </c>
      <c r="D90" s="28"/>
      <c r="E90" s="27">
        <v>2154973.1200000006</v>
      </c>
      <c r="F90" s="124">
        <v>2.0291648964218463</v>
      </c>
      <c r="G90" s="26"/>
      <c r="H90" s="29">
        <v>1062000</v>
      </c>
      <c r="I90" s="29">
        <v>567666.66666666663</v>
      </c>
      <c r="J90" s="29">
        <v>564522.54999999783</v>
      </c>
      <c r="K90" s="31">
        <v>0.99446133294186356</v>
      </c>
      <c r="L90" s="39"/>
      <c r="M90" s="29">
        <v>160210</v>
      </c>
      <c r="N90" s="29">
        <v>85613.948717948733</v>
      </c>
      <c r="O90" s="27">
        <v>1498.49</v>
      </c>
      <c r="P90" s="29">
        <v>82667.63250000008</v>
      </c>
      <c r="Q90" s="31">
        <v>0.96558602585128783</v>
      </c>
      <c r="R90" s="39"/>
      <c r="S90" s="128">
        <v>0.15085687382297552</v>
      </c>
      <c r="T90" s="128">
        <v>0.14643814051360818</v>
      </c>
      <c r="U90" s="39"/>
      <c r="V90" s="29"/>
      <c r="W90" s="32">
        <v>6.0139532955771173</v>
      </c>
      <c r="X90" s="30" t="s">
        <v>69</v>
      </c>
      <c r="Y90" s="39"/>
      <c r="Z90" s="62"/>
      <c r="AA90" s="27">
        <v>36666.666666666664</v>
      </c>
      <c r="AB90" s="27">
        <v>36798.789999999884</v>
      </c>
      <c r="AC90" s="39"/>
      <c r="AD90" s="29">
        <v>5508.9487179487187</v>
      </c>
      <c r="AE90" s="29">
        <v>5115.0396500000006</v>
      </c>
      <c r="AF90" s="31">
        <v>0.92849650847804732</v>
      </c>
      <c r="AG90" s="39"/>
      <c r="AH90" s="29">
        <v>5312.0752111607189</v>
      </c>
      <c r="AI90" s="29">
        <v>154711.11457767873</v>
      </c>
      <c r="AJ90" s="31">
        <v>0.96567701502826742</v>
      </c>
      <c r="AK90" s="39"/>
      <c r="AL90" s="80">
        <v>0.15085687382297552</v>
      </c>
      <c r="AM90" s="80">
        <v>0.13900021305048391</v>
      </c>
      <c r="AN90" s="39"/>
      <c r="AO90" s="32">
        <v>0</v>
      </c>
      <c r="AP90" s="31">
        <v>0</v>
      </c>
      <c r="AQ90" s="10"/>
    </row>
    <row r="91" spans="1:43" x14ac:dyDescent="0.3">
      <c r="B91" s="16"/>
      <c r="D91" s="34"/>
      <c r="E91" s="47"/>
      <c r="F91" s="125"/>
      <c r="G91" s="34"/>
      <c r="H91" s="48"/>
      <c r="I91" s="48"/>
      <c r="J91" s="48"/>
      <c r="K91" s="51"/>
      <c r="L91" s="34"/>
      <c r="M91" s="48"/>
      <c r="N91" s="48"/>
      <c r="O91" s="51"/>
      <c r="P91" s="48"/>
      <c r="Q91" s="47"/>
      <c r="R91" s="34"/>
      <c r="S91" s="51"/>
      <c r="T91" s="51"/>
      <c r="U91" s="34"/>
      <c r="V91" s="50"/>
      <c r="W91" s="52"/>
      <c r="X91" s="48"/>
      <c r="Y91" s="34"/>
      <c r="Z91" s="62"/>
      <c r="AA91" s="47"/>
      <c r="AB91" s="47"/>
      <c r="AC91" s="36"/>
      <c r="AD91" s="48"/>
      <c r="AE91" s="48"/>
      <c r="AF91" s="47"/>
      <c r="AG91" s="36"/>
      <c r="AH91" s="48"/>
      <c r="AI91" s="48"/>
      <c r="AJ91" s="47"/>
      <c r="AK91" s="36"/>
      <c r="AL91" s="49"/>
      <c r="AM91" s="53"/>
      <c r="AN91" s="36"/>
      <c r="AO91" s="52"/>
      <c r="AP91" s="47"/>
    </row>
    <row r="92" spans="1:43" x14ac:dyDescent="0.3">
      <c r="B92" s="233" t="s">
        <v>32</v>
      </c>
      <c r="C92" s="94" t="s">
        <v>8</v>
      </c>
      <c r="D92" s="34"/>
      <c r="E92" s="93">
        <v>4404759.6399999987</v>
      </c>
      <c r="F92" s="126">
        <v>0.80821277798165114</v>
      </c>
      <c r="G92" s="34"/>
      <c r="H92" s="93">
        <v>5450000</v>
      </c>
      <c r="I92" s="93">
        <v>2934615.384615384</v>
      </c>
      <c r="J92" s="93">
        <v>3018528.4999999972</v>
      </c>
      <c r="K92" s="112">
        <v>1.0285942463958053</v>
      </c>
      <c r="L92" s="36"/>
      <c r="M92" s="93">
        <v>543615.38057334628</v>
      </c>
      <c r="N92" s="93">
        <v>292715.97415487876</v>
      </c>
      <c r="O92" s="93">
        <v>680.68</v>
      </c>
      <c r="P92" s="93">
        <v>314416.63508999988</v>
      </c>
      <c r="Q92" s="112">
        <v>1.0741355540905297</v>
      </c>
      <c r="R92" s="96"/>
      <c r="S92" s="129">
        <v>9.9745941389604825E-2</v>
      </c>
      <c r="T92" s="129">
        <v>0.10416222178786788</v>
      </c>
      <c r="U92" s="98"/>
      <c r="V92" s="99">
        <v>0</v>
      </c>
      <c r="W92" s="103">
        <v>-4.6288436537870092</v>
      </c>
      <c r="X92" s="100" t="s">
        <v>69</v>
      </c>
      <c r="Y92" s="98"/>
      <c r="Z92" s="101"/>
      <c r="AA92" s="93">
        <v>209615.38461538457</v>
      </c>
      <c r="AB92" s="93">
        <v>190022.46999999988</v>
      </c>
      <c r="AC92" s="98"/>
      <c r="AD92" s="93">
        <v>20908.283868205628</v>
      </c>
      <c r="AE92" s="93">
        <v>19177.154980000003</v>
      </c>
      <c r="AF92" s="112">
        <v>0.91720368352000037</v>
      </c>
      <c r="AG92" s="98"/>
      <c r="AH92" s="93">
        <v>22458.331077857132</v>
      </c>
      <c r="AI92" s="93">
        <v>583916.60802428552</v>
      </c>
      <c r="AJ92" s="112">
        <v>1.0741355540905297</v>
      </c>
      <c r="AK92" s="98"/>
      <c r="AL92" s="102">
        <v>9.9745941389604825E-2</v>
      </c>
      <c r="AM92" s="97">
        <v>0.10092045945934718</v>
      </c>
      <c r="AN92" s="98"/>
      <c r="AO92" s="103">
        <v>-4.6206719763194908</v>
      </c>
      <c r="AP92" s="95">
        <v>0</v>
      </c>
    </row>
    <row r="93" spans="1:43" ht="12.75" customHeight="1" x14ac:dyDescent="0.3">
      <c r="B93" s="233"/>
      <c r="C93" s="94" t="s">
        <v>9</v>
      </c>
      <c r="D93" s="34"/>
      <c r="E93" s="93">
        <v>5343607.330000001</v>
      </c>
      <c r="F93" s="126">
        <v>1.0329803460274505</v>
      </c>
      <c r="G93" s="34"/>
      <c r="H93" s="93">
        <v>5173000</v>
      </c>
      <c r="I93" s="93">
        <v>2758933.3333333335</v>
      </c>
      <c r="J93" s="93">
        <v>2774680.0999999428</v>
      </c>
      <c r="K93" s="112">
        <v>1.0057075560602924</v>
      </c>
      <c r="L93" s="36"/>
      <c r="M93" s="93">
        <v>796420.87942007312</v>
      </c>
      <c r="N93" s="93">
        <v>424757.80235737242</v>
      </c>
      <c r="O93" s="93">
        <v>3070.0299999999997</v>
      </c>
      <c r="P93" s="93">
        <v>405692.53000000113</v>
      </c>
      <c r="Q93" s="112">
        <v>0.95511495668458468</v>
      </c>
      <c r="R93" s="96"/>
      <c r="S93" s="129">
        <v>0.1539572548656627</v>
      </c>
      <c r="T93" s="129">
        <v>0.14621236156197231</v>
      </c>
      <c r="U93" s="98"/>
      <c r="V93" s="99">
        <v>0</v>
      </c>
      <c r="W93" s="103">
        <v>2.2364106045934613</v>
      </c>
      <c r="X93" s="100" t="s">
        <v>69</v>
      </c>
      <c r="Y93" s="98"/>
      <c r="Z93" s="101"/>
      <c r="AA93" s="93">
        <v>172433.33333333334</v>
      </c>
      <c r="AB93" s="93">
        <v>137001.77999999962</v>
      </c>
      <c r="AC93" s="98"/>
      <c r="AD93" s="93">
        <v>26547.362647335776</v>
      </c>
      <c r="AE93" s="93">
        <v>21046.280000000002</v>
      </c>
      <c r="AF93" s="112">
        <v>0.79278232943836902</v>
      </c>
      <c r="AG93" s="98"/>
      <c r="AH93" s="93">
        <v>25355.783125000071</v>
      </c>
      <c r="AI93" s="93">
        <v>760673.493750002</v>
      </c>
      <c r="AJ93" s="112">
        <v>0.95511495668458468</v>
      </c>
      <c r="AK93" s="98"/>
      <c r="AL93" s="102">
        <v>0.1539572548656627</v>
      </c>
      <c r="AM93" s="97">
        <v>0.15362048580682719</v>
      </c>
      <c r="AN93" s="98"/>
      <c r="AO93" s="103">
        <v>3.4366779760085171</v>
      </c>
      <c r="AP93" s="95">
        <v>0</v>
      </c>
    </row>
    <row r="94" spans="1:43" ht="12.75" customHeight="1" x14ac:dyDescent="0.3">
      <c r="B94" s="233"/>
      <c r="C94" s="94" t="s">
        <v>10</v>
      </c>
      <c r="D94" s="34"/>
      <c r="E94" s="93">
        <v>8436411.7500000056</v>
      </c>
      <c r="F94" s="126">
        <v>1.0601170834380504</v>
      </c>
      <c r="G94" s="34"/>
      <c r="H94" s="93">
        <v>7958000</v>
      </c>
      <c r="I94" s="93">
        <v>4244266.666666667</v>
      </c>
      <c r="J94" s="93">
        <v>4311835.619999866</v>
      </c>
      <c r="K94" s="112">
        <v>1.0159200537194959</v>
      </c>
      <c r="L94" s="36"/>
      <c r="M94" s="93">
        <v>1253681.7303163207</v>
      </c>
      <c r="N94" s="93">
        <v>668630.25616870436</v>
      </c>
      <c r="O94" s="93">
        <v>6739.39</v>
      </c>
      <c r="P94" s="93">
        <v>669934.30138000066</v>
      </c>
      <c r="Q94" s="112">
        <v>1.0019503233652163</v>
      </c>
      <c r="R94" s="96"/>
      <c r="S94" s="129">
        <v>0.15753728704653439</v>
      </c>
      <c r="T94" s="129">
        <v>0.15537102070232017</v>
      </c>
      <c r="U94" s="98"/>
      <c r="V94" s="99">
        <v>0</v>
      </c>
      <c r="W94" s="103">
        <v>2.6802835628473383</v>
      </c>
      <c r="X94" s="100" t="s">
        <v>69</v>
      </c>
      <c r="Y94" s="98"/>
      <c r="Z94" s="101"/>
      <c r="AA94" s="93">
        <v>265266.66666666669</v>
      </c>
      <c r="AB94" s="93">
        <v>252690.10999999993</v>
      </c>
      <c r="AC94" s="98"/>
      <c r="AD94" s="93">
        <v>41789.391010544023</v>
      </c>
      <c r="AE94" s="93">
        <v>34699.496340000005</v>
      </c>
      <c r="AF94" s="112">
        <v>0.8303422352157479</v>
      </c>
      <c r="AG94" s="98"/>
      <c r="AH94" s="93">
        <v>41870.893836250041</v>
      </c>
      <c r="AI94" s="93">
        <v>1256126.8150875017</v>
      </c>
      <c r="AJ94" s="112">
        <v>1.0019503233652165</v>
      </c>
      <c r="AK94" s="98"/>
      <c r="AL94" s="102">
        <v>0.15753728704653439</v>
      </c>
      <c r="AM94" s="97">
        <v>0.13732035788816593</v>
      </c>
      <c r="AN94" s="98"/>
      <c r="AO94" s="103">
        <v>1.651440311613259</v>
      </c>
      <c r="AP94" s="95">
        <v>0</v>
      </c>
    </row>
    <row r="95" spans="1:43" ht="12.75" customHeight="1" x14ac:dyDescent="0.3">
      <c r="B95" s="233"/>
      <c r="C95" s="94" t="s">
        <v>12</v>
      </c>
      <c r="D95" s="34"/>
      <c r="E95" s="93">
        <v>755757.34</v>
      </c>
      <c r="F95" s="126">
        <v>0.22498804441665921</v>
      </c>
      <c r="G95" s="34"/>
      <c r="H95" s="93">
        <v>3359100</v>
      </c>
      <c r="I95" s="93">
        <v>1808746.1538461542</v>
      </c>
      <c r="J95" s="93">
        <v>1834036.1599999992</v>
      </c>
      <c r="K95" s="112">
        <v>1.0139820649238522</v>
      </c>
      <c r="L95" s="36"/>
      <c r="M95" s="93">
        <v>576608.99760094297</v>
      </c>
      <c r="N95" s="93">
        <v>310481.76793896937</v>
      </c>
      <c r="O95" s="93">
        <v>35108.909999999996</v>
      </c>
      <c r="P95" s="93">
        <v>307837.92</v>
      </c>
      <c r="Q95" s="112">
        <v>0.99148469181775245</v>
      </c>
      <c r="R95" s="96"/>
      <c r="S95" s="129">
        <v>0.17165579994669494</v>
      </c>
      <c r="T95" s="129">
        <v>0.16784724680673696</v>
      </c>
      <c r="U95" s="98"/>
      <c r="V95" s="99">
        <v>0</v>
      </c>
      <c r="W95" s="103">
        <v>-1.7274375877082488</v>
      </c>
      <c r="X95" s="100" t="s">
        <v>69</v>
      </c>
      <c r="Y95" s="98"/>
      <c r="Z95" s="101"/>
      <c r="AA95" s="93">
        <v>129196.15384615386</v>
      </c>
      <c r="AB95" s="93">
        <v>82647.319999999992</v>
      </c>
      <c r="AC95" s="98"/>
      <c r="AD95" s="93">
        <v>22177.269138497806</v>
      </c>
      <c r="AE95" s="93">
        <v>10905.320000000002</v>
      </c>
      <c r="AF95" s="112">
        <v>0.49173412343494161</v>
      </c>
      <c r="AG95" s="98"/>
      <c r="AH95" s="93">
        <v>21988.422857142858</v>
      </c>
      <c r="AI95" s="93">
        <v>571698.99428571423</v>
      </c>
      <c r="AJ95" s="112">
        <v>0.99148469181775267</v>
      </c>
      <c r="AK95" s="98"/>
      <c r="AL95" s="102">
        <v>0.17165579994669494</v>
      </c>
      <c r="AM95" s="97">
        <v>0.13195007412218573</v>
      </c>
      <c r="AN95" s="98"/>
      <c r="AO95" s="103">
        <v>-1.2106139678818362</v>
      </c>
      <c r="AP95" s="95">
        <v>0</v>
      </c>
    </row>
    <row r="96" spans="1:43" ht="4.25" customHeight="1" x14ac:dyDescent="0.3">
      <c r="B96" s="233"/>
      <c r="D96" s="34"/>
      <c r="E96" s="47"/>
      <c r="F96" s="125"/>
      <c r="G96" s="34"/>
      <c r="H96" s="47"/>
      <c r="I96" s="47"/>
      <c r="J96" s="48"/>
      <c r="K96" s="51"/>
      <c r="L96" s="34"/>
      <c r="M96" s="47"/>
      <c r="N96" s="48"/>
      <c r="O96" s="51"/>
      <c r="P96" s="48"/>
      <c r="Q96" s="47"/>
      <c r="R96" s="34"/>
      <c r="S96" s="51"/>
      <c r="T96" s="51"/>
      <c r="U96" s="34"/>
      <c r="V96" s="50"/>
      <c r="W96" s="52"/>
      <c r="X96" s="48"/>
      <c r="Y96" s="34"/>
      <c r="Z96" s="62"/>
      <c r="AA96" s="47"/>
      <c r="AB96" s="47"/>
      <c r="AC96" s="36"/>
      <c r="AD96" s="48"/>
      <c r="AE96" s="48"/>
      <c r="AF96" s="47"/>
      <c r="AG96" s="36"/>
      <c r="AH96" s="48"/>
      <c r="AI96" s="48"/>
      <c r="AJ96" s="47"/>
      <c r="AK96" s="36"/>
      <c r="AL96" s="49"/>
      <c r="AM96" s="53"/>
      <c r="AN96" s="36"/>
      <c r="AO96" s="52"/>
      <c r="AP96" s="47"/>
    </row>
    <row r="97" spans="1:43" s="15" customFormat="1" ht="14.25" customHeight="1" x14ac:dyDescent="0.3">
      <c r="A97" s="26"/>
      <c r="B97" s="233"/>
      <c r="C97" s="94" t="s">
        <v>7</v>
      </c>
      <c r="D97" s="28"/>
      <c r="E97" s="93">
        <v>18940536.060000006</v>
      </c>
      <c r="F97" s="126">
        <v>0.86328394401119435</v>
      </c>
      <c r="G97" s="28"/>
      <c r="H97" s="93">
        <v>21940100</v>
      </c>
      <c r="I97" s="93">
        <v>11746561.538461538</v>
      </c>
      <c r="J97" s="93">
        <v>11939080.379999805</v>
      </c>
      <c r="K97" s="44">
        <v>1.016389378364716</v>
      </c>
      <c r="L97" s="39"/>
      <c r="M97" s="93">
        <v>3170326.9879106833</v>
      </c>
      <c r="N97" s="93">
        <v>1696585.8006199251</v>
      </c>
      <c r="O97" s="93">
        <v>45599.009999999995</v>
      </c>
      <c r="P97" s="93">
        <v>1697881.3864700017</v>
      </c>
      <c r="Q97" s="44">
        <v>1.0007636429879367</v>
      </c>
      <c r="R97" s="39"/>
      <c r="S97" s="129">
        <v>0.14449920410165329</v>
      </c>
      <c r="T97" s="129">
        <v>0.14221207433315139</v>
      </c>
      <c r="U97" s="45"/>
      <c r="V97" s="43">
        <v>0</v>
      </c>
      <c r="W97" s="46">
        <v>5.2079944785439765E-2</v>
      </c>
      <c r="X97" s="81" t="s">
        <v>69</v>
      </c>
      <c r="Y97" s="45"/>
      <c r="Z97" s="62"/>
      <c r="AA97" s="93">
        <v>776511.53846153838</v>
      </c>
      <c r="AB97" s="93">
        <v>662361.67999999935</v>
      </c>
      <c r="AC97" s="98"/>
      <c r="AD97" s="93">
        <v>111422.30666458323</v>
      </c>
      <c r="AE97" s="93">
        <v>85828.25132000001</v>
      </c>
      <c r="AF97" s="112">
        <v>0.77029684530199583</v>
      </c>
      <c r="AG97" s="98"/>
      <c r="AH97" s="93">
        <v>111673.43089625011</v>
      </c>
      <c r="AI97" s="93">
        <v>3172415.9111475036</v>
      </c>
      <c r="AJ97" s="112">
        <v>1.0006588983548972</v>
      </c>
      <c r="AK97" s="98"/>
      <c r="AL97" s="102">
        <v>0.14449920410165329</v>
      </c>
      <c r="AM97" s="97">
        <v>0.12957913163092419</v>
      </c>
      <c r="AN97" s="98"/>
      <c r="AO97" s="103">
        <v>-0.13580475851208532</v>
      </c>
      <c r="AP97" s="42">
        <v>0</v>
      </c>
      <c r="AQ97" s="10"/>
    </row>
    <row r="98" spans="1:43" ht="14.5" x14ac:dyDescent="0.35">
      <c r="D98" s="55"/>
      <c r="E98" s="54"/>
      <c r="F98" s="118"/>
      <c r="G98" s="55"/>
      <c r="H98" s="56"/>
      <c r="I98" s="48"/>
      <c r="J98" s="56"/>
      <c r="K98" s="51"/>
      <c r="L98" s="34"/>
      <c r="M98" s="56"/>
      <c r="N98" s="48"/>
      <c r="O98" s="48"/>
      <c r="P98" s="48"/>
      <c r="Q98" s="47"/>
      <c r="R98" s="34"/>
      <c r="S98" s="49"/>
      <c r="T98" s="49"/>
      <c r="U98" s="34"/>
      <c r="V98" s="50"/>
      <c r="W98" s="50"/>
      <c r="X98" s="48"/>
      <c r="Y98" s="34"/>
      <c r="Z98" s="63"/>
      <c r="AA98" s="47"/>
      <c r="AB98" s="47"/>
      <c r="AC98" s="36"/>
      <c r="AD98" s="48"/>
      <c r="AE98" s="48"/>
      <c r="AF98" s="47"/>
      <c r="AG98" s="36"/>
      <c r="AH98" s="48"/>
      <c r="AI98" s="48"/>
      <c r="AJ98" s="47"/>
      <c r="AK98" s="36"/>
      <c r="AL98" s="49"/>
      <c r="AM98" s="53"/>
      <c r="AN98" s="36"/>
      <c r="AO98" s="52"/>
      <c r="AP98" s="47"/>
    </row>
    <row r="99" spans="1:43" ht="14.5" x14ac:dyDescent="0.35">
      <c r="D99" s="55"/>
      <c r="E99" s="54"/>
      <c r="F99" s="118"/>
      <c r="G99" s="55"/>
      <c r="H99" s="48"/>
      <c r="I99" s="56"/>
      <c r="J99" s="56"/>
      <c r="K99" s="51"/>
      <c r="L99" s="34"/>
      <c r="M99" s="56"/>
      <c r="N99" s="56"/>
      <c r="O99" s="56"/>
      <c r="P99" s="56"/>
      <c r="Q99" s="47"/>
      <c r="R99" s="34"/>
      <c r="S99" s="49"/>
      <c r="T99" s="49"/>
      <c r="U99" s="34"/>
      <c r="V99" s="50"/>
      <c r="W99" s="50"/>
      <c r="X99" s="48"/>
      <c r="Y99" s="34"/>
      <c r="Z99" s="63"/>
      <c r="AA99" s="59"/>
      <c r="AB99" s="59"/>
      <c r="AC99" s="36"/>
      <c r="AD99" s="56"/>
      <c r="AE99" s="56"/>
      <c r="AF99" s="47"/>
      <c r="AG99" s="36"/>
      <c r="AH99" s="56"/>
      <c r="AI99" s="56"/>
      <c r="AJ99" s="59"/>
      <c r="AK99" s="36"/>
      <c r="AL99" s="49"/>
      <c r="AM99" s="53"/>
      <c r="AN99" s="36"/>
      <c r="AO99" s="52"/>
      <c r="AP99" s="47"/>
    </row>
    <row r="100" spans="1:43" ht="14.5" x14ac:dyDescent="0.35">
      <c r="D100" s="55"/>
      <c r="E100" s="54"/>
      <c r="F100" s="118"/>
      <c r="G100" s="55"/>
      <c r="H100" s="48"/>
      <c r="I100" s="56"/>
      <c r="J100" s="56"/>
      <c r="K100" s="51"/>
      <c r="L100" s="34"/>
      <c r="M100" s="56"/>
      <c r="N100" s="56"/>
      <c r="O100" s="56"/>
      <c r="P100" s="56"/>
      <c r="Q100" s="47"/>
      <c r="R100" s="34"/>
      <c r="S100" s="49"/>
      <c r="T100" s="49"/>
      <c r="U100" s="34"/>
      <c r="V100" s="50"/>
      <c r="W100" s="50"/>
      <c r="X100" s="48"/>
      <c r="Y100" s="34"/>
      <c r="Z100" s="63"/>
      <c r="AA100" s="59"/>
      <c r="AB100" s="59"/>
      <c r="AC100" s="36"/>
      <c r="AD100" s="56"/>
      <c r="AE100" s="56"/>
      <c r="AF100" s="47"/>
      <c r="AG100" s="36"/>
      <c r="AH100" s="56"/>
      <c r="AI100" s="56"/>
      <c r="AJ100" s="59"/>
      <c r="AK100" s="36"/>
      <c r="AL100" s="49"/>
      <c r="AM100" s="53"/>
      <c r="AN100" s="36"/>
      <c r="AO100" s="52"/>
      <c r="AP100" s="47"/>
    </row>
    <row r="101" spans="1:43" ht="14.5" x14ac:dyDescent="0.35">
      <c r="D101" s="55"/>
      <c r="E101" s="54"/>
      <c r="F101" s="118"/>
      <c r="G101" s="55"/>
      <c r="H101" s="48"/>
      <c r="I101" s="48"/>
      <c r="J101" s="56"/>
      <c r="K101" s="51"/>
      <c r="L101" s="34"/>
      <c r="M101" s="56"/>
      <c r="N101" s="56"/>
      <c r="O101" s="56"/>
      <c r="P101" s="56"/>
      <c r="Q101" s="47"/>
      <c r="R101" s="34"/>
      <c r="S101" s="49"/>
      <c r="T101" s="49"/>
      <c r="U101" s="34"/>
      <c r="V101" s="50"/>
      <c r="W101" s="50"/>
      <c r="X101" s="48"/>
      <c r="Y101" s="34"/>
      <c r="Z101" s="63"/>
      <c r="AA101" s="59"/>
      <c r="AB101" s="59"/>
      <c r="AC101" s="36"/>
      <c r="AD101" s="56"/>
      <c r="AE101" s="56"/>
      <c r="AF101" s="47"/>
      <c r="AG101" s="36"/>
      <c r="AH101" s="56"/>
      <c r="AI101" s="56"/>
      <c r="AJ101" s="59"/>
      <c r="AK101" s="36"/>
      <c r="AL101" s="49"/>
      <c r="AM101" s="53"/>
      <c r="AN101" s="36"/>
      <c r="AO101" s="52"/>
      <c r="AP101" s="47"/>
    </row>
    <row r="102" spans="1:43" ht="14.5" x14ac:dyDescent="0.35">
      <c r="D102" s="55"/>
      <c r="E102" s="54"/>
      <c r="F102" s="118"/>
      <c r="G102" s="55"/>
      <c r="H102" s="48"/>
      <c r="I102" s="48"/>
      <c r="J102" s="56"/>
      <c r="K102" s="51"/>
      <c r="L102" s="34"/>
      <c r="M102" s="56"/>
      <c r="N102" s="56"/>
      <c r="O102" s="56"/>
      <c r="P102" s="56"/>
      <c r="Q102" s="47"/>
      <c r="R102" s="34"/>
      <c r="S102" s="49"/>
      <c r="T102" s="49"/>
      <c r="U102" s="34"/>
      <c r="V102" s="50"/>
      <c r="W102" s="50"/>
      <c r="X102" s="48"/>
      <c r="Y102" s="34"/>
      <c r="Z102" s="63"/>
      <c r="AA102" s="59"/>
      <c r="AB102" s="59"/>
      <c r="AC102" s="36"/>
      <c r="AD102" s="56"/>
      <c r="AE102" s="56"/>
      <c r="AF102" s="47"/>
      <c r="AG102" s="36"/>
      <c r="AH102" s="56"/>
      <c r="AI102" s="56"/>
      <c r="AJ102" s="59"/>
      <c r="AK102" s="36"/>
      <c r="AL102" s="49"/>
      <c r="AM102" s="53"/>
      <c r="AN102" s="36"/>
      <c r="AO102" s="52"/>
      <c r="AP102" s="47"/>
    </row>
    <row r="103" spans="1:43" ht="14.5" x14ac:dyDescent="0.35">
      <c r="D103" s="55"/>
      <c r="E103" s="54"/>
      <c r="F103" s="118"/>
      <c r="G103" s="55"/>
      <c r="H103" s="48"/>
      <c r="I103" s="48"/>
      <c r="J103" s="56"/>
      <c r="K103" s="51"/>
      <c r="L103" s="34"/>
      <c r="M103" s="56"/>
      <c r="N103" s="56"/>
      <c r="O103" s="56"/>
      <c r="P103" s="56"/>
      <c r="Q103" s="47"/>
      <c r="R103" s="34"/>
      <c r="S103" s="49"/>
      <c r="T103" s="49"/>
      <c r="U103" s="34"/>
      <c r="V103" s="50"/>
      <c r="W103" s="50"/>
      <c r="X103" s="48"/>
      <c r="Y103" s="34"/>
      <c r="Z103" s="63"/>
      <c r="AA103" s="59"/>
      <c r="AB103" s="59"/>
      <c r="AC103" s="36"/>
      <c r="AD103" s="56"/>
      <c r="AE103" s="56"/>
      <c r="AF103" s="47"/>
      <c r="AG103" s="36"/>
      <c r="AH103" s="56"/>
      <c r="AI103" s="56"/>
      <c r="AJ103" s="59"/>
      <c r="AK103" s="36"/>
      <c r="AL103" s="49"/>
      <c r="AM103" s="53"/>
      <c r="AN103" s="36"/>
      <c r="AO103" s="52"/>
      <c r="AP103" s="47"/>
    </row>
    <row r="104" spans="1:43" ht="14.5" x14ac:dyDescent="0.35">
      <c r="D104" s="55"/>
      <c r="E104" s="54"/>
      <c r="F104" s="118"/>
      <c r="G104" s="55"/>
      <c r="H104" s="48"/>
      <c r="I104" s="48"/>
      <c r="J104" s="56"/>
      <c r="K104" s="51"/>
      <c r="L104" s="34"/>
      <c r="M104" s="56"/>
      <c r="N104" s="56"/>
      <c r="O104" s="56"/>
      <c r="P104" s="56"/>
      <c r="Q104" s="47"/>
      <c r="R104" s="34"/>
      <c r="S104" s="49"/>
      <c r="T104" s="49"/>
      <c r="U104" s="34"/>
      <c r="V104" s="50"/>
      <c r="W104" s="50"/>
      <c r="X104" s="48"/>
      <c r="Y104" s="34"/>
      <c r="Z104" s="63"/>
      <c r="AA104" s="59"/>
      <c r="AB104" s="59"/>
      <c r="AC104" s="36"/>
      <c r="AD104" s="56"/>
      <c r="AE104" s="56"/>
      <c r="AF104" s="47"/>
      <c r="AG104" s="36"/>
      <c r="AH104" s="56"/>
      <c r="AI104" s="56"/>
      <c r="AJ104" s="59"/>
      <c r="AK104" s="36"/>
      <c r="AL104" s="49"/>
      <c r="AM104" s="53"/>
      <c r="AN104" s="36"/>
      <c r="AO104" s="52"/>
      <c r="AP104" s="47"/>
    </row>
    <row r="105" spans="1:43" ht="14.5" x14ac:dyDescent="0.35">
      <c r="D105" s="55"/>
      <c r="E105" s="54"/>
      <c r="F105" s="118"/>
      <c r="G105" s="55"/>
      <c r="H105" s="48"/>
      <c r="I105" s="48"/>
      <c r="J105" s="56"/>
      <c r="K105" s="51"/>
      <c r="L105" s="34"/>
      <c r="M105" s="56"/>
      <c r="N105" s="56"/>
      <c r="O105" s="56"/>
      <c r="P105" s="56"/>
      <c r="Q105" s="47"/>
      <c r="R105" s="34"/>
      <c r="S105" s="49"/>
      <c r="T105" s="49"/>
      <c r="U105" s="34"/>
      <c r="V105" s="50"/>
      <c r="W105" s="50"/>
      <c r="X105" s="48"/>
      <c r="Y105" s="34"/>
      <c r="Z105" s="63"/>
      <c r="AA105" s="59"/>
      <c r="AB105" s="59"/>
      <c r="AC105" s="36"/>
      <c r="AD105" s="56"/>
      <c r="AE105" s="56"/>
      <c r="AF105" s="47"/>
      <c r="AG105" s="36"/>
      <c r="AH105" s="56"/>
      <c r="AI105" s="56"/>
      <c r="AJ105" s="59"/>
      <c r="AK105" s="36"/>
      <c r="AL105" s="49"/>
      <c r="AM105" s="53"/>
      <c r="AN105" s="36"/>
      <c r="AO105" s="52"/>
      <c r="AP105" s="47"/>
    </row>
    <row r="106" spans="1:43" ht="14.5" x14ac:dyDescent="0.35">
      <c r="D106" s="55"/>
      <c r="E106" s="54"/>
      <c r="F106" s="118"/>
      <c r="G106" s="55"/>
      <c r="H106" s="48"/>
      <c r="I106" s="48"/>
      <c r="J106" s="56"/>
      <c r="K106" s="51"/>
      <c r="L106" s="34"/>
      <c r="M106" s="56"/>
      <c r="N106" s="56"/>
      <c r="O106" s="56"/>
      <c r="P106" s="56"/>
      <c r="Q106" s="47"/>
      <c r="R106" s="34"/>
      <c r="S106" s="49"/>
      <c r="T106" s="49"/>
      <c r="U106" s="34"/>
      <c r="V106" s="50"/>
      <c r="W106" s="50"/>
      <c r="X106" s="48"/>
      <c r="Y106" s="34"/>
      <c r="Z106" s="63"/>
      <c r="AA106" s="59"/>
      <c r="AB106" s="59"/>
      <c r="AC106" s="36"/>
      <c r="AD106" s="56"/>
      <c r="AE106" s="56"/>
      <c r="AF106" s="47"/>
      <c r="AG106" s="36"/>
      <c r="AH106" s="56"/>
      <c r="AI106" s="56"/>
      <c r="AJ106" s="59"/>
      <c r="AK106" s="36"/>
      <c r="AL106" s="49"/>
      <c r="AM106" s="53"/>
      <c r="AN106" s="36"/>
      <c r="AO106" s="52"/>
      <c r="AP106" s="47"/>
    </row>
  </sheetData>
  <mergeCells count="29">
    <mergeCell ref="B92:B97"/>
    <mergeCell ref="B20:B24"/>
    <mergeCell ref="B26:B30"/>
    <mergeCell ref="B32:B36"/>
    <mergeCell ref="B38:B42"/>
    <mergeCell ref="B44:B48"/>
    <mergeCell ref="B50:B54"/>
    <mergeCell ref="B56:B60"/>
    <mergeCell ref="B62:B66"/>
    <mergeCell ref="B68:B72"/>
    <mergeCell ref="B80:B84"/>
    <mergeCell ref="B86:B90"/>
    <mergeCell ref="B74:B78"/>
    <mergeCell ref="B8:B12"/>
    <mergeCell ref="B14:B18"/>
    <mergeCell ref="M5:Q5"/>
    <mergeCell ref="V5:X5"/>
    <mergeCell ref="B1:C5"/>
    <mergeCell ref="E5:F5"/>
    <mergeCell ref="H5:K5"/>
    <mergeCell ref="S5:T5"/>
    <mergeCell ref="E2:AP2"/>
    <mergeCell ref="H4:X4"/>
    <mergeCell ref="AL5:AM5"/>
    <mergeCell ref="AO5:AP5"/>
    <mergeCell ref="AA5:AB5"/>
    <mergeCell ref="AA4:AP4"/>
    <mergeCell ref="AD5:AJ5"/>
    <mergeCell ref="E3:F4"/>
  </mergeCells>
  <conditionalFormatting sqref="E98:E106">
    <cfRule type="cellIs" dxfId="134" priority="41" operator="greaterThanOrEqual">
      <formula>0.91</formula>
    </cfRule>
    <cfRule type="cellIs" dxfId="133" priority="42" operator="between">
      <formula>0.71</formula>
      <formula>0.9</formula>
    </cfRule>
    <cfRule type="cellIs" dxfId="132" priority="43" operator="between">
      <formula>0.1</formula>
      <formula>0.79</formula>
    </cfRule>
  </conditionalFormatting>
  <conditionalFormatting sqref="F7">
    <cfRule type="cellIs" dxfId="131" priority="1191" operator="greaterThanOrEqual">
      <formula>0.91</formula>
    </cfRule>
    <cfRule type="cellIs" dxfId="130" priority="1192" operator="between">
      <formula>0.71</formula>
      <formula>0.9</formula>
    </cfRule>
    <cfRule type="cellIs" dxfId="129" priority="1193" operator="between">
      <formula>0.1</formula>
      <formula>0.79</formula>
    </cfRule>
  </conditionalFormatting>
  <conditionalFormatting sqref="F8:F12 F14:F18 F20:F24 F26:F30 F32:F36 F38:F42 F44:F48 F50:F54 F56:F60 F62:F66 F68:F72 F74:F78 F80:F84 F86:F90 F92:F95 F97">
    <cfRule type="cellIs" dxfId="128" priority="1175" operator="greaterThanOrEqual">
      <formula>0.9</formula>
    </cfRule>
    <cfRule type="cellIs" dxfId="127" priority="1176" operator="between">
      <formula>0.79</formula>
      <formula>0.9</formula>
    </cfRule>
    <cfRule type="cellIs" dxfId="126" priority="1177" operator="between">
      <formula>0.0001</formula>
      <formula>0.79</formula>
    </cfRule>
  </conditionalFormatting>
  <conditionalFormatting sqref="F13 F19 F25 F31 F37 F43 F49 F55 F61 F67 F79 F91 F98:F1048576">
    <cfRule type="cellIs" dxfId="125" priority="1198" operator="greaterThanOrEqual">
      <formula>0.91</formula>
    </cfRule>
    <cfRule type="cellIs" dxfId="124" priority="1199" operator="between">
      <formula>0.71</formula>
      <formula>0.9</formula>
    </cfRule>
    <cfRule type="cellIs" dxfId="123" priority="1200" operator="between">
      <formula>0.1</formula>
      <formula>0.79</formula>
    </cfRule>
  </conditionalFormatting>
  <conditionalFormatting sqref="F73">
    <cfRule type="cellIs" dxfId="122" priority="11" operator="greaterThanOrEqual">
      <formula>0.91</formula>
    </cfRule>
    <cfRule type="cellIs" dxfId="121" priority="12" operator="between">
      <formula>0.71</formula>
      <formula>0.9</formula>
    </cfRule>
    <cfRule type="cellIs" dxfId="120" priority="13" operator="between">
      <formula>0.1</formula>
      <formula>0.79</formula>
    </cfRule>
  </conditionalFormatting>
  <conditionalFormatting sqref="F85">
    <cfRule type="cellIs" dxfId="119" priority="221" operator="greaterThanOrEqual">
      <formula>0.91</formula>
    </cfRule>
    <cfRule type="cellIs" dxfId="118" priority="222" operator="between">
      <formula>0.71</formula>
      <formula>0.9</formula>
    </cfRule>
    <cfRule type="cellIs" dxfId="117" priority="223" operator="between">
      <formula>0.1</formula>
      <formula>0.79</formula>
    </cfRule>
  </conditionalFormatting>
  <conditionalFormatting sqref="F96">
    <cfRule type="cellIs" dxfId="116" priority="90" operator="greaterThanOrEqual">
      <formula>0.91</formula>
    </cfRule>
    <cfRule type="cellIs" dxfId="115" priority="91" operator="between">
      <formula>0.71</formula>
      <formula>0.9</formula>
    </cfRule>
    <cfRule type="cellIs" dxfId="114" priority="92" operator="between">
      <formula>0.1</formula>
      <formula>0.79</formula>
    </cfRule>
  </conditionalFormatting>
  <conditionalFormatting sqref="K7">
    <cfRule type="cellIs" dxfId="113" priority="1194" operator="greaterThanOrEqual">
      <formula>1</formula>
    </cfRule>
    <cfRule type="cellIs" dxfId="112" priority="1195" operator="between">
      <formula>0.9001</formula>
      <formula>0.9999</formula>
    </cfRule>
    <cfRule type="cellIs" dxfId="111" priority="1196" operator="lessThan">
      <formula>0.9</formula>
    </cfRule>
  </conditionalFormatting>
  <conditionalFormatting sqref="K8:K12 K14:K18 K20:K24 K26:K30 K32:K36 K38:K42 K44:K48 K50:K54 K56:K60 K62:K66 K68:K72 K74:K78 K80:K84 K86:K90">
    <cfRule type="cellIs" dxfId="110" priority="1189" operator="between">
      <formula>0.86</formula>
      <formula>0.9999</formula>
    </cfRule>
    <cfRule type="cellIs" dxfId="109" priority="1190" operator="greaterThanOrEqual">
      <formula>1</formula>
    </cfRule>
    <cfRule type="cellIs" dxfId="108" priority="1197" operator="lessThanOrEqual">
      <formula>0.86</formula>
    </cfRule>
  </conditionalFormatting>
  <conditionalFormatting sqref="K13 K19 K25 K31 K37 K43 K49 K55 K61 K67 K79 K91 K98:K1048576">
    <cfRule type="cellIs" dxfId="107" priority="1201" operator="greaterThanOrEqual">
      <formula>1</formula>
    </cfRule>
    <cfRule type="cellIs" dxfId="106" priority="1202" operator="between">
      <formula>0.9001</formula>
      <formula>0.9999</formula>
    </cfRule>
    <cfRule type="cellIs" dxfId="105" priority="1203" operator="lessThan">
      <formula>0.9</formula>
    </cfRule>
  </conditionalFormatting>
  <conditionalFormatting sqref="K73">
    <cfRule type="cellIs" dxfId="104" priority="14" operator="greaterThanOrEqual">
      <formula>1</formula>
    </cfRule>
    <cfRule type="cellIs" dxfId="103" priority="15" operator="between">
      <formula>0.9001</formula>
      <formula>0.9999</formula>
    </cfRule>
    <cfRule type="cellIs" dxfId="102" priority="16" operator="lessThan">
      <formula>0.9</formula>
    </cfRule>
  </conditionalFormatting>
  <conditionalFormatting sqref="K85">
    <cfRule type="cellIs" dxfId="101" priority="224" operator="greaterThanOrEqual">
      <formula>1</formula>
    </cfRule>
    <cfRule type="cellIs" dxfId="100" priority="225" operator="between">
      <formula>0.9001</formula>
      <formula>0.9999</formula>
    </cfRule>
    <cfRule type="cellIs" dxfId="99" priority="226" operator="lessThan">
      <formula>0.9</formula>
    </cfRule>
  </conditionalFormatting>
  <conditionalFormatting sqref="K92:K95 K97 X92:X95 X97">
    <cfRule type="cellIs" dxfId="98" priority="787" operator="lessThanOrEqual">
      <formula>0.86</formula>
    </cfRule>
  </conditionalFormatting>
  <conditionalFormatting sqref="K92:K95 K97">
    <cfRule type="cellIs" dxfId="97" priority="786" operator="between">
      <formula>0.86</formula>
      <formula>0.9999</formula>
    </cfRule>
  </conditionalFormatting>
  <conditionalFormatting sqref="K92:K95 X92:X95 K97 X97">
    <cfRule type="cellIs" dxfId="96" priority="784" operator="greaterThanOrEqual">
      <formula>1</formula>
    </cfRule>
  </conditionalFormatting>
  <conditionalFormatting sqref="K96">
    <cfRule type="cellIs" dxfId="95" priority="93" operator="greaterThanOrEqual">
      <formula>1</formula>
    </cfRule>
    <cfRule type="cellIs" dxfId="94" priority="94" operator="between">
      <formula>0.9001</formula>
      <formula>0.9999</formula>
    </cfRule>
    <cfRule type="cellIs" dxfId="93" priority="95" operator="lessThan">
      <formula>0.9</formula>
    </cfRule>
  </conditionalFormatting>
  <conditionalFormatting sqref="Q8:Q12 X8:X12 AF8:AF12 AJ8:AJ12 AP8:AP12 Q14:Q18 X14:X18 AF14:AF18 AJ14:AJ18 AP14:AP18 Q20:Q24 X20:X24 AF20:AF24 AJ20:AJ24 AP20:AP24 Q26:Q30 X26:X30 AF26:AF30 AJ26:AJ30 AP26:AP30 Q32:Q36 X32:X36 AF32:AF36 AJ32:AJ36 AP32:AP36 Q38:Q42 X38:X42 AF38:AF42 AJ38:AJ42 AP38:AP42 Q44:Q48 X44:X48 AF44:AF48 AJ44:AJ48 AP44:AP48 Q50:Q54 X50:X54 AF50:AF54 AJ50:AJ54 AP50:AP54 Q56:Q60 X56:X60 AF56:AF60 AJ56:AJ60 AP56:AP60 Q62:Q66 X62:X66 AF62:AF66 AJ62:AJ66 AP62:AP66 Q68:Q72 X68:X72 AF68:AF72 AJ68:AJ72 AP68:AP72 Q74:Q78 X74:X78 AF74:AF78 AJ74:AJ78 AP74:AP78 Q80:Q84 X80:X84 AF80:AF84 AJ80:AJ84 AP80:AP84 Q86:Q90 X86:X90 AF86:AF90 AJ86:AJ90 AP86:AP90 Q92:Q95 AF92:AF95 AJ92:AJ95 AP92:AP95 Q97 AF97 AJ97 AP97">
    <cfRule type="cellIs" dxfId="92" priority="1068" operator="greaterThanOrEqual">
      <formula>1</formula>
    </cfRule>
    <cfRule type="cellIs" dxfId="91" priority="1073" operator="between">
      <formula>0.86</formula>
      <formula>0.9999</formula>
    </cfRule>
  </conditionalFormatting>
  <conditionalFormatting sqref="S7:T7">
    <cfRule type="cellIs" dxfId="90" priority="1069" operator="greaterThanOrEqual">
      <formula>1</formula>
    </cfRule>
    <cfRule type="cellIs" dxfId="89" priority="1070" operator="between">
      <formula>0.9001</formula>
      <formula>0.9999</formula>
    </cfRule>
    <cfRule type="cellIs" dxfId="88" priority="1071" operator="lessThan">
      <formula>0.9</formula>
    </cfRule>
  </conditionalFormatting>
  <conditionalFormatting sqref="S13:T13 S19:T19 S25:T25 S31:T31 S37:T37 S43:T43 S49:T49 S55:T55 S61:T61 S67:T67 S79:T79 S91:T91 S98:T1048576">
    <cfRule type="cellIs" dxfId="87" priority="1074" operator="greaterThanOrEqual">
      <formula>1</formula>
    </cfRule>
    <cfRule type="cellIs" dxfId="86" priority="1075" operator="between">
      <formula>0.9001</formula>
      <formula>0.9999</formula>
    </cfRule>
    <cfRule type="cellIs" dxfId="85" priority="1076" operator="lessThan">
      <formula>0.9</formula>
    </cfRule>
  </conditionalFormatting>
  <conditionalFormatting sqref="S73:T73">
    <cfRule type="cellIs" dxfId="84" priority="8" operator="greaterThanOrEqual">
      <formula>1</formula>
    </cfRule>
    <cfRule type="cellIs" dxfId="83" priority="9" operator="between">
      <formula>0.9001</formula>
      <formula>0.9999</formula>
    </cfRule>
    <cfRule type="cellIs" dxfId="82" priority="10" operator="lessThan">
      <formula>0.9</formula>
    </cfRule>
  </conditionalFormatting>
  <conditionalFormatting sqref="S85:T85">
    <cfRule type="cellIs" dxfId="81" priority="218" operator="greaterThanOrEqual">
      <formula>1</formula>
    </cfRule>
    <cfRule type="cellIs" dxfId="80" priority="219" operator="between">
      <formula>0.9001</formula>
      <formula>0.9999</formula>
    </cfRule>
    <cfRule type="cellIs" dxfId="79" priority="220" operator="lessThan">
      <formula>0.9</formula>
    </cfRule>
  </conditionalFormatting>
  <conditionalFormatting sqref="S96:T96">
    <cfRule type="cellIs" dxfId="78" priority="87" operator="greaterThanOrEqual">
      <formula>1</formula>
    </cfRule>
    <cfRule type="cellIs" dxfId="77" priority="88" operator="between">
      <formula>0.9001</formula>
      <formula>0.9999</formula>
    </cfRule>
    <cfRule type="cellIs" dxfId="76" priority="89" operator="lessThan">
      <formula>0.9</formula>
    </cfRule>
  </conditionalFormatting>
  <conditionalFormatting sqref="X8:X12 AP92:AP95 AP97 X80:X84 X86:X90 AP8:AP12 AP80:AP84 AP86:AP90 X14:X18 AP14:AP18 X26:X30 AP26:AP30 X32:X36 AP32:AP36 X38:X42 AP38:AP42 X44:X48 AP44:AP48 X56:X60 AP56:AP60 X68:X72 AP68:AP72 X20:X24 AP20:AP24 X50:X54 AP50:AP54 X62:X66 AP62:AP66 X74:X78 AP74:AP78 Q8:Q12 AF8:AF12 AJ8:AJ12 Q14:Q18 AF14:AF18 AJ14:AJ18 Q20:Q24 AF20:AF24 AJ20:AJ24 Q26:Q30 AF26:AF30 AJ26:AJ30 Q32:Q36 AF32:AF36 AJ32:AJ36 Q38:Q42 AF38:AF42 AJ38:AJ42 Q44:Q48 AF44:AF48 AJ44:AJ48 Q50:Q54 AF50:AF54 AJ50:AJ54 Q56:Q60 AF56:AF60 AJ56:AJ60 Q62:Q66 AF62:AF66 AJ62:AJ66 Q68:Q72 AF68:AF72 AJ68:AJ72 Q74:Q78 AF74:AF78 AJ74:AJ78 Q80:Q84 AF80:AF84 AJ80:AJ84 Q86:Q90 AF86:AF90 AJ86:AJ90 Q92:Q95 AF92:AF95 AJ92:AJ95 Q97 AF97 AJ97">
    <cfRule type="cellIs" dxfId="75" priority="1072" operator="lessThanOrEqual">
      <formula>0.86</formula>
    </cfRule>
  </conditionalFormatting>
  <conditionalFormatting sqref="X8:X12">
    <cfRule type="cellIs" dxfId="74" priority="453" operator="lessThanOrEqual">
      <formula>0.85</formula>
    </cfRule>
    <cfRule type="cellIs" dxfId="73" priority="454" operator="between">
      <formula>0.86</formula>
      <formula>0.9999</formula>
    </cfRule>
  </conditionalFormatting>
  <conditionalFormatting sqref="X14:X18">
    <cfRule type="cellIs" dxfId="72" priority="82" operator="lessThanOrEqual">
      <formula>0.85</formula>
    </cfRule>
    <cfRule type="cellIs" dxfId="71" priority="83" operator="between">
      <formula>0.86</formula>
      <formula>0.9999</formula>
    </cfRule>
  </conditionalFormatting>
  <conditionalFormatting sqref="X20:X24">
    <cfRule type="cellIs" dxfId="70" priority="54" operator="lessThanOrEqual">
      <formula>0.85</formula>
    </cfRule>
    <cfRule type="cellIs" dxfId="69" priority="55" operator="between">
      <formula>0.86</formula>
      <formula>0.9999</formula>
    </cfRule>
  </conditionalFormatting>
  <conditionalFormatting sqref="X26:X30">
    <cfRule type="cellIs" dxfId="68" priority="78" operator="lessThanOrEqual">
      <formula>0.85</formula>
    </cfRule>
    <cfRule type="cellIs" dxfId="67" priority="79" operator="between">
      <formula>0.86</formula>
      <formula>0.9999</formula>
    </cfRule>
  </conditionalFormatting>
  <conditionalFormatting sqref="X32:X36">
    <cfRule type="cellIs" dxfId="66" priority="74" operator="lessThanOrEqual">
      <formula>0.85</formula>
    </cfRule>
    <cfRule type="cellIs" dxfId="65" priority="75" operator="between">
      <formula>0.86</formula>
      <formula>0.9999</formula>
    </cfRule>
  </conditionalFormatting>
  <conditionalFormatting sqref="X38:X42">
    <cfRule type="cellIs" dxfId="64" priority="70" operator="lessThanOrEqual">
      <formula>0.85</formula>
    </cfRule>
    <cfRule type="cellIs" dxfId="63" priority="71" operator="between">
      <formula>0.86</formula>
      <formula>0.9999</formula>
    </cfRule>
  </conditionalFormatting>
  <conditionalFormatting sqref="X44:X48">
    <cfRule type="cellIs" dxfId="62" priority="66" operator="lessThanOrEqual">
      <formula>0.85</formula>
    </cfRule>
    <cfRule type="cellIs" dxfId="61" priority="67" operator="between">
      <formula>0.86</formula>
      <formula>0.9999</formula>
    </cfRule>
  </conditionalFormatting>
  <conditionalFormatting sqref="X50:X54">
    <cfRule type="cellIs" dxfId="60" priority="50" operator="lessThanOrEqual">
      <formula>0.85</formula>
    </cfRule>
    <cfRule type="cellIs" dxfId="59" priority="51" operator="between">
      <formula>0.86</formula>
      <formula>0.9999</formula>
    </cfRule>
  </conditionalFormatting>
  <conditionalFormatting sqref="X56:X60">
    <cfRule type="cellIs" dxfId="58" priority="62" operator="lessThanOrEqual">
      <formula>0.85</formula>
    </cfRule>
    <cfRule type="cellIs" dxfId="57" priority="63" operator="between">
      <formula>0.86</formula>
      <formula>0.9999</formula>
    </cfRule>
  </conditionalFormatting>
  <conditionalFormatting sqref="X62:X66">
    <cfRule type="cellIs" dxfId="56" priority="46" operator="lessThanOrEqual">
      <formula>0.85</formula>
    </cfRule>
    <cfRule type="cellIs" dxfId="55" priority="47" operator="between">
      <formula>0.86</formula>
      <formula>0.9999</formula>
    </cfRule>
  </conditionalFormatting>
  <conditionalFormatting sqref="X68:X72">
    <cfRule type="cellIs" dxfId="54" priority="58" operator="lessThanOrEqual">
      <formula>0.85</formula>
    </cfRule>
    <cfRule type="cellIs" dxfId="53" priority="59" operator="between">
      <formula>0.86</formula>
      <formula>0.9999</formula>
    </cfRule>
  </conditionalFormatting>
  <conditionalFormatting sqref="X74:X78">
    <cfRule type="cellIs" dxfId="52" priority="6" operator="lessThanOrEqual">
      <formula>0.85</formula>
    </cfRule>
    <cfRule type="cellIs" dxfId="51" priority="7" operator="between">
      <formula>0.86</formula>
      <formula>0.9999</formula>
    </cfRule>
  </conditionalFormatting>
  <conditionalFormatting sqref="X80:X84 X86:X90">
    <cfRule type="cellIs" dxfId="50" priority="168" operator="lessThanOrEqual">
      <formula>0.85</formula>
    </cfRule>
    <cfRule type="cellIs" dxfId="49" priority="169" operator="between">
      <formula>0.86</formula>
      <formula>0.9999</formula>
    </cfRule>
  </conditionalFormatting>
  <conditionalFormatting sqref="X92:X95 X97">
    <cfRule type="cellIs" dxfId="48" priority="405" operator="between">
      <formula>0.86</formula>
      <formula>0.999999999</formula>
    </cfRule>
  </conditionalFormatting>
  <conditionalFormatting sqref="AL7">
    <cfRule type="cellIs" dxfId="47" priority="391" operator="greaterThanOrEqual">
      <formula>1</formula>
    </cfRule>
    <cfRule type="cellIs" dxfId="46" priority="392" operator="between">
      <formula>0.9001</formula>
      <formula>0.9999</formula>
    </cfRule>
    <cfRule type="cellIs" dxfId="45" priority="393" operator="lessThan">
      <formula>0.9</formula>
    </cfRule>
  </conditionalFormatting>
  <conditionalFormatting sqref="AL13 AL19 AL25 AL31 AL37 AL43 AL49 AL55 AL61 AL67 AL79 AL91">
    <cfRule type="cellIs" dxfId="44" priority="163" operator="greaterThanOrEqual">
      <formula>1</formula>
    </cfRule>
    <cfRule type="cellIs" dxfId="43" priority="164" operator="between">
      <formula>0.9001</formula>
      <formula>0.9999</formula>
    </cfRule>
    <cfRule type="cellIs" dxfId="42" priority="165" operator="lessThan">
      <formula>0.9</formula>
    </cfRule>
  </conditionalFormatting>
  <conditionalFormatting sqref="AL73">
    <cfRule type="cellIs" dxfId="41" priority="3" operator="greaterThanOrEqual">
      <formula>1</formula>
    </cfRule>
    <cfRule type="cellIs" dxfId="40" priority="4" operator="between">
      <formula>0.9001</formula>
      <formula>0.9999</formula>
    </cfRule>
    <cfRule type="cellIs" dxfId="39" priority="5" operator="lessThan">
      <formula>0.9</formula>
    </cfRule>
  </conditionalFormatting>
  <conditionalFormatting sqref="AL85">
    <cfRule type="cellIs" dxfId="38" priority="160" operator="greaterThanOrEqual">
      <formula>1</formula>
    </cfRule>
    <cfRule type="cellIs" dxfId="37" priority="161" operator="between">
      <formula>0.9001</formula>
      <formula>0.9999</formula>
    </cfRule>
    <cfRule type="cellIs" dxfId="36" priority="162" operator="lessThan">
      <formula>0.9</formula>
    </cfRule>
  </conditionalFormatting>
  <conditionalFormatting sqref="AL96">
    <cfRule type="cellIs" dxfId="35" priority="84" operator="greaterThanOrEqual">
      <formula>1</formula>
    </cfRule>
    <cfRule type="cellIs" dxfId="34" priority="85" operator="between">
      <formula>0.9001</formula>
      <formula>0.9999</formula>
    </cfRule>
    <cfRule type="cellIs" dxfId="33" priority="86" operator="lessThan">
      <formula>0.9</formula>
    </cfRule>
  </conditionalFormatting>
  <conditionalFormatting sqref="AL98:AL1048576">
    <cfRule type="cellIs" dxfId="32" priority="396" operator="greaterThanOrEqual">
      <formula>1</formula>
    </cfRule>
    <cfRule type="cellIs" dxfId="31" priority="397" operator="between">
      <formula>0.9001</formula>
      <formula>0.9999</formula>
    </cfRule>
    <cfRule type="cellIs" dxfId="30" priority="398" operator="lessThan">
      <formula>0.9</formula>
    </cfRule>
  </conditionalFormatting>
  <conditionalFormatting sqref="AP8:AP12">
    <cfRule type="cellIs" dxfId="29" priority="158" operator="lessThanOrEqual">
      <formula>0.85</formula>
    </cfRule>
    <cfRule type="cellIs" dxfId="28" priority="159" operator="between">
      <formula>0.86</formula>
      <formula>0.9999</formula>
    </cfRule>
  </conditionalFormatting>
  <conditionalFormatting sqref="AP14:AP18">
    <cfRule type="cellIs" dxfId="27" priority="80" operator="lessThanOrEqual">
      <formula>0.85</formula>
    </cfRule>
    <cfRule type="cellIs" dxfId="26" priority="81" operator="between">
      <formula>0.86</formula>
      <formula>0.9999</formula>
    </cfRule>
  </conditionalFormatting>
  <conditionalFormatting sqref="AP20:AP24">
    <cfRule type="cellIs" dxfId="25" priority="52" operator="lessThanOrEqual">
      <formula>0.85</formula>
    </cfRule>
    <cfRule type="cellIs" dxfId="24" priority="53" operator="between">
      <formula>0.86</formula>
      <formula>0.9999</formula>
    </cfRule>
  </conditionalFormatting>
  <conditionalFormatting sqref="AP26:AP30">
    <cfRule type="cellIs" dxfId="23" priority="76" operator="lessThanOrEqual">
      <formula>0.85</formula>
    </cfRule>
    <cfRule type="cellIs" dxfId="22" priority="77" operator="between">
      <formula>0.86</formula>
      <formula>0.9999</formula>
    </cfRule>
  </conditionalFormatting>
  <conditionalFormatting sqref="AP32:AP36">
    <cfRule type="cellIs" dxfId="21" priority="72" operator="lessThanOrEqual">
      <formula>0.85</formula>
    </cfRule>
    <cfRule type="cellIs" dxfId="20" priority="73" operator="between">
      <formula>0.86</formula>
      <formula>0.9999</formula>
    </cfRule>
  </conditionalFormatting>
  <conditionalFormatting sqref="AP38:AP42">
    <cfRule type="cellIs" dxfId="19" priority="68" operator="lessThanOrEqual">
      <formula>0.85</formula>
    </cfRule>
    <cfRule type="cellIs" dxfId="18" priority="69" operator="between">
      <formula>0.86</formula>
      <formula>0.9999</formula>
    </cfRule>
  </conditionalFormatting>
  <conditionalFormatting sqref="AP44:AP48">
    <cfRule type="cellIs" dxfId="17" priority="64" operator="lessThanOrEqual">
      <formula>0.85</formula>
    </cfRule>
    <cfRule type="cellIs" dxfId="16" priority="65" operator="between">
      <formula>0.86</formula>
      <formula>0.9999</formula>
    </cfRule>
  </conditionalFormatting>
  <conditionalFormatting sqref="AP50:AP54">
    <cfRule type="cellIs" dxfId="15" priority="48" operator="lessThanOrEqual">
      <formula>0.85</formula>
    </cfRule>
    <cfRule type="cellIs" dxfId="14" priority="49" operator="between">
      <formula>0.86</formula>
      <formula>0.9999</formula>
    </cfRule>
  </conditionalFormatting>
  <conditionalFormatting sqref="AP56:AP60">
    <cfRule type="cellIs" dxfId="13" priority="60" operator="lessThanOrEqual">
      <formula>0.85</formula>
    </cfRule>
    <cfRule type="cellIs" dxfId="12" priority="61" operator="between">
      <formula>0.86</formula>
      <formula>0.9999</formula>
    </cfRule>
  </conditionalFormatting>
  <conditionalFormatting sqref="AP62:AP66">
    <cfRule type="cellIs" dxfId="11" priority="44" operator="lessThanOrEqual">
      <formula>0.85</formula>
    </cfRule>
    <cfRule type="cellIs" dxfId="10" priority="45" operator="between">
      <formula>0.86</formula>
      <formula>0.9999</formula>
    </cfRule>
  </conditionalFormatting>
  <conditionalFormatting sqref="AP68:AP72">
    <cfRule type="cellIs" dxfId="9" priority="56" operator="lessThanOrEqual">
      <formula>0.85</formula>
    </cfRule>
    <cfRule type="cellIs" dxfId="8" priority="57" operator="between">
      <formula>0.86</formula>
      <formula>0.9999</formula>
    </cfRule>
  </conditionalFormatting>
  <conditionalFormatting sqref="AP74:AP78">
    <cfRule type="cellIs" dxfId="7" priority="1" operator="lessThanOrEqual">
      <formula>0.85</formula>
    </cfRule>
    <cfRule type="cellIs" dxfId="6" priority="2" operator="between">
      <formula>0.86</formula>
      <formula>0.9999</formula>
    </cfRule>
  </conditionalFormatting>
  <conditionalFormatting sqref="AP80:AP84">
    <cfRule type="cellIs" dxfId="5" priority="102" operator="lessThanOrEqual">
      <formula>0.85</formula>
    </cfRule>
    <cfRule type="cellIs" dxfId="4" priority="103" operator="between">
      <formula>0.86</formula>
      <formula>0.9999</formula>
    </cfRule>
  </conditionalFormatting>
  <conditionalFormatting sqref="AP86:AP90">
    <cfRule type="cellIs" dxfId="3" priority="96" operator="lessThanOrEqual">
      <formula>0.85</formula>
    </cfRule>
    <cfRule type="cellIs" dxfId="2" priority="97" operator="between">
      <formula>0.86</formula>
      <formula>0.9999</formula>
    </cfRule>
  </conditionalFormatting>
  <conditionalFormatting sqref="AP92:AP95 AP97">
    <cfRule type="cellIs" dxfId="1" priority="230" operator="lessThanOrEqual">
      <formula>0.85</formula>
    </cfRule>
    <cfRule type="cellIs" dxfId="0" priority="231" operator="between">
      <formula>0.86</formula>
      <formula>0.9999</formula>
    </cfRule>
  </conditionalFormatting>
  <printOptions horizontalCentered="1"/>
  <pageMargins left="0" right="0" top="0" bottom="0" header="0" footer="0"/>
  <pageSetup paperSize="9"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PAD - DISTRIBUIÇÃO</vt:lpstr>
      <vt:lpstr>PAD - LOJAS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francislanias</dc:creator>
  <cp:lastModifiedBy>LEONARDO SANTOS DE SOUZA</cp:lastModifiedBy>
  <cp:lastPrinted>2026-09-11T13:37:42Z</cp:lastPrinted>
  <dcterms:created xsi:type="dcterms:W3CDTF">2013-12-24T17:42:15Z</dcterms:created>
  <dcterms:modified xsi:type="dcterms:W3CDTF">2026-09-17T18:44:56Z</dcterms:modified>
</cp:coreProperties>
</file>