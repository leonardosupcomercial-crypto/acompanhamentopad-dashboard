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K:\Comercial\Suporte\PAD\PAD 2026\09. SETEMBRO\"/>
    </mc:Choice>
  </mc:AlternateContent>
  <bookViews>
    <workbookView xWindow="-110" yWindow="-110" windowWidth="19420" windowHeight="10300" tabRatio="858"/>
  </bookViews>
  <sheets>
    <sheet name="PAD - DISTRIBUIÇÃO" sheetId="2" r:id="rId1"/>
    <sheet name="PAD - LOJAS" sheetId="3" r:id="rId2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<sst xmlns="http://schemas.openxmlformats.org/spreadsheetml/2006/main" count="325" uniqueCount="84">
  <si>
    <t>GESTOR</t>
  </si>
  <si>
    <t>META</t>
  </si>
  <si>
    <t>REAL</t>
  </si>
  <si>
    <t>%</t>
  </si>
  <si>
    <t>C01</t>
  </si>
  <si>
    <t>ESTOQUE</t>
  </si>
  <si>
    <t>DIA</t>
  </si>
  <si>
    <t>TOTAL LOJAS</t>
  </si>
  <si>
    <t>CEASA</t>
  </si>
  <si>
    <t>CASA AMARELA</t>
  </si>
  <si>
    <t>IMBIRIBEIRA</t>
  </si>
  <si>
    <t>REAL VERBA</t>
  </si>
  <si>
    <t>LOJÃO</t>
  </si>
  <si>
    <t>%  VENDA</t>
  </si>
  <si>
    <t>C03</t>
  </si>
  <si>
    <t>DIOGO</t>
  </si>
  <si>
    <t>C06</t>
  </si>
  <si>
    <t>C09</t>
  </si>
  <si>
    <t>C05</t>
  </si>
  <si>
    <t>C07</t>
  </si>
  <si>
    <t>C08</t>
  </si>
  <si>
    <t>C10</t>
  </si>
  <si>
    <t>C11</t>
  </si>
  <si>
    <t>C12</t>
  </si>
  <si>
    <t>C02</t>
  </si>
  <si>
    <t>RONALDO</t>
  </si>
  <si>
    <t>TOTAL RONALDO</t>
  </si>
  <si>
    <t>ELISANGELA</t>
  </si>
  <si>
    <t>TOTAL ELISANGELA</t>
  </si>
  <si>
    <t>C17</t>
  </si>
  <si>
    <t>TOTAL GERALDO</t>
  </si>
  <si>
    <t>GERALDO</t>
  </si>
  <si>
    <t>TOTAL</t>
  </si>
  <si>
    <t>BÁRBARA</t>
  </si>
  <si>
    <t>TOTAL BÁRBARA</t>
  </si>
  <si>
    <t>MÊS</t>
  </si>
  <si>
    <t>FATURAMENTO</t>
  </si>
  <si>
    <t>META PROPORCIONAL</t>
  </si>
  <si>
    <t>%
PREVISÃO</t>
  </si>
  <si>
    <t>PROJEÇÃO</t>
  </si>
  <si>
    <t>MARGEM DE REFERÊNCIA</t>
  </si>
  <si>
    <t>MARGEM BRUTA</t>
  </si>
  <si>
    <t>LB REFERÊNCIA</t>
  </si>
  <si>
    <t>REAL
(TOTAL)</t>
  </si>
  <si>
    <t>PROPOSTA</t>
  </si>
  <si>
    <t>RENTABILIDADE</t>
  </si>
  <si>
    <t>META DIA</t>
  </si>
  <si>
    <t>LB</t>
  </si>
  <si>
    <t>RONALDO MORAIS</t>
  </si>
  <si>
    <t>TOTAL DISTRIBUIÇÃO</t>
  </si>
  <si>
    <t>TOTAL DIOGO</t>
  </si>
  <si>
    <t>RAFAELA BEZERRA</t>
  </si>
  <si>
    <t>ELISANGELA CABRAL</t>
  </si>
  <si>
    <t>BRUNO</t>
  </si>
  <si>
    <t xml:space="preserve">TOTAL BRUNO </t>
  </si>
  <si>
    <t>RAFAELA</t>
  </si>
  <si>
    <t>TOTAL RAFAELA</t>
  </si>
  <si>
    <t>VINICIUS</t>
  </si>
  <si>
    <t>TOTAL VINICIUS</t>
  </si>
  <si>
    <t>C18</t>
  </si>
  <si>
    <t>DIOGO PADILHA</t>
  </si>
  <si>
    <t>BARBARA MIRANDA</t>
  </si>
  <si>
    <t>VINÍCIUS JORDÃO</t>
  </si>
  <si>
    <t>GERALDO JOSÉ</t>
  </si>
  <si>
    <t>BRUNO OLIVEIRA</t>
  </si>
  <si>
    <t>MÉDIA /
DIA</t>
  </si>
  <si>
    <t>HEMILI</t>
  </si>
  <si>
    <t>CAROLINA</t>
  </si>
  <si>
    <t>C16</t>
  </si>
  <si>
    <t/>
  </si>
  <si>
    <t>em aberto</t>
  </si>
  <si>
    <t>TOTAL CAROL - Laticínios</t>
  </si>
  <si>
    <t>CAROL - LATICÍNIOS</t>
  </si>
  <si>
    <t>ISAIAS</t>
  </si>
  <si>
    <t>TOTAL ISAIAS</t>
  </si>
  <si>
    <t>HIGIENE</t>
  </si>
  <si>
    <t>ANDRYO</t>
  </si>
  <si>
    <t>ANDRYO - Iogurtes</t>
  </si>
  <si>
    <t>TOTAL HEMILI - Higiene</t>
  </si>
  <si>
    <t>TOTAL ISAIAS - Bazar</t>
  </si>
  <si>
    <t>TOTAL ANDRYO - Iogurtes</t>
  </si>
  <si>
    <t>TOTAL HEMILI - Limpeza</t>
  </si>
  <si>
    <t>PAD DISTRIBUIÇÃO - SETEMBRO  / 2026</t>
  </si>
  <si>
    <t>PAD LOJAS - SETEMBRO  /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</si>
</sst>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-* #,##0.00_-;\-* #,##0.00_-;_-* &quot;-&quot;??_-;_-@_-"/>
    <numFmt numFmtId="164" formatCode="_-* #,##0_-;\-* #,##0_-;_-* &quot;-&quot;??_-;_-@_-"/>
    <numFmt numFmtId="165" formatCode="0.0%"/>
    <numFmt numFmtId="166" formatCode="&quot;R$&quot;\ #,##0.00"/>
  </numFmts>
  <fonts count="65" x14ac:knownFonts="1">
    <font>
      <sz val="11"/>
      <color theme="1"/>
      <name val="Cambria"/>
      <family val="2"/>
      <scheme val="minor"/>
    </font>
    <font>
      <sz val="11"/>
      <color theme="1"/>
      <name val="Cambria"/>
      <family val="2"/>
      <scheme val="minor"/>
    </font>
    <font>
      <sz val="10"/>
      <color theme="1"/>
      <name val="Cambria"/>
      <family val="2"/>
      <scheme val="minor"/>
    </font>
    <font>
      <sz val="14"/>
      <color theme="1"/>
      <name val="Cambria"/>
      <family val="2"/>
      <scheme val="minor"/>
    </font>
    <font>
      <b/>
      <sz val="10"/>
      <color theme="1"/>
      <name val="Cambria"/>
      <family val="1"/>
      <scheme val="minor"/>
    </font>
    <font>
      <b/>
      <sz val="11"/>
      <color theme="1"/>
      <name val="Cambria"/>
      <family val="1"/>
      <scheme val="minor"/>
    </font>
    <font>
      <b/>
      <sz val="8"/>
      <color theme="1"/>
      <name val="Cambria"/>
      <family val="2"/>
      <scheme val="minor"/>
    </font>
    <font>
      <sz val="9"/>
      <color theme="1"/>
      <name val="Cambria"/>
      <family val="2"/>
      <scheme val="minor"/>
    </font>
    <font>
      <sz val="10"/>
      <color theme="1"/>
      <name val="Cambria"/>
      <family val="1"/>
      <scheme val="minor"/>
    </font>
    <font>
      <b/>
      <sz val="10"/>
      <color theme="0"/>
      <name val="Cambria"/>
      <family val="1"/>
      <scheme val="minor"/>
    </font>
    <font>
      <sz val="8"/>
      <color rgb="FFFF0000"/>
      <name val="Cambria"/>
      <family val="1"/>
      <scheme val="minor"/>
    </font>
    <font>
      <b/>
      <sz val="9"/>
      <color theme="0"/>
      <name val="Cambria"/>
      <family val="1"/>
      <scheme val="minor"/>
    </font>
    <font>
      <b/>
      <sz val="8"/>
      <color theme="0"/>
      <name val="Cambria"/>
      <family val="2"/>
      <scheme val="minor"/>
    </font>
    <font>
      <sz val="8"/>
      <color theme="1"/>
      <name val="Cambria"/>
      <family val="2"/>
      <scheme val="minor"/>
    </font>
    <font>
      <sz val="9"/>
      <color theme="0"/>
      <name val="Cambria"/>
      <family val="2"/>
      <scheme val="minor"/>
    </font>
    <font>
      <b/>
      <sz val="8"/>
      <color rgb="FFFF0000"/>
      <name val="Cambria"/>
      <family val="1"/>
      <scheme val="minor"/>
    </font>
    <font>
      <b/>
      <sz val="9"/>
      <color theme="1"/>
      <name val="Calibri"/>
      <family val="2"/>
      <scheme val="major"/>
    </font>
    <font>
      <b/>
      <sz val="10"/>
      <color theme="1"/>
      <name val="Calibri"/>
      <family val="2"/>
      <scheme val="major"/>
    </font>
    <font>
      <sz val="9"/>
      <color theme="0"/>
      <name val="Calibri"/>
      <family val="2"/>
      <scheme val="major"/>
    </font>
    <font>
      <sz val="9"/>
      <color theme="1"/>
      <name val="Calibri"/>
      <family val="2"/>
      <scheme val="major"/>
    </font>
    <font>
      <sz val="10"/>
      <color theme="1"/>
      <name val="Calibri"/>
      <family val="2"/>
      <scheme val="major"/>
    </font>
    <font>
      <b/>
      <sz val="9"/>
      <color theme="0"/>
      <name val="Calibri"/>
      <family val="2"/>
      <scheme val="major"/>
    </font>
    <font>
      <b/>
      <sz val="10"/>
      <color theme="0"/>
      <name val="Calibri"/>
      <family val="2"/>
      <scheme val="major"/>
    </font>
    <font>
      <sz val="11"/>
      <color theme="1"/>
      <name val="Calibri"/>
      <family val="2"/>
      <scheme val="major"/>
    </font>
    <font>
      <sz val="12"/>
      <color theme="1" tint="0.249977111117893"/>
      <name val="Cambria"/>
      <family val="1"/>
      <scheme val="minor"/>
    </font>
    <font>
      <sz val="10"/>
      <color theme="1" tint="0.249977111117893"/>
      <name val="Cambria"/>
      <family val="1"/>
      <scheme val="minor"/>
    </font>
    <font>
      <sz val="10"/>
      <color rgb="FFFF0000"/>
      <name val="Cambria"/>
      <family val="1"/>
      <scheme val="minor"/>
    </font>
    <font>
      <b/>
      <sz val="10"/>
      <name val="Calibri"/>
      <family val="2"/>
      <scheme val="major"/>
    </font>
    <font>
      <b/>
      <sz val="9"/>
      <name val="Calibri"/>
      <family val="2"/>
      <scheme val="major"/>
    </font>
    <font>
      <sz val="11"/>
      <color theme="0"/>
      <name val="Cambria"/>
      <family val="2"/>
      <scheme val="minor"/>
    </font>
    <font>
      <sz val="10"/>
      <color theme="0"/>
      <name val="Cambria"/>
      <family val="2"/>
      <scheme val="minor"/>
    </font>
    <font>
      <sz val="11"/>
      <color theme="0"/>
      <name val="Cambria"/>
      <family val="1"/>
      <scheme val="minor"/>
    </font>
    <font>
      <sz val="8"/>
      <name val="Cambria"/>
      <family val="1"/>
      <scheme val="minor"/>
    </font>
    <font>
      <b/>
      <sz val="9"/>
      <name val="Cambria"/>
      <family val="1"/>
      <scheme val="minor"/>
    </font>
    <font>
      <sz val="12"/>
      <name val="Cambria"/>
      <family val="1"/>
      <scheme val="minor"/>
    </font>
    <font>
      <sz val="8"/>
      <color theme="0"/>
      <name val="Cambria"/>
      <family val="1"/>
      <scheme val="minor"/>
    </font>
    <font>
      <sz val="14"/>
      <color theme="0"/>
      <name val="Cambria"/>
      <family val="2"/>
      <scheme val="minor"/>
    </font>
    <font>
      <sz val="9"/>
      <color theme="0"/>
      <name val="Cambria"/>
      <family val="1"/>
      <scheme val="minor"/>
    </font>
    <font>
      <b/>
      <sz val="14"/>
      <color theme="0"/>
      <name val="Cambria"/>
      <family val="1"/>
      <scheme val="minor"/>
    </font>
    <font>
      <sz val="12"/>
      <color theme="0"/>
      <name val="Cambria"/>
      <family val="1"/>
      <scheme val="minor"/>
    </font>
    <font>
      <b/>
      <sz val="9"/>
      <color theme="1"/>
      <name val="Cambria"/>
      <family val="1"/>
      <scheme val="minor"/>
    </font>
    <font>
      <sz val="9"/>
      <name val="Cambria"/>
      <family val="1"/>
      <scheme val="minor"/>
    </font>
    <font>
      <sz val="9"/>
      <color theme="1" tint="0.249977111117893"/>
      <name val="Cambria"/>
      <family val="1"/>
      <scheme val="minor"/>
    </font>
    <font>
      <sz val="9"/>
      <color theme="1"/>
      <name val="Cambria"/>
      <family val="1"/>
      <scheme val="minor"/>
    </font>
    <font>
      <b/>
      <sz val="9"/>
      <color theme="0"/>
      <name val="Cambria"/>
      <family val="2"/>
      <scheme val="minor"/>
    </font>
    <font>
      <b/>
      <sz val="9"/>
      <color theme="1"/>
      <name val="Cambria"/>
      <family val="2"/>
      <scheme val="minor"/>
    </font>
    <font>
      <sz val="8"/>
      <color theme="1"/>
      <name val="Cambria"/>
      <family val="1"/>
      <scheme val="minor"/>
    </font>
    <font>
      <b/>
      <sz val="8"/>
      <color theme="1"/>
      <name val="Cambria"/>
      <family val="1"/>
      <scheme val="minor"/>
    </font>
    <font>
      <b/>
      <sz val="8"/>
      <color theme="1"/>
      <name val="Calibri"/>
      <family val="2"/>
      <scheme val="major"/>
    </font>
    <font>
      <b/>
      <sz val="9"/>
      <color rgb="FF7A0B0B"/>
      <name val="Cambria"/>
      <family val="1"/>
      <scheme val="minor"/>
    </font>
    <font>
      <sz val="9"/>
      <color rgb="FF7A0B0B"/>
      <name val="Cambria"/>
      <family val="1"/>
      <scheme val="minor"/>
    </font>
    <font>
      <sz val="10"/>
      <color theme="0"/>
      <name val="Cambria"/>
      <family val="1"/>
      <scheme val="minor"/>
    </font>
    <font>
      <sz val="10"/>
      <color rgb="FF7A0B0B"/>
      <name val="Cambria"/>
      <family val="1"/>
      <scheme val="minor"/>
    </font>
    <font>
      <sz val="11"/>
      <color rgb="FF7A0B0B"/>
      <name val="Cambria"/>
      <family val="1"/>
      <scheme val="minor"/>
    </font>
    <font>
      <b/>
      <sz val="8"/>
      <color rgb="FF92D050"/>
      <name val="Cambria"/>
      <family val="1"/>
      <scheme val="minor"/>
    </font>
    <font>
      <b/>
      <sz val="26"/>
      <color theme="1"/>
      <name val="Cambria"/>
      <family val="1"/>
      <scheme val="minor"/>
    </font>
    <font>
      <b/>
      <sz val="9"/>
      <color theme="1"/>
      <name val="Calibri"/>
      <family val="1"/>
      <scheme val="major"/>
    </font>
    <font>
      <b/>
      <sz val="14"/>
      <color theme="1"/>
      <name val="Cambria"/>
      <family val="1"/>
      <scheme val="minor"/>
    </font>
    <font>
      <sz val="11"/>
      <color theme="1"/>
      <name val="Cambria"/>
      <family val="1"/>
      <scheme val="minor"/>
    </font>
    <font>
      <b/>
      <sz val="12"/>
      <color theme="1"/>
      <name val="Cambria"/>
      <family val="1"/>
      <scheme val="minor"/>
    </font>
    <font>
      <b/>
      <sz val="7"/>
      <color theme="1"/>
      <name val="Cambria"/>
      <family val="1"/>
      <scheme val="minor"/>
    </font>
    <font>
      <b/>
      <sz val="9"/>
      <color theme="0" tint="-0.14999847407452621"/>
      <name val="Cambria"/>
      <family val="1"/>
      <scheme val="minor"/>
    </font>
    <font>
      <sz val="9"/>
      <color theme="0" tint="-0.14999847407452621"/>
      <name val="Cambria"/>
      <family val="1"/>
      <scheme val="minor"/>
    </font>
    <font>
      <sz val="9"/>
      <color rgb="FFFF0000"/>
      <name val="Cambria"/>
      <family val="1"/>
      <scheme val="minor"/>
    </font>
    <font>
      <b/>
      <sz val="9"/>
      <color rgb="FFFF0000"/>
      <name val="Cambria"/>
      <family val="1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theme="2" tint="0.39997558519241921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36">
    <xf numFmtId="0" fontId="0" fillId="0" borderId="0" xfId="0"/>
    <xf numFmtId="0" fontId="2" fillId="2" borderId="0" xfId="0" applyFont="1" applyFill="1"/>
    <xf numFmtId="0" fontId="3" fillId="2" borderId="0" xfId="0" applyFont="1" applyFill="1"/>
    <xf numFmtId="0" fontId="2" fillId="2" borderId="0" xfId="0" applyFont="1" applyFill="1" applyAlignment="1">
      <alignment horizontal="center"/>
    </xf>
    <xf numFmtId="43" fontId="2" fillId="2" borderId="0" xfId="1" applyFont="1" applyFill="1"/>
    <xf numFmtId="165" fontId="2" fillId="2" borderId="0" xfId="2" applyNumberFormat="1" applyFont="1" applyFill="1"/>
    <xf numFmtId="0" fontId="2" fillId="2" borderId="1" xfId="0" applyFont="1" applyFill="1" applyBorder="1" applyAlignment="1">
      <alignment horizontal="left"/>
    </xf>
    <xf numFmtId="0" fontId="10" fillId="2" borderId="0" xfId="0" applyFont="1" applyFill="1" applyAlignment="1">
      <alignment horizontal="center"/>
    </xf>
    <xf numFmtId="0" fontId="11" fillId="2" borderId="0" xfId="0" applyFont="1" applyFill="1" applyAlignment="1">
      <alignment horizontal="center"/>
    </xf>
    <xf numFmtId="0" fontId="4" fillId="4" borderId="1" xfId="0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2" fillId="0" borderId="0" xfId="0" applyFont="1"/>
    <xf numFmtId="0" fontId="8" fillId="0" borderId="0" xfId="0" applyFont="1"/>
    <xf numFmtId="0" fontId="7" fillId="0" borderId="0" xfId="0" applyFont="1"/>
    <xf numFmtId="0" fontId="4" fillId="0" borderId="0" xfId="0" applyFont="1"/>
    <xf numFmtId="0" fontId="4" fillId="0" borderId="0" xfId="0" applyFont="1" applyAlignment="1">
      <alignment vertical="center"/>
    </xf>
    <xf numFmtId="0" fontId="13" fillId="2" borderId="0" xfId="0" applyFont="1" applyFill="1"/>
    <xf numFmtId="0" fontId="6" fillId="2" borderId="0" xfId="0" applyFont="1" applyFill="1"/>
    <xf numFmtId="0" fontId="7" fillId="2" borderId="0" xfId="0" applyFont="1" applyFill="1"/>
    <xf numFmtId="43" fontId="7" fillId="2" borderId="0" xfId="1" applyFont="1" applyFill="1"/>
    <xf numFmtId="164" fontId="7" fillId="2" borderId="0" xfId="1" applyNumberFormat="1" applyFont="1" applyFill="1"/>
    <xf numFmtId="0" fontId="8" fillId="2" borderId="0" xfId="0" applyFont="1" applyFill="1" applyAlignment="1">
      <alignment horizontal="center"/>
    </xf>
    <xf numFmtId="0" fontId="8" fillId="2" borderId="0" xfId="0" applyFont="1" applyFill="1"/>
    <xf numFmtId="165" fontId="8" fillId="2" borderId="0" xfId="2" applyNumberFormat="1" applyFont="1" applyFill="1" applyAlignment="1">
      <alignment horizontal="center"/>
    </xf>
    <xf numFmtId="43" fontId="8" fillId="2" borderId="0" xfId="1" applyFont="1" applyFill="1"/>
    <xf numFmtId="0" fontId="9" fillId="3" borderId="1" xfId="0" applyFont="1" applyFill="1" applyBorder="1" applyAlignment="1">
      <alignment horizontal="center" vertical="center"/>
    </xf>
    <xf numFmtId="0" fontId="15" fillId="2" borderId="0" xfId="0" applyFont="1" applyFill="1" applyAlignment="1">
      <alignment horizontal="center"/>
    </xf>
    <xf numFmtId="164" fontId="16" fillId="4" borderId="1" xfId="0" applyNumberFormat="1" applyFont="1" applyFill="1" applyBorder="1" applyAlignment="1">
      <alignment vertical="center"/>
    </xf>
    <xf numFmtId="0" fontId="17" fillId="0" borderId="0" xfId="0" applyFont="1"/>
    <xf numFmtId="164" fontId="17" fillId="4" borderId="1" xfId="0" applyNumberFormat="1" applyFont="1" applyFill="1" applyBorder="1" applyAlignment="1">
      <alignment vertical="center"/>
    </xf>
    <xf numFmtId="165" fontId="17" fillId="4" borderId="1" xfId="2" applyNumberFormat="1" applyFont="1" applyFill="1" applyBorder="1" applyAlignment="1">
      <alignment horizontal="center" vertical="center"/>
    </xf>
    <xf numFmtId="165" fontId="16" fillId="4" borderId="1" xfId="2" applyNumberFormat="1" applyFont="1" applyFill="1" applyBorder="1" applyAlignment="1">
      <alignment horizontal="center" vertical="center"/>
    </xf>
    <xf numFmtId="43" fontId="16" fillId="4" borderId="1" xfId="1" applyFont="1" applyFill="1" applyBorder="1" applyAlignment="1">
      <alignment vertical="center"/>
    </xf>
    <xf numFmtId="164" fontId="19" fillId="2" borderId="1" xfId="1" applyNumberFormat="1" applyFont="1" applyFill="1" applyBorder="1"/>
    <xf numFmtId="0" fontId="20" fillId="0" borderId="0" xfId="0" applyFont="1"/>
    <xf numFmtId="164" fontId="20" fillId="2" borderId="1" xfId="1" applyNumberFormat="1" applyFont="1" applyFill="1" applyBorder="1"/>
    <xf numFmtId="0" fontId="19" fillId="0" borderId="0" xfId="0" applyFont="1"/>
    <xf numFmtId="164" fontId="19" fillId="2" borderId="2" xfId="1" applyNumberFormat="1" applyFont="1" applyFill="1" applyBorder="1" applyAlignment="1">
      <alignment horizontal="center"/>
    </xf>
    <xf numFmtId="43" fontId="19" fillId="2" borderId="1" xfId="1" applyFont="1" applyFill="1" applyBorder="1"/>
    <xf numFmtId="0" fontId="16" fillId="0" borderId="0" xfId="0" applyFont="1" applyAlignment="1">
      <alignment vertical="center"/>
    </xf>
    <xf numFmtId="164" fontId="21" fillId="3" borderId="1" xfId="0" applyNumberFormat="1" applyFont="1" applyFill="1" applyBorder="1" applyAlignment="1">
      <alignment vertical="center"/>
    </xf>
    <xf numFmtId="164" fontId="22" fillId="3" borderId="1" xfId="0" applyNumberFormat="1" applyFont="1" applyFill="1" applyBorder="1" applyAlignment="1">
      <alignment vertical="center"/>
    </xf>
    <xf numFmtId="165" fontId="17" fillId="3" borderId="1" xfId="2" applyNumberFormat="1" applyFont="1" applyFill="1" applyBorder="1" applyAlignment="1">
      <alignment horizontal="center" vertical="center"/>
    </xf>
    <xf numFmtId="43" fontId="22" fillId="3" borderId="1" xfId="1" applyFont="1" applyFill="1" applyBorder="1" applyAlignment="1">
      <alignment vertical="center"/>
    </xf>
    <xf numFmtId="165" fontId="16" fillId="3" borderId="1" xfId="2" applyNumberFormat="1" applyFont="1" applyFill="1" applyBorder="1" applyAlignment="1">
      <alignment horizontal="center" vertical="center"/>
    </xf>
    <xf numFmtId="0" fontId="21" fillId="0" borderId="0" xfId="0" applyFont="1" applyAlignment="1">
      <alignment vertical="center"/>
    </xf>
    <xf numFmtId="43" fontId="21" fillId="3" borderId="1" xfId="1" applyFont="1" applyFill="1" applyBorder="1" applyAlignment="1">
      <alignment vertical="center"/>
    </xf>
    <xf numFmtId="0" fontId="19" fillId="2" borderId="0" xfId="0" applyFont="1" applyFill="1"/>
    <xf numFmtId="0" fontId="20" fillId="2" borderId="0" xfId="0" applyFont="1" applyFill="1"/>
    <xf numFmtId="0" fontId="20" fillId="2" borderId="0" xfId="0" applyFont="1" applyFill="1" applyAlignment="1">
      <alignment horizontal="center"/>
    </xf>
    <xf numFmtId="43" fontId="20" fillId="2" borderId="0" xfId="1" applyFont="1" applyFill="1"/>
    <xf numFmtId="0" fontId="19" fillId="2" borderId="0" xfId="0" applyFont="1" applyFill="1" applyAlignment="1">
      <alignment horizontal="center"/>
    </xf>
    <xf numFmtId="43" fontId="19" fillId="2" borderId="0" xfId="1" applyFont="1" applyFill="1"/>
    <xf numFmtId="164" fontId="19" fillId="2" borderId="0" xfId="1" applyNumberFormat="1" applyFont="1" applyFill="1"/>
    <xf numFmtId="165" fontId="19" fillId="2" borderId="0" xfId="2" applyNumberFormat="1" applyFont="1" applyFill="1"/>
    <xf numFmtId="0" fontId="23" fillId="0" borderId="0" xfId="0" applyFont="1"/>
    <xf numFmtId="164" fontId="20" fillId="2" borderId="0" xfId="0" applyNumberFormat="1" applyFont="1" applyFill="1"/>
    <xf numFmtId="0" fontId="24" fillId="0" borderId="0" xfId="0" applyFont="1" applyAlignment="1">
      <alignment vertical="center"/>
    </xf>
    <xf numFmtId="0" fontId="25" fillId="0" borderId="0" xfId="0" applyFont="1"/>
    <xf numFmtId="164" fontId="19" fillId="2" borderId="0" xfId="0" applyNumberFormat="1" applyFont="1" applyFill="1"/>
    <xf numFmtId="164" fontId="8" fillId="2" borderId="0" xfId="0" applyNumberFormat="1" applyFont="1" applyFill="1"/>
    <xf numFmtId="0" fontId="14" fillId="0" borderId="0" xfId="0" applyFont="1"/>
    <xf numFmtId="9" fontId="18" fillId="0" borderId="0" xfId="2" applyFont="1" applyFill="1"/>
    <xf numFmtId="0" fontId="18" fillId="0" borderId="0" xfId="0" applyFont="1"/>
    <xf numFmtId="0" fontId="15" fillId="0" borderId="0" xfId="0" applyFont="1" applyAlignment="1">
      <alignment horizontal="center"/>
    </xf>
    <xf numFmtId="0" fontId="26" fillId="0" borderId="0" xfId="0" applyFont="1"/>
    <xf numFmtId="43" fontId="7" fillId="0" borderId="0" xfId="1" applyFont="1" applyFill="1"/>
    <xf numFmtId="43" fontId="8" fillId="0" borderId="0" xfId="1" applyFont="1" applyFill="1"/>
    <xf numFmtId="164" fontId="21" fillId="5" borderId="1" xfId="0" applyNumberFormat="1" applyFont="1" applyFill="1" applyBorder="1" applyAlignment="1">
      <alignment vertical="center"/>
    </xf>
    <xf numFmtId="165" fontId="17" fillId="0" borderId="1" xfId="2" applyNumberFormat="1" applyFont="1" applyFill="1" applyBorder="1" applyAlignment="1">
      <alignment horizontal="center" vertical="center"/>
    </xf>
    <xf numFmtId="165" fontId="16" fillId="0" borderId="1" xfId="2" applyNumberFormat="1" applyFont="1" applyFill="1" applyBorder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164" fontId="21" fillId="0" borderId="3" xfId="0" applyNumberFormat="1" applyFont="1" applyBorder="1" applyAlignment="1">
      <alignment vertical="center"/>
    </xf>
    <xf numFmtId="0" fontId="22" fillId="0" borderId="3" xfId="0" applyFont="1" applyBorder="1" applyAlignment="1">
      <alignment vertical="center"/>
    </xf>
    <xf numFmtId="164" fontId="22" fillId="0" borderId="3" xfId="0" applyNumberFormat="1" applyFont="1" applyBorder="1" applyAlignment="1">
      <alignment vertical="center"/>
    </xf>
    <xf numFmtId="165" fontId="17" fillId="0" borderId="3" xfId="2" applyNumberFormat="1" applyFont="1" applyFill="1" applyBorder="1" applyAlignment="1">
      <alignment horizontal="center" vertical="center"/>
    </xf>
    <xf numFmtId="43" fontId="22" fillId="0" borderId="3" xfId="1" applyFont="1" applyFill="1" applyBorder="1" applyAlignment="1">
      <alignment vertical="center"/>
    </xf>
    <xf numFmtId="0" fontId="21" fillId="0" borderId="3" xfId="0" applyFont="1" applyBorder="1" applyAlignment="1">
      <alignment vertical="center"/>
    </xf>
    <xf numFmtId="0" fontId="9" fillId="0" borderId="3" xfId="0" applyFont="1" applyBorder="1" applyAlignment="1">
      <alignment vertical="center"/>
    </xf>
    <xf numFmtId="10" fontId="17" fillId="4" borderId="1" xfId="2" applyNumberFormat="1" applyFont="1" applyFill="1" applyBorder="1" applyAlignment="1">
      <alignment horizontal="center" vertical="center"/>
    </xf>
    <xf numFmtId="10" fontId="17" fillId="3" borderId="1" xfId="2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64" fontId="16" fillId="0" borderId="1" xfId="0" applyNumberFormat="1" applyFont="1" applyBorder="1" applyAlignment="1">
      <alignment vertical="center"/>
    </xf>
    <xf numFmtId="164" fontId="17" fillId="0" borderId="1" xfId="0" applyNumberFormat="1" applyFont="1" applyBorder="1" applyAlignment="1">
      <alignment vertical="center"/>
    </xf>
    <xf numFmtId="164" fontId="27" fillId="0" borderId="1" xfId="0" applyNumberFormat="1" applyFont="1" applyBorder="1" applyAlignment="1">
      <alignment horizontal="center" vertical="center"/>
    </xf>
    <xf numFmtId="0" fontId="16" fillId="0" borderId="0" xfId="0" applyFont="1"/>
    <xf numFmtId="43" fontId="17" fillId="0" borderId="1" xfId="0" applyNumberFormat="1" applyFont="1" applyBorder="1" applyAlignment="1">
      <alignment vertical="center"/>
    </xf>
    <xf numFmtId="43" fontId="27" fillId="0" borderId="1" xfId="0" applyNumberFormat="1" applyFont="1" applyBorder="1" applyAlignment="1">
      <alignment horizontal="center" vertical="center"/>
    </xf>
    <xf numFmtId="164" fontId="28" fillId="0" borderId="1" xfId="1" applyNumberFormat="1" applyFont="1" applyFill="1" applyBorder="1" applyAlignment="1">
      <alignment horizontal="center" vertical="center"/>
    </xf>
    <xf numFmtId="43" fontId="28" fillId="0" borderId="1" xfId="1" applyFont="1" applyFill="1" applyBorder="1" applyAlignment="1">
      <alignment horizontal="center" vertical="center"/>
    </xf>
    <xf numFmtId="165" fontId="16" fillId="0" borderId="0" xfId="0" applyNumberFormat="1" applyFont="1"/>
    <xf numFmtId="165" fontId="19" fillId="0" borderId="0" xfId="0" applyNumberFormat="1" applyFont="1"/>
    <xf numFmtId="164" fontId="21" fillId="5" borderId="14" xfId="0" applyNumberFormat="1" applyFont="1" applyFill="1" applyBorder="1" applyAlignment="1">
      <alignment vertical="center"/>
    </xf>
    <xf numFmtId="0" fontId="9" fillId="3" borderId="14" xfId="0" applyFont="1" applyFill="1" applyBorder="1" applyAlignment="1">
      <alignment horizontal="center" vertical="center"/>
    </xf>
    <xf numFmtId="165" fontId="17" fillId="3" borderId="14" xfId="2" applyNumberFormat="1" applyFont="1" applyFill="1" applyBorder="1" applyAlignment="1">
      <alignment horizontal="center" vertical="center"/>
    </xf>
    <xf numFmtId="0" fontId="16" fillId="0" borderId="14" xfId="0" applyFont="1" applyBorder="1" applyAlignment="1">
      <alignment vertical="center"/>
    </xf>
    <xf numFmtId="10" fontId="22" fillId="3" borderId="14" xfId="2" applyNumberFormat="1" applyFont="1" applyFill="1" applyBorder="1" applyAlignment="1">
      <alignment horizontal="center" vertical="center"/>
    </xf>
    <xf numFmtId="0" fontId="21" fillId="0" borderId="14" xfId="0" applyFont="1" applyBorder="1" applyAlignment="1">
      <alignment vertical="center"/>
    </xf>
    <xf numFmtId="43" fontId="22" fillId="3" borderId="14" xfId="1" applyFont="1" applyFill="1" applyBorder="1" applyAlignment="1">
      <alignment vertical="center"/>
    </xf>
    <xf numFmtId="10" fontId="17" fillId="3" borderId="14" xfId="2" applyNumberFormat="1" applyFont="1" applyFill="1" applyBorder="1" applyAlignment="1">
      <alignment horizontal="center" vertical="center"/>
    </xf>
    <xf numFmtId="9" fontId="18" fillId="0" borderId="14" xfId="2" applyFont="1" applyFill="1" applyBorder="1"/>
    <xf numFmtId="165" fontId="22" fillId="3" borderId="14" xfId="2" applyNumberFormat="1" applyFont="1" applyFill="1" applyBorder="1" applyAlignment="1">
      <alignment horizontal="center" vertical="center"/>
    </xf>
    <xf numFmtId="43" fontId="21" fillId="3" borderId="14" xfId="1" applyFont="1" applyFill="1" applyBorder="1" applyAlignment="1">
      <alignment vertical="center"/>
    </xf>
    <xf numFmtId="164" fontId="20" fillId="2" borderId="0" xfId="1" applyNumberFormat="1" applyFont="1" applyFill="1"/>
    <xf numFmtId="49" fontId="4" fillId="0" borderId="1" xfId="0" applyNumberFormat="1" applyFont="1" applyBorder="1" applyAlignment="1">
      <alignment horizontal="center" vertical="center"/>
    </xf>
    <xf numFmtId="0" fontId="41" fillId="0" borderId="5" xfId="0" applyFont="1" applyBorder="1" applyAlignment="1">
      <alignment horizontal="center"/>
    </xf>
    <xf numFmtId="0" fontId="42" fillId="0" borderId="0" xfId="0" applyFont="1"/>
    <xf numFmtId="10" fontId="20" fillId="0" borderId="1" xfId="2" applyNumberFormat="1" applyFont="1" applyFill="1" applyBorder="1" applyAlignment="1">
      <alignment horizontal="center" vertical="center"/>
    </xf>
    <xf numFmtId="164" fontId="2" fillId="2" borderId="0" xfId="0" applyNumberFormat="1" applyFont="1" applyFill="1"/>
    <xf numFmtId="165" fontId="16" fillId="0" borderId="3" xfId="2" applyNumberFormat="1" applyFont="1" applyFill="1" applyBorder="1" applyAlignment="1">
      <alignment horizontal="center" vertical="center"/>
    </xf>
    <xf numFmtId="0" fontId="43" fillId="2" borderId="0" xfId="0" applyFont="1" applyFill="1" applyAlignment="1">
      <alignment horizontal="center"/>
    </xf>
    <xf numFmtId="165" fontId="16" fillId="3" borderId="14" xfId="2" applyNumberFormat="1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/>
    </xf>
    <xf numFmtId="0" fontId="43" fillId="2" borderId="0" xfId="0" applyFont="1" applyFill="1"/>
    <xf numFmtId="165" fontId="16" fillId="2" borderId="1" xfId="2" applyNumberFormat="1" applyFont="1" applyFill="1" applyBorder="1" applyAlignment="1">
      <alignment horizontal="center" vertical="center"/>
    </xf>
    <xf numFmtId="0" fontId="43" fillId="0" borderId="0" xfId="0" applyFont="1"/>
    <xf numFmtId="165" fontId="40" fillId="2" borderId="0" xfId="2" applyNumberFormat="1" applyFont="1" applyFill="1" applyAlignment="1">
      <alignment horizontal="center"/>
    </xf>
    <xf numFmtId="165" fontId="16" fillId="2" borderId="0" xfId="2" applyNumberFormat="1" applyFont="1" applyFill="1"/>
    <xf numFmtId="165" fontId="45" fillId="2" borderId="0" xfId="2" applyNumberFormat="1" applyFont="1" applyFill="1"/>
    <xf numFmtId="165" fontId="46" fillId="0" borderId="1" xfId="2" applyNumberFormat="1" applyFont="1" applyFill="1" applyBorder="1" applyAlignment="1">
      <alignment horizontal="center" vertical="center"/>
    </xf>
    <xf numFmtId="165" fontId="46" fillId="0" borderId="3" xfId="2" applyNumberFormat="1" applyFont="1" applyFill="1" applyBorder="1" applyAlignment="1">
      <alignment horizontal="center" vertical="center"/>
    </xf>
    <xf numFmtId="165" fontId="46" fillId="5" borderId="1" xfId="2" applyNumberFormat="1" applyFont="1" applyFill="1" applyBorder="1" applyAlignment="1">
      <alignment horizontal="center" vertical="center"/>
    </xf>
    <xf numFmtId="165" fontId="47" fillId="2" borderId="1" xfId="2" applyNumberFormat="1" applyFont="1" applyFill="1" applyBorder="1" applyAlignment="1">
      <alignment horizontal="center" vertical="center"/>
    </xf>
    <xf numFmtId="165" fontId="47" fillId="4" borderId="1" xfId="2" applyNumberFormat="1" applyFont="1" applyFill="1" applyBorder="1" applyAlignment="1">
      <alignment horizontal="center" vertical="center"/>
    </xf>
    <xf numFmtId="165" fontId="48" fillId="2" borderId="0" xfId="2" applyNumberFormat="1" applyFont="1" applyFill="1" applyAlignment="1">
      <alignment horizontal="center"/>
    </xf>
    <xf numFmtId="165" fontId="47" fillId="5" borderId="14" xfId="2" applyNumberFormat="1" applyFont="1" applyFill="1" applyBorder="1" applyAlignment="1">
      <alignment horizontal="center" vertical="center"/>
    </xf>
    <xf numFmtId="10" fontId="19" fillId="0" borderId="1" xfId="2" applyNumberFormat="1" applyFont="1" applyFill="1" applyBorder="1" applyAlignment="1">
      <alignment horizontal="center" vertical="center"/>
    </xf>
    <xf numFmtId="10" fontId="16" fillId="4" borderId="1" xfId="2" applyNumberFormat="1" applyFont="1" applyFill="1" applyBorder="1" applyAlignment="1">
      <alignment horizontal="center" vertical="center"/>
    </xf>
    <xf numFmtId="10" fontId="21" fillId="3" borderId="14" xfId="2" applyNumberFormat="1" applyFont="1" applyFill="1" applyBorder="1" applyAlignment="1">
      <alignment horizontal="center" vertical="center"/>
    </xf>
    <xf numFmtId="164" fontId="20" fillId="0" borderId="1" xfId="1" applyNumberFormat="1" applyFont="1" applyFill="1" applyBorder="1"/>
    <xf numFmtId="165" fontId="54" fillId="2" borderId="1" xfId="2" applyNumberFormat="1" applyFont="1" applyFill="1" applyBorder="1" applyAlignment="1">
      <alignment horizontal="center" vertical="center"/>
    </xf>
    <xf numFmtId="0" fontId="29" fillId="6" borderId="0" xfId="0" applyFont="1" applyFill="1"/>
    <xf numFmtId="0" fontId="11" fillId="6" borderId="0" xfId="0" applyFont="1" applyFill="1" applyAlignment="1">
      <alignment horizontal="center"/>
    </xf>
    <xf numFmtId="0" fontId="31" fillId="6" borderId="0" xfId="0" applyFont="1" applyFill="1" applyAlignment="1">
      <alignment vertical="center"/>
    </xf>
    <xf numFmtId="0" fontId="58" fillId="6" borderId="0" xfId="0" applyFont="1" applyFill="1" applyAlignment="1">
      <alignment vertical="center"/>
    </xf>
    <xf numFmtId="0" fontId="37" fillId="6" borderId="6" xfId="0" applyFont="1" applyFill="1" applyBorder="1"/>
    <xf numFmtId="43" fontId="40" fillId="6" borderId="6" xfId="1" applyFont="1" applyFill="1" applyBorder="1" applyAlignment="1">
      <alignment horizontal="center" vertical="center" wrapText="1"/>
    </xf>
    <xf numFmtId="0" fontId="37" fillId="6" borderId="0" xfId="0" applyFont="1" applyFill="1"/>
    <xf numFmtId="43" fontId="47" fillId="6" borderId="6" xfId="1" applyFont="1" applyFill="1" applyBorder="1" applyAlignment="1">
      <alignment horizontal="center" vertical="center" wrapText="1"/>
    </xf>
    <xf numFmtId="43" fontId="56" fillId="6" borderId="6" xfId="1" applyFont="1" applyFill="1" applyBorder="1" applyAlignment="1">
      <alignment horizontal="center" vertical="center" wrapText="1"/>
    </xf>
    <xf numFmtId="43" fontId="40" fillId="6" borderId="7" xfId="1" applyFont="1" applyFill="1" applyBorder="1" applyAlignment="1">
      <alignment horizontal="center" vertical="center" wrapText="1"/>
    </xf>
    <xf numFmtId="0" fontId="52" fillId="6" borderId="0" xfId="0" applyFont="1" applyFill="1"/>
    <xf numFmtId="165" fontId="52" fillId="6" borderId="0" xfId="2" applyNumberFormat="1" applyFont="1" applyFill="1"/>
    <xf numFmtId="0" fontId="53" fillId="6" borderId="0" xfId="0" applyFont="1" applyFill="1"/>
    <xf numFmtId="0" fontId="52" fillId="6" borderId="0" xfId="0" applyFont="1" applyFill="1" applyAlignment="1">
      <alignment horizontal="center"/>
    </xf>
    <xf numFmtId="43" fontId="52" fillId="6" borderId="0" xfId="1" applyFont="1" applyFill="1"/>
    <xf numFmtId="0" fontId="49" fillId="6" borderId="0" xfId="0" applyFont="1" applyFill="1" applyAlignment="1">
      <alignment horizontal="center"/>
    </xf>
    <xf numFmtId="0" fontId="50" fillId="6" borderId="0" xfId="0" applyFont="1" applyFill="1"/>
    <xf numFmtId="43" fontId="37" fillId="6" borderId="0" xfId="1" applyFont="1" applyFill="1"/>
    <xf numFmtId="0" fontId="51" fillId="6" borderId="0" xfId="0" applyFont="1" applyFill="1"/>
    <xf numFmtId="0" fontId="36" fillId="6" borderId="0" xfId="0" applyFont="1" applyFill="1"/>
    <xf numFmtId="43" fontId="59" fillId="6" borderId="6" xfId="1" applyFont="1" applyFill="1" applyBorder="1" applyAlignment="1">
      <alignment horizontal="center" vertical="center" wrapText="1"/>
    </xf>
    <xf numFmtId="0" fontId="58" fillId="6" borderId="0" xfId="0" applyFont="1" applyFill="1"/>
    <xf numFmtId="43" fontId="4" fillId="6" borderId="7" xfId="1" applyFont="1" applyFill="1" applyBorder="1" applyAlignment="1">
      <alignment horizontal="center" vertical="center" wrapText="1"/>
    </xf>
    <xf numFmtId="0" fontId="5" fillId="6" borderId="0" xfId="0" applyFont="1" applyFill="1" applyAlignment="1">
      <alignment horizontal="center" vertical="center"/>
    </xf>
    <xf numFmtId="166" fontId="57" fillId="6" borderId="10" xfId="0" applyNumberFormat="1" applyFont="1" applyFill="1" applyBorder="1" applyAlignment="1">
      <alignment vertical="center"/>
    </xf>
    <xf numFmtId="0" fontId="11" fillId="0" borderId="0" xfId="0" applyFont="1" applyAlignment="1">
      <alignment horizontal="center"/>
    </xf>
    <xf numFmtId="0" fontId="35" fillId="0" borderId="0" xfId="0" applyFont="1" applyAlignment="1">
      <alignment horizontal="center"/>
    </xf>
    <xf numFmtId="0" fontId="39" fillId="0" borderId="0" xfId="0" applyFont="1" applyAlignment="1">
      <alignment horizontal="center" vertical="center"/>
    </xf>
    <xf numFmtId="0" fontId="35" fillId="0" borderId="5" xfId="0" applyFont="1" applyBorder="1" applyAlignment="1">
      <alignment horizontal="center"/>
    </xf>
    <xf numFmtId="0" fontId="32" fillId="0" borderId="0" xfId="0" applyFont="1" applyAlignment="1">
      <alignment horizontal="center"/>
    </xf>
    <xf numFmtId="0" fontId="3" fillId="0" borderId="0" xfId="0" applyFont="1"/>
    <xf numFmtId="0" fontId="33" fillId="0" borderId="0" xfId="0" applyFont="1" applyAlignment="1">
      <alignment horizontal="center"/>
    </xf>
    <xf numFmtId="0" fontId="34" fillId="0" borderId="0" xfId="0" applyFont="1" applyAlignment="1">
      <alignment horizontal="center" vertical="center"/>
    </xf>
    <xf numFmtId="0" fontId="31" fillId="4" borderId="8" xfId="0" applyFont="1" applyFill="1" applyBorder="1" applyAlignment="1">
      <alignment vertical="center"/>
    </xf>
    <xf numFmtId="0" fontId="29" fillId="4" borderId="16" xfId="0" applyFont="1" applyFill="1" applyBorder="1"/>
    <xf numFmtId="0" fontId="30" fillId="4" borderId="16" xfId="0" applyFont="1" applyFill="1" applyBorder="1"/>
    <xf numFmtId="165" fontId="44" fillId="4" borderId="16" xfId="2" applyNumberFormat="1" applyFont="1" applyFill="1" applyBorder="1"/>
    <xf numFmtId="0" fontId="14" fillId="4" borderId="16" xfId="0" applyFont="1" applyFill="1" applyBorder="1" applyAlignment="1">
      <alignment horizontal="center"/>
    </xf>
    <xf numFmtId="0" fontId="14" fillId="4" borderId="16" xfId="0" applyFont="1" applyFill="1" applyBorder="1"/>
    <xf numFmtId="0" fontId="30" fillId="4" borderId="16" xfId="0" applyFont="1" applyFill="1" applyBorder="1" applyAlignment="1">
      <alignment horizontal="center"/>
    </xf>
    <xf numFmtId="43" fontId="30" fillId="4" borderId="16" xfId="1" applyFont="1" applyFill="1" applyBorder="1"/>
    <xf numFmtId="164" fontId="14" fillId="4" borderId="16" xfId="1" applyNumberFormat="1" applyFont="1" applyFill="1" applyBorder="1"/>
    <xf numFmtId="43" fontId="14" fillId="4" borderId="16" xfId="1" applyFont="1" applyFill="1" applyBorder="1"/>
    <xf numFmtId="0" fontId="14" fillId="4" borderId="19" xfId="0" applyFont="1" applyFill="1" applyBorder="1"/>
    <xf numFmtId="0" fontId="30" fillId="4" borderId="0" xfId="0" applyFont="1" applyFill="1" applyAlignment="1">
      <alignment horizontal="center"/>
    </xf>
    <xf numFmtId="0" fontId="11" fillId="4" borderId="0" xfId="0" applyFont="1" applyFill="1" applyAlignment="1">
      <alignment horizontal="center"/>
    </xf>
    <xf numFmtId="166" fontId="38" fillId="4" borderId="0" xfId="0" applyNumberFormat="1" applyFont="1" applyFill="1" applyAlignment="1">
      <alignment horizontal="center" vertical="center"/>
    </xf>
    <xf numFmtId="0" fontId="37" fillId="4" borderId="0" xfId="0" applyFont="1" applyFill="1" applyAlignment="1">
      <alignment horizontal="center"/>
    </xf>
    <xf numFmtId="0" fontId="31" fillId="4" borderId="0" xfId="0" applyFont="1" applyFill="1" applyAlignment="1">
      <alignment vertical="center"/>
    </xf>
    <xf numFmtId="0" fontId="58" fillId="4" borderId="0" xfId="0" applyFont="1" applyFill="1" applyAlignment="1">
      <alignment vertical="center"/>
    </xf>
    <xf numFmtId="0" fontId="39" fillId="4" borderId="0" xfId="0" applyFont="1" applyFill="1" applyAlignment="1">
      <alignment vertical="center"/>
    </xf>
    <xf numFmtId="0" fontId="37" fillId="6" borderId="17" xfId="0" applyFont="1" applyFill="1" applyBorder="1"/>
    <xf numFmtId="0" fontId="43" fillId="6" borderId="17" xfId="0" applyFont="1" applyFill="1" applyBorder="1"/>
    <xf numFmtId="0" fontId="37" fillId="6" borderId="12" xfId="0" applyFont="1" applyFill="1" applyBorder="1"/>
    <xf numFmtId="0" fontId="61" fillId="0" borderId="0" xfId="0" applyFont="1" applyAlignment="1">
      <alignment horizontal="center"/>
    </xf>
    <xf numFmtId="0" fontId="61" fillId="6" borderId="0" xfId="0" applyFont="1" applyFill="1" applyAlignment="1">
      <alignment horizontal="center"/>
    </xf>
    <xf numFmtId="0" fontId="61" fillId="4" borderId="0" xfId="0" applyFont="1" applyFill="1" applyAlignment="1">
      <alignment horizontal="center"/>
    </xf>
    <xf numFmtId="0" fontId="62" fillId="4" borderId="20" xfId="0" applyFont="1" applyFill="1" applyBorder="1" applyAlignment="1">
      <alignment horizontal="center"/>
    </xf>
    <xf numFmtId="0" fontId="64" fillId="6" borderId="0" xfId="0" applyFont="1" applyFill="1" applyAlignment="1">
      <alignment horizontal="center"/>
    </xf>
    <xf numFmtId="0" fontId="63" fillId="6" borderId="0" xfId="0" applyFont="1" applyFill="1" applyAlignment="1">
      <alignment horizontal="center"/>
    </xf>
    <xf numFmtId="164" fontId="63" fillId="6" borderId="0" xfId="1" applyNumberFormat="1" applyFont="1" applyFill="1" applyAlignment="1">
      <alignment horizontal="center"/>
    </xf>
    <xf numFmtId="0" fontId="30" fillId="6" borderId="16" xfId="0" applyFont="1" applyFill="1" applyBorder="1" applyAlignment="1">
      <alignment horizontal="center" vertical="center"/>
    </xf>
    <xf numFmtId="0" fontId="30" fillId="6" borderId="17" xfId="0" applyFont="1" applyFill="1" applyBorder="1" applyAlignment="1">
      <alignment horizontal="center" vertical="center"/>
    </xf>
    <xf numFmtId="0" fontId="4" fillId="6" borderId="9" xfId="0" applyFont="1" applyFill="1" applyBorder="1" applyAlignment="1">
      <alignment horizontal="center" vertical="center"/>
    </xf>
    <xf numFmtId="0" fontId="4" fillId="6" borderId="11" xfId="0" applyFont="1" applyFill="1" applyBorder="1" applyAlignment="1">
      <alignment horizontal="center" vertical="center"/>
    </xf>
    <xf numFmtId="0" fontId="4" fillId="6" borderId="10" xfId="0" applyFont="1" applyFill="1" applyBorder="1" applyAlignment="1">
      <alignment horizontal="center" vertical="center"/>
    </xf>
    <xf numFmtId="0" fontId="30" fillId="6" borderId="0" xfId="0" applyFont="1" applyFill="1" applyAlignment="1">
      <alignment horizontal="center" vertical="center"/>
    </xf>
    <xf numFmtId="0" fontId="55" fillId="6" borderId="9" xfId="0" applyFont="1" applyFill="1" applyBorder="1" applyAlignment="1">
      <alignment horizontal="center" vertical="center" wrapText="1"/>
    </xf>
    <xf numFmtId="0" fontId="55" fillId="6" borderId="10" xfId="0" applyFont="1" applyFill="1" applyBorder="1" applyAlignment="1">
      <alignment horizontal="center" vertical="center" wrapText="1"/>
    </xf>
    <xf numFmtId="0" fontId="55" fillId="6" borderId="11" xfId="0" applyFont="1" applyFill="1" applyBorder="1" applyAlignment="1">
      <alignment horizontal="center" vertical="center" wrapText="1"/>
    </xf>
    <xf numFmtId="166" fontId="57" fillId="6" borderId="9" xfId="0" applyNumberFormat="1" applyFont="1" applyFill="1" applyBorder="1" applyAlignment="1">
      <alignment horizontal="center" vertical="center"/>
    </xf>
    <xf numFmtId="166" fontId="57" fillId="6" borderId="10" xfId="0" applyNumberFormat="1" applyFont="1" applyFill="1" applyBorder="1" applyAlignment="1">
      <alignment horizontal="center" vertical="center"/>
    </xf>
    <xf numFmtId="166" fontId="57" fillId="6" borderId="11" xfId="0" applyNumberFormat="1" applyFont="1" applyFill="1" applyBorder="1" applyAlignment="1">
      <alignment horizontal="center" vertical="center"/>
    </xf>
    <xf numFmtId="0" fontId="5" fillId="6" borderId="9" xfId="0" applyFont="1" applyFill="1" applyBorder="1" applyAlignment="1">
      <alignment horizontal="center" vertical="center"/>
    </xf>
    <xf numFmtId="0" fontId="5" fillId="6" borderId="11" xfId="0" applyFont="1" applyFill="1" applyBorder="1" applyAlignment="1">
      <alignment horizontal="center" vertical="center"/>
    </xf>
    <xf numFmtId="0" fontId="5" fillId="6" borderId="10" xfId="0" applyFont="1" applyFill="1" applyBorder="1" applyAlignment="1">
      <alignment horizontal="center" vertical="center"/>
    </xf>
    <xf numFmtId="0" fontId="40" fillId="6" borderId="9" xfId="0" applyFont="1" applyFill="1" applyBorder="1" applyAlignment="1">
      <alignment horizontal="center" vertical="center"/>
    </xf>
    <xf numFmtId="0" fontId="40" fillId="6" borderId="11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 textRotation="255"/>
    </xf>
    <xf numFmtId="0" fontId="12" fillId="3" borderId="4" xfId="0" applyFont="1" applyFill="1" applyBorder="1" applyAlignment="1">
      <alignment horizontal="center" vertical="top" textRotation="255"/>
    </xf>
    <xf numFmtId="0" fontId="5" fillId="4" borderId="7" xfId="0" applyFont="1" applyFill="1" applyBorder="1" applyAlignment="1">
      <alignment horizontal="center" vertical="center"/>
    </xf>
    <xf numFmtId="0" fontId="47" fillId="4" borderId="7" xfId="0" applyFont="1" applyFill="1" applyBorder="1" applyAlignment="1">
      <alignment horizontal="center" vertical="center" wrapText="1"/>
    </xf>
    <xf numFmtId="0" fontId="30" fillId="4" borderId="18" xfId="0" applyFont="1" applyFill="1" applyBorder="1" applyAlignment="1">
      <alignment horizontal="center" vertical="center"/>
    </xf>
    <xf numFmtId="0" fontId="30" fillId="4" borderId="16" xfId="0" applyFont="1" applyFill="1" applyBorder="1" applyAlignment="1">
      <alignment horizontal="center" vertical="center"/>
    </xf>
    <xf numFmtId="0" fontId="30" fillId="4" borderId="8" xfId="0" applyFont="1" applyFill="1" applyBorder="1" applyAlignment="1">
      <alignment horizontal="center" vertical="center"/>
    </xf>
    <xf numFmtId="0" fontId="30" fillId="4" borderId="0" xfId="0" applyFont="1" applyFill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60" fillId="4" borderId="7" xfId="0" applyFont="1" applyFill="1" applyBorder="1" applyAlignment="1">
      <alignment horizontal="center" vertical="center"/>
    </xf>
    <xf numFmtId="0" fontId="55" fillId="4" borderId="9" xfId="0" applyFont="1" applyFill="1" applyBorder="1" applyAlignment="1">
      <alignment horizontal="center" vertical="center" wrapText="1"/>
    </xf>
    <xf numFmtId="0" fontId="55" fillId="4" borderId="10" xfId="0" applyFont="1" applyFill="1" applyBorder="1" applyAlignment="1">
      <alignment horizontal="center" vertical="center" wrapText="1"/>
    </xf>
    <xf numFmtId="0" fontId="55" fillId="4" borderId="11" xfId="0" applyFont="1" applyFill="1" applyBorder="1" applyAlignment="1">
      <alignment horizontal="center" vertical="center" wrapText="1"/>
    </xf>
    <xf numFmtId="166" fontId="57" fillId="4" borderId="9" xfId="0" applyNumberFormat="1" applyFont="1" applyFill="1" applyBorder="1" applyAlignment="1">
      <alignment horizontal="center" vertical="center"/>
    </xf>
    <xf numFmtId="166" fontId="57" fillId="4" borderId="10" xfId="0" applyNumberFormat="1" applyFont="1" applyFill="1" applyBorder="1" applyAlignment="1">
      <alignment horizontal="center" vertical="center"/>
    </xf>
    <xf numFmtId="166" fontId="57" fillId="4" borderId="11" xfId="0" applyNumberFormat="1" applyFont="1" applyFill="1" applyBorder="1" applyAlignment="1">
      <alignment horizontal="center" vertical="center"/>
    </xf>
    <xf numFmtId="0" fontId="60" fillId="4" borderId="12" xfId="0" applyFont="1" applyFill="1" applyBorder="1" applyAlignment="1">
      <alignment horizontal="center" vertical="center"/>
    </xf>
    <xf numFmtId="0" fontId="60" fillId="4" borderId="13" xfId="0" applyFont="1" applyFill="1" applyBorder="1" applyAlignment="1">
      <alignment horizontal="center" vertical="center"/>
    </xf>
    <xf numFmtId="0" fontId="60" fillId="4" borderId="7" xfId="0" applyFont="1" applyFill="1" applyBorder="1" applyAlignment="1">
      <alignment horizontal="center" vertical="center" wrapText="1"/>
    </xf>
    <xf numFmtId="0" fontId="40" fillId="4" borderId="12" xfId="0" applyFont="1" applyFill="1" applyBorder="1" applyAlignment="1">
      <alignment horizontal="center" vertical="center"/>
    </xf>
    <xf numFmtId="0" fontId="40" fillId="4" borderId="13" xfId="0" applyFont="1" applyFill="1" applyBorder="1" applyAlignment="1">
      <alignment horizontal="center" vertical="center"/>
    </xf>
    <xf numFmtId="0" fontId="11" fillId="4" borderId="16" xfId="0" applyFont="1" applyFill="1" applyBorder="1" applyAlignment="1">
      <alignment horizontal="center" vertical="center"/>
    </xf>
    <xf numFmtId="0" fontId="11" fillId="4" borderId="17" xfId="0" applyFont="1" applyFill="1" applyBorder="1" applyAlignment="1">
      <alignment horizontal="center" vertical="center"/>
    </xf>
    <xf numFmtId="0" fontId="12" fillId="3" borderId="15" xfId="0" applyFont="1" applyFill="1" applyBorder="1" applyAlignment="1">
      <alignment horizontal="center" vertical="center" textRotation="255" wrapText="1"/>
    </xf>
    <xf numFmtId="0" fontId="12" fillId="3" borderId="4" xfId="0" applyFont="1" applyFill="1" applyBorder="1" applyAlignment="1">
      <alignment horizontal="center" vertical="center" textRotation="255"/>
    </xf>
    <xf numFmtId="0" fontId="12" fillId="3" borderId="4" xfId="0" quotePrefix="1" applyFont="1" applyFill="1" applyBorder="1" applyAlignment="1">
      <alignment horizontal="center" vertical="top" textRotation="255"/>
    </xf>
  </cellXfs>
  <cellStyles count="3">
    <cellStyle name="Normal" xfId="0" builtinId="0"/>
    <cellStyle name="Porcentagem" xfId="2" builtinId="5"/>
    <cellStyle name="Vírgula" xfId="1" builtinId="3"/>
  </cellStyles>
  <dxfs count="184"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 val="0"/>
        <i val="0"/>
        <color rgb="FFFF0000"/>
      </font>
    </dxf>
    <dxf>
      <font>
        <b val="0"/>
        <i val="0"/>
        <color rgb="FFFF6600"/>
      </font>
    </dxf>
    <dxf>
      <font>
        <b/>
        <i val="0"/>
        <color rgb="FF008000"/>
      </font>
    </dxf>
    <dxf>
      <font>
        <b val="0"/>
        <i val="0"/>
        <color rgb="FFFF99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000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 val="0"/>
        <i val="0"/>
        <color rgb="FFFF0000"/>
      </font>
    </dxf>
    <dxf>
      <font>
        <b val="0"/>
        <i val="0"/>
        <color rgb="FFFF6600"/>
      </font>
    </dxf>
    <dxf>
      <font>
        <b/>
        <i val="0"/>
        <color rgb="FF008000"/>
      </font>
    </dxf>
    <dxf>
      <font>
        <b val="0"/>
        <i val="0"/>
        <color rgb="FFFF99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/>
        <i val="0"/>
        <color rgb="FF00B05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 val="0"/>
        <i val="0"/>
        <color rgb="FFFF0000"/>
      </font>
    </dxf>
    <dxf>
      <font>
        <b/>
        <i val="0"/>
        <color rgb="FF00B05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66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66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66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66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6600"/>
      </font>
    </dxf>
    <dxf>
      <font>
        <b/>
        <i val="0"/>
        <color rgb="FFFF0000"/>
      </font>
    </dxf>
    <dxf>
      <font>
        <b val="0"/>
        <i val="0"/>
        <color rgb="FF008000"/>
      </font>
    </dxf>
    <dxf>
      <font>
        <b val="0"/>
        <i val="0"/>
        <color rgb="FFFF6600"/>
      </font>
    </dxf>
    <dxf>
      <font>
        <b val="0"/>
        <i val="0"/>
        <color rgb="FFFF0000"/>
      </font>
    </dxf>
    <dxf>
      <font>
        <b/>
        <i val="0"/>
        <color rgb="FF008000"/>
      </font>
    </dxf>
    <dxf>
      <font>
        <b/>
        <i val="0"/>
        <color rgb="FFFF66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6600"/>
      </font>
    </dxf>
    <dxf>
      <font>
        <b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/>
        <i val="0"/>
        <color rgb="FF00B05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/>
        <i val="0"/>
        <color rgb="FF00B05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/>
        <i val="0"/>
        <color rgb="FF00B05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/>
        <i val="0"/>
        <color rgb="FF00B05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/>
        <i val="0"/>
        <color rgb="FF00B05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/>
        <i val="0"/>
        <color rgb="FF00B05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0000"/>
      </font>
    </dxf>
    <dxf>
      <font>
        <b val="0"/>
        <i val="0"/>
        <color rgb="FFFF66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6600"/>
      </font>
    </dxf>
    <dxf>
      <font>
        <b/>
        <i val="0"/>
        <color rgb="FFFF0000"/>
      </font>
    </dxf>
    <dxf>
      <font>
        <b val="0"/>
        <i val="0"/>
        <color rgb="FF008000"/>
      </font>
    </dxf>
    <dxf>
      <font>
        <b val="0"/>
        <i val="0"/>
        <color rgb="FFFF6600"/>
      </font>
    </dxf>
    <dxf>
      <font>
        <b val="0"/>
        <i val="0"/>
        <color rgb="FFFF0000"/>
      </font>
    </dxf>
    <dxf>
      <font>
        <b val="0"/>
        <i val="0"/>
        <color rgb="FF008000"/>
      </font>
    </dxf>
    <dxf>
      <font>
        <b val="0"/>
        <i val="0"/>
        <color rgb="FFFF6600"/>
      </font>
    </dxf>
    <dxf>
      <font>
        <b val="0"/>
        <i val="0"/>
        <color rgb="FFFF0000"/>
      </font>
    </dxf>
    <dxf>
      <font>
        <b val="0"/>
        <i val="0"/>
        <color rgb="FF008000"/>
      </font>
    </dxf>
    <dxf>
      <font>
        <b val="0"/>
        <i val="0"/>
        <color rgb="FFFF6600"/>
      </font>
    </dxf>
    <dxf>
      <font>
        <b val="0"/>
        <i val="0"/>
        <color rgb="FFFF0000"/>
      </font>
    </dxf>
    <dxf>
      <font>
        <b val="0"/>
        <i val="0"/>
        <color rgb="FF008000"/>
      </font>
    </dxf>
    <dxf>
      <font>
        <b val="0"/>
        <i val="0"/>
        <color rgb="FFFF6600"/>
      </font>
    </dxf>
    <dxf>
      <font>
        <b val="0"/>
        <i val="0"/>
        <color rgb="FFFF0000"/>
      </font>
    </dxf>
    <dxf>
      <font>
        <b/>
        <i val="0"/>
        <color rgb="FF008000"/>
      </font>
    </dxf>
    <dxf>
      <font>
        <b/>
        <i val="0"/>
        <color rgb="FFFF6600"/>
      </font>
    </dxf>
    <dxf>
      <font>
        <b/>
        <i val="0"/>
        <color rgb="FFFF0000"/>
      </font>
    </dxf>
  </dxfs>
  <tableStyles count="0" defaultTableStyle="TableStyleMedium9" defaultPivotStyle="PivotStyleLight16"/>
  <colors>
    <mruColors>
      <color rgb="FFFFFF2D"/>
      <color rgb="FF7A0B0B"/>
      <color rgb="FFF0F030"/>
      <color rgb="FF99CCFF"/>
      <color rgb="FFFF9900"/>
      <color rgb="FFFFAA2D"/>
      <color rgb="FFD9D9D9"/>
      <color rgb="FFC00000"/>
      <color rgb="FF0082D2"/>
      <color rgb="FFFCD8D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Ápice">
      <a:dk1>
        <a:sysClr val="windowText" lastClr="000000"/>
      </a:dk1>
      <a:lt1>
        <a:sysClr val="window" lastClr="FFFFFF"/>
      </a:lt1>
      <a:dk2>
        <a:srgbClr val="69676D"/>
      </a:dk2>
      <a:lt2>
        <a:srgbClr val="C9C2D1"/>
      </a:lt2>
      <a:accent1>
        <a:srgbClr val="CEB966"/>
      </a:accent1>
      <a:accent2>
        <a:srgbClr val="9CB084"/>
      </a:accent2>
      <a:accent3>
        <a:srgbClr val="6BB1C9"/>
      </a:accent3>
      <a:accent4>
        <a:srgbClr val="6585CF"/>
      </a:accent4>
      <a:accent5>
        <a:srgbClr val="7E6BC9"/>
      </a:accent5>
      <a:accent6>
        <a:srgbClr val="A379BB"/>
      </a:accent6>
      <a:hlink>
        <a:srgbClr val="410082"/>
      </a:hlink>
      <a:folHlink>
        <a:srgbClr val="932968"/>
      </a:folHlink>
    </a:clrScheme>
    <a:fontScheme name="Escritório 2">
      <a:majorFont>
        <a:latin typeface="Calibri"/>
        <a:ea typeface=""/>
        <a:cs typeface=""/>
        <a:font script="Jpan" typeface="HGｺﾞｼｯｸM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</a:majorFont>
      <a:minorFont>
        <a:latin typeface="Cambria"/>
        <a:ea typeface=""/>
        <a:cs typeface=""/>
        <a:font script="Jpan" typeface="HG明朝B"/>
        <a:font script="Hang" typeface="맑은 고딕"/>
        <a:font script="Hans" typeface="黑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29"/>
  <sheetViews>
    <sheetView showGridLines="0" tabSelected="1" zoomScale="80" zoomScaleNormal="80" workbookViewId="0">
      <pane xSplit="2" ySplit="7" topLeftCell="C8" activePane="bottomRight" state="frozen"/>
      <selection sqref="A1:XFD1048576"/>
      <selection pane="topRight" sqref="A1:XFD1048576"/>
      <selection pane="bottomLeft" sqref="A1:XFD1048576"/>
      <selection pane="bottomRight" activeCell="G24" sqref="G24"/>
    </sheetView>
  </sheetViews>
  <sheetFormatPr defaultColWidth="9" defaultRowHeight="14" x14ac:dyDescent="0.3"/>
  <cols>
    <col min="1" max="1" width="8.75" style="7" hidden="1" customWidth="1"/>
    <col min="2" max="2" width="19.4140625" style="1" customWidth="1"/>
    <col min="3" max="3" width="1.1640625" customWidth="1"/>
    <col min="4" max="4" width="10.58203125" style="1" customWidth="1"/>
    <col min="5" max="5" width="7.33203125" style="5" customWidth="1"/>
    <col min="6" max="6" width="1.1640625" customWidth="1"/>
    <col min="7" max="7" width="10.33203125" style="1" bestFit="1" customWidth="1"/>
    <col min="8" max="8" width="10.9140625" style="1" bestFit="1" customWidth="1"/>
    <col min="9" max="9" width="10.33203125" style="1" bestFit="1" customWidth="1"/>
    <col min="10" max="10" width="7" style="3" bestFit="1" customWidth="1"/>
    <col min="11" max="11" width="0.6640625" style="11" customWidth="1"/>
    <col min="12" max="12" width="5.9140625" style="4" bestFit="1" customWidth="1"/>
    <col min="13" max="13" width="6.83203125" style="4" customWidth="1"/>
    <col min="14" max="14" width="6.83203125" style="1" customWidth="1"/>
    <col min="15" max="15" width="0.6640625" style="11" customWidth="1"/>
    <col min="16" max="16" width="9.1640625" style="1" bestFit="1" customWidth="1"/>
    <col min="17" max="17" width="8.6640625" style="1" bestFit="1" customWidth="1"/>
    <col min="18" max="18" width="7.75" style="1" customWidth="1"/>
    <col min="19" max="19" width="8.6640625" style="1" customWidth="1"/>
    <col min="20" max="20" width="6.1640625" style="1" customWidth="1"/>
    <col min="21" max="21" width="0.6640625" style="1" customWidth="1"/>
    <col min="22" max="22" width="8.08203125" style="18" bestFit="1" customWidth="1"/>
    <col min="23" max="23" width="7.83203125" style="18" bestFit="1" customWidth="1"/>
    <col min="24" max="24" width="6.5" style="19" customWidth="1"/>
    <col min="25" max="25" width="6.6640625" style="18" customWidth="1"/>
    <col min="26" max="26" width="0.58203125" style="13" customWidth="1"/>
    <col min="27" max="27" width="7.83203125" style="1" bestFit="1" customWidth="1"/>
    <col min="28" max="28" width="7.6640625" style="1" customWidth="1"/>
    <col min="29" max="29" width="7.1640625" style="1" customWidth="1"/>
    <col min="30" max="16384" width="9" style="11"/>
  </cols>
  <sheetData>
    <row r="1" spans="1:29" s="1" customFormat="1" ht="14.5" thickBot="1" x14ac:dyDescent="0.35">
      <c r="A1" s="158"/>
      <c r="B1" s="198"/>
      <c r="C1" s="132"/>
      <c r="D1" s="142"/>
      <c r="E1" s="143"/>
      <c r="F1" s="144"/>
      <c r="G1" s="142"/>
      <c r="H1" s="142"/>
      <c r="I1" s="142"/>
      <c r="J1" s="145"/>
      <c r="K1" s="142"/>
      <c r="L1" s="146"/>
      <c r="M1" s="146"/>
      <c r="N1" s="142"/>
      <c r="O1" s="142"/>
      <c r="P1" s="142"/>
      <c r="Q1" s="142"/>
      <c r="R1" s="142"/>
      <c r="S1" s="142"/>
      <c r="T1" s="142"/>
      <c r="U1" s="142"/>
      <c r="V1" s="147"/>
      <c r="W1" s="148"/>
      <c r="X1" s="149"/>
      <c r="Y1" s="138"/>
      <c r="Z1" s="138"/>
      <c r="AA1" s="150"/>
      <c r="AB1" s="150"/>
      <c r="AC1" s="150"/>
    </row>
    <row r="2" spans="1:29" s="2" customFormat="1" ht="33.75" customHeight="1" thickBot="1" x14ac:dyDescent="0.4">
      <c r="A2" s="158"/>
      <c r="B2" s="198"/>
      <c r="C2" s="151"/>
      <c r="D2" s="199" t="s">
        <v>82</v>
      </c>
      <c r="E2" s="200"/>
      <c r="F2" s="200"/>
      <c r="G2" s="200"/>
      <c r="H2" s="200"/>
      <c r="I2" s="200"/>
      <c r="J2" s="200"/>
      <c r="K2" s="200"/>
      <c r="L2" s="200"/>
      <c r="M2" s="200"/>
      <c r="N2" s="200"/>
      <c r="O2" s="200"/>
      <c r="P2" s="200"/>
      <c r="Q2" s="200"/>
      <c r="R2" s="200"/>
      <c r="S2" s="200"/>
      <c r="T2" s="200"/>
      <c r="U2" s="200"/>
      <c r="V2" s="200"/>
      <c r="W2" s="200"/>
      <c r="X2" s="200"/>
      <c r="Y2" s="200"/>
      <c r="Z2" s="200"/>
      <c r="AA2" s="200"/>
      <c r="AB2" s="200"/>
      <c r="AC2" s="201"/>
    </row>
    <row r="3" spans="1:29" s="186" customFormat="1" ht="12.75" customHeight="1" thickBot="1" x14ac:dyDescent="0.3">
      <c r="B3" s="198"/>
      <c r="C3" s="187"/>
      <c r="D3" s="193"/>
      <c r="E3" s="193"/>
      <c r="F3" s="187"/>
      <c r="G3" s="187">
        <v>11</v>
      </c>
      <c r="H3" s="187"/>
      <c r="I3" s="187"/>
      <c r="J3" s="187"/>
      <c r="K3" s="187"/>
      <c r="L3" s="187">
        <v>34</v>
      </c>
      <c r="M3" s="190"/>
      <c r="N3" s="190"/>
      <c r="O3" s="190"/>
      <c r="P3" s="190"/>
      <c r="Q3" s="190"/>
      <c r="R3" s="190"/>
      <c r="S3" s="190"/>
      <c r="T3" s="190"/>
      <c r="U3" s="190"/>
      <c r="V3" s="190"/>
      <c r="W3" s="191"/>
      <c r="X3" s="192"/>
      <c r="Y3" s="191"/>
      <c r="Z3" s="191"/>
      <c r="AA3" s="190"/>
      <c r="AB3" s="190"/>
      <c r="AC3" s="190"/>
    </row>
    <row r="4" spans="1:29" s="8" customFormat="1" ht="20.25" customHeight="1" thickBot="1" x14ac:dyDescent="0.3">
      <c r="A4" s="157"/>
      <c r="B4" s="198"/>
      <c r="C4" s="133"/>
      <c r="D4" s="194"/>
      <c r="E4" s="194"/>
      <c r="F4" s="133"/>
      <c r="G4" s="202" t="s">
        <v>35</v>
      </c>
      <c r="H4" s="203"/>
      <c r="I4" s="203"/>
      <c r="J4" s="203"/>
      <c r="K4" s="203"/>
      <c r="L4" s="203"/>
      <c r="M4" s="203"/>
      <c r="N4" s="203"/>
      <c r="O4" s="203"/>
      <c r="P4" s="203"/>
      <c r="Q4" s="203"/>
      <c r="R4" s="203"/>
      <c r="S4" s="203"/>
      <c r="T4" s="204"/>
      <c r="U4" s="156"/>
      <c r="V4" s="203" t="s">
        <v>6</v>
      </c>
      <c r="W4" s="203"/>
      <c r="X4" s="203"/>
      <c r="Y4" s="203"/>
      <c r="Z4" s="203"/>
      <c r="AA4" s="203"/>
      <c r="AB4" s="203"/>
      <c r="AC4" s="204"/>
    </row>
    <row r="5" spans="1:29" s="57" customFormat="1" ht="25.5" customHeight="1" thickBot="1" x14ac:dyDescent="0.35">
      <c r="A5" s="159"/>
      <c r="B5" s="198"/>
      <c r="C5" s="134"/>
      <c r="D5" s="205" t="s">
        <v>5</v>
      </c>
      <c r="E5" s="206"/>
      <c r="F5" s="135"/>
      <c r="G5" s="205" t="s">
        <v>36</v>
      </c>
      <c r="H5" s="207"/>
      <c r="I5" s="207"/>
      <c r="J5" s="206"/>
      <c r="K5" s="135"/>
      <c r="L5" s="205" t="s">
        <v>47</v>
      </c>
      <c r="M5" s="207"/>
      <c r="N5" s="206"/>
      <c r="O5" s="135"/>
      <c r="P5" s="205" t="s">
        <v>45</v>
      </c>
      <c r="Q5" s="207"/>
      <c r="R5" s="207"/>
      <c r="S5" s="207"/>
      <c r="T5" s="206"/>
      <c r="U5" s="155"/>
      <c r="V5" s="208" t="s">
        <v>36</v>
      </c>
      <c r="W5" s="209"/>
      <c r="X5" s="195" t="s">
        <v>47</v>
      </c>
      <c r="Y5" s="196"/>
      <c r="Z5" s="135"/>
      <c r="AA5" s="195" t="s">
        <v>45</v>
      </c>
      <c r="AB5" s="197"/>
      <c r="AC5" s="196"/>
    </row>
    <row r="6" spans="1:29" s="58" customFormat="1" ht="33" customHeight="1" thickBot="1" x14ac:dyDescent="0.35">
      <c r="A6" s="160"/>
      <c r="B6" s="152" t="s">
        <v>0</v>
      </c>
      <c r="C6" s="153"/>
      <c r="D6" s="137" t="s">
        <v>2</v>
      </c>
      <c r="E6" s="137" t="s">
        <v>13</v>
      </c>
      <c r="F6" s="153"/>
      <c r="G6" s="137" t="s">
        <v>1</v>
      </c>
      <c r="H6" s="140" t="s">
        <v>37</v>
      </c>
      <c r="I6" s="137" t="s">
        <v>2</v>
      </c>
      <c r="J6" s="137" t="s">
        <v>3</v>
      </c>
      <c r="K6" s="153"/>
      <c r="L6" s="137" t="s">
        <v>1</v>
      </c>
      <c r="M6" s="137" t="s">
        <v>2</v>
      </c>
      <c r="N6" s="137" t="s">
        <v>3</v>
      </c>
      <c r="O6" s="153"/>
      <c r="P6" s="137" t="s">
        <v>1</v>
      </c>
      <c r="Q6" s="137" t="s">
        <v>2</v>
      </c>
      <c r="R6" s="137" t="s">
        <v>11</v>
      </c>
      <c r="S6" s="137" t="s">
        <v>43</v>
      </c>
      <c r="T6" s="137" t="s">
        <v>3</v>
      </c>
      <c r="U6" s="137"/>
      <c r="V6" s="137" t="s">
        <v>46</v>
      </c>
      <c r="W6" s="137" t="s">
        <v>2</v>
      </c>
      <c r="X6" s="137" t="s">
        <v>2</v>
      </c>
      <c r="Y6" s="154" t="s">
        <v>3</v>
      </c>
      <c r="Z6" s="153"/>
      <c r="AA6" s="137" t="s">
        <v>1</v>
      </c>
      <c r="AB6" s="137" t="s">
        <v>2</v>
      </c>
      <c r="AC6" s="137" t="s">
        <v>3</v>
      </c>
    </row>
    <row r="7" spans="1:29" ht="6" customHeight="1" x14ac:dyDescent="0.25">
      <c r="C7" s="22"/>
      <c r="D7" s="12"/>
      <c r="E7" s="23"/>
      <c r="F7" s="12"/>
      <c r="G7" s="22"/>
      <c r="H7" s="60"/>
      <c r="I7" s="12"/>
      <c r="J7" s="21"/>
      <c r="L7" s="24"/>
      <c r="M7" s="67"/>
      <c r="N7" s="22"/>
      <c r="P7" s="12"/>
      <c r="Q7" s="12"/>
      <c r="R7" s="12"/>
      <c r="S7" s="12"/>
      <c r="T7" s="22"/>
      <c r="U7" s="22"/>
      <c r="X7" s="66"/>
      <c r="AA7" s="12"/>
      <c r="AB7" s="12"/>
      <c r="AC7" s="22"/>
    </row>
    <row r="8" spans="1:29" s="14" customFormat="1" ht="14.25" customHeight="1" x14ac:dyDescent="0.3">
      <c r="A8" s="64" t="s">
        <v>4</v>
      </c>
      <c r="B8" s="105" t="s">
        <v>60</v>
      </c>
      <c r="C8" s="64"/>
      <c r="D8" s="83">
        <v>29937954.060000006</v>
      </c>
      <c r="E8" s="120">
        <v>3.8311163476137216</v>
      </c>
      <c r="F8" s="64"/>
      <c r="G8" s="84">
        <v>7814420.4831177704</v>
      </c>
      <c r="H8" s="84">
        <v>2467711.7315108748</v>
      </c>
      <c r="I8" s="85">
        <v>2652807.0299999993</v>
      </c>
      <c r="J8" s="70">
        <v>1.0750068559976407</v>
      </c>
      <c r="K8" s="86"/>
      <c r="L8" s="87">
        <v>2.9</v>
      </c>
      <c r="M8" s="88">
        <v>-3.6829128313944191</v>
      </c>
      <c r="N8" s="70">
        <v>-1.2699699418601444</v>
      </c>
      <c r="O8" s="86"/>
      <c r="P8" s="84">
        <v>71563.640213815364</v>
      </c>
      <c r="Q8" s="84">
        <v>-97700.570500003174</v>
      </c>
      <c r="R8" s="83">
        <v>5000</v>
      </c>
      <c r="S8" s="85">
        <v>-92700.570500003174</v>
      </c>
      <c r="T8" s="70">
        <v>-1.2953585119906648</v>
      </c>
      <c r="U8" s="69"/>
      <c r="V8" s="83">
        <v>411285.28858514578</v>
      </c>
      <c r="W8" s="89">
        <v>526009.3600000001</v>
      </c>
      <c r="X8" s="90">
        <v>-2.0695690662234116</v>
      </c>
      <c r="Y8" s="70">
        <v>-0.71364450559427994</v>
      </c>
      <c r="Z8" s="91"/>
      <c r="AA8" s="85">
        <v>11927.273368969227</v>
      </c>
      <c r="AB8" s="85">
        <v>-10886.126999999746</v>
      </c>
      <c r="AC8" s="70">
        <v>-0.91270876949310176</v>
      </c>
    </row>
    <row r="9" spans="1:29" s="14" customFormat="1" ht="14.25" customHeight="1" x14ac:dyDescent="0.3">
      <c r="A9" s="64" t="s">
        <v>24</v>
      </c>
      <c r="B9" s="82" t="s">
        <v>48</v>
      </c>
      <c r="C9" s="28"/>
      <c r="D9" s="83">
        <v>1052022.44</v>
      </c>
      <c r="E9" s="120">
        <v>0.62339926488143993</v>
      </c>
      <c r="F9" s="28"/>
      <c r="G9" s="84">
        <v>1687558.0374642839</v>
      </c>
      <c r="H9" s="84">
        <v>532913.0644624054</v>
      </c>
      <c r="I9" s="85">
        <v>549096.97999999928</v>
      </c>
      <c r="J9" s="70">
        <v>1.030368772351115</v>
      </c>
      <c r="K9" s="86"/>
      <c r="L9" s="87">
        <v>3.55</v>
      </c>
      <c r="M9" s="88">
        <v>-2.5024896330701067</v>
      </c>
      <c r="N9" s="70">
        <v>-0.70492665720284697</v>
      </c>
      <c r="O9" s="86"/>
      <c r="P9" s="84">
        <v>18918.41378841539</v>
      </c>
      <c r="Q9" s="84">
        <v>-13741.09500000102</v>
      </c>
      <c r="R9" s="83">
        <v>683</v>
      </c>
      <c r="S9" s="85">
        <v>-13058.09500000102</v>
      </c>
      <c r="T9" s="70">
        <v>-0.69023202188320298</v>
      </c>
      <c r="U9" s="69"/>
      <c r="V9" s="83">
        <v>88818.844077067566</v>
      </c>
      <c r="W9" s="89">
        <v>126989.59999999993</v>
      </c>
      <c r="X9" s="90">
        <v>-7.8392088800974289</v>
      </c>
      <c r="Y9" s="70">
        <v>-2.2082278535485718</v>
      </c>
      <c r="Z9" s="91"/>
      <c r="AA9" s="85">
        <v>3153.0689647358981</v>
      </c>
      <c r="AB9" s="85">
        <v>-9954.9800000001997</v>
      </c>
      <c r="AC9" s="70">
        <v>-3.1572350974042305</v>
      </c>
    </row>
    <row r="10" spans="1:29" s="14" customFormat="1" ht="14.25" customHeight="1" x14ac:dyDescent="0.3">
      <c r="A10" s="64" t="s">
        <v>14</v>
      </c>
      <c r="B10" s="82" t="s">
        <v>61</v>
      </c>
      <c r="C10" s="28"/>
      <c r="D10" s="83">
        <v>13351377.520000001</v>
      </c>
      <c r="E10" s="120">
        <v>0.74247351410396378</v>
      </c>
      <c r="F10" s="28"/>
      <c r="G10" s="84">
        <v>17982294.676346522</v>
      </c>
      <c r="H10" s="84">
        <v>5678619.3714778489</v>
      </c>
      <c r="I10" s="85">
        <v>5503484.6299999915</v>
      </c>
      <c r="J10" s="70">
        <v>0.96915892226242328</v>
      </c>
      <c r="K10" s="86"/>
      <c r="L10" s="87">
        <v>3.7</v>
      </c>
      <c r="M10" s="88">
        <v>0.90539327218791177</v>
      </c>
      <c r="N10" s="70">
        <v>0.24470088437511128</v>
      </c>
      <c r="O10" s="86"/>
      <c r="P10" s="84">
        <v>210108.91674468041</v>
      </c>
      <c r="Q10" s="84">
        <v>49828.17957591571</v>
      </c>
      <c r="R10" s="83">
        <v>0</v>
      </c>
      <c r="S10" s="85">
        <v>49828.17957591571</v>
      </c>
      <c r="T10" s="70">
        <v>0.2371540453776447</v>
      </c>
      <c r="U10" s="69"/>
      <c r="V10" s="83">
        <v>946436.56191297481</v>
      </c>
      <c r="W10" s="89">
        <v>1573807.5399999928</v>
      </c>
      <c r="X10" s="90">
        <v>-5.236605550892321</v>
      </c>
      <c r="Y10" s="70">
        <v>-1.415298797538465</v>
      </c>
      <c r="Z10" s="91"/>
      <c r="AA10" s="85">
        <v>35018.15279078007</v>
      </c>
      <c r="AB10" s="85">
        <v>-82414.093000001507</v>
      </c>
      <c r="AC10" s="70">
        <v>-2.3534677426417625</v>
      </c>
    </row>
    <row r="11" spans="1:29" s="14" customFormat="1" ht="14.25" customHeight="1" x14ac:dyDescent="0.3">
      <c r="A11" s="64" t="s">
        <v>18</v>
      </c>
      <c r="B11" s="82" t="s">
        <v>64</v>
      </c>
      <c r="C11" s="28"/>
      <c r="D11" s="83">
        <v>6444531.0799999954</v>
      </c>
      <c r="E11" s="120">
        <v>0.73343618998225524</v>
      </c>
      <c r="F11" s="28"/>
      <c r="G11" s="84">
        <v>8786764.5038839914</v>
      </c>
      <c r="H11" s="84">
        <v>2774767.7380686291</v>
      </c>
      <c r="I11" s="85">
        <v>2338546.419999952</v>
      </c>
      <c r="J11" s="70">
        <v>0.84278997045990311</v>
      </c>
      <c r="K11" s="86"/>
      <c r="L11" s="87">
        <v>3.7</v>
      </c>
      <c r="M11" s="88">
        <v>-0.85336961581670678</v>
      </c>
      <c r="N11" s="70">
        <v>-0.23064043670721804</v>
      </c>
      <c r="O11" s="86"/>
      <c r="P11" s="84">
        <v>102666.40630853928</v>
      </c>
      <c r="Q11" s="84">
        <v>-19956.444600048941</v>
      </c>
      <c r="R11" s="83">
        <v>0</v>
      </c>
      <c r="S11" s="85">
        <v>-19956.444600048941</v>
      </c>
      <c r="T11" s="70">
        <v>-0.19438144683933542</v>
      </c>
      <c r="U11" s="69"/>
      <c r="V11" s="83">
        <v>462461.2896781048</v>
      </c>
      <c r="W11" s="89">
        <v>519448.12000000052</v>
      </c>
      <c r="X11" s="90">
        <v>-1.0018232234624522</v>
      </c>
      <c r="Y11" s="70">
        <v>-0.27076303336823032</v>
      </c>
      <c r="Z11" s="91"/>
      <c r="AA11" s="85">
        <v>17111.067718089878</v>
      </c>
      <c r="AB11" s="85">
        <v>-5203.9518999991124</v>
      </c>
      <c r="AC11" s="70">
        <v>-0.30412783034558838</v>
      </c>
    </row>
    <row r="12" spans="1:29" s="14" customFormat="1" ht="14.25" customHeight="1" x14ac:dyDescent="0.3">
      <c r="A12" s="64" t="s">
        <v>16</v>
      </c>
      <c r="B12" s="82" t="s">
        <v>62</v>
      </c>
      <c r="C12" s="28"/>
      <c r="D12" s="83">
        <v>34342308.49000001</v>
      </c>
      <c r="E12" s="120">
        <v>1.2823783642173814</v>
      </c>
      <c r="F12" s="28"/>
      <c r="G12" s="84">
        <v>26780168.356129956</v>
      </c>
      <c r="H12" s="84">
        <v>8456895.2703568283</v>
      </c>
      <c r="I12" s="85">
        <v>6949197.6500000041</v>
      </c>
      <c r="J12" s="70">
        <v>0.82171972430099527</v>
      </c>
      <c r="K12" s="86"/>
      <c r="L12" s="87">
        <v>2.95</v>
      </c>
      <c r="M12" s="88">
        <v>-4.4293854758900917</v>
      </c>
      <c r="N12" s="70">
        <v>-1.5014866019966411</v>
      </c>
      <c r="O12" s="86"/>
      <c r="P12" s="84">
        <v>249478.41047552644</v>
      </c>
      <c r="Q12" s="84">
        <v>-307806.75139999576</v>
      </c>
      <c r="R12" s="83">
        <v>0</v>
      </c>
      <c r="S12" s="85">
        <v>-307806.75139999576</v>
      </c>
      <c r="T12" s="70">
        <v>-1.2338011566343183</v>
      </c>
      <c r="U12" s="69"/>
      <c r="V12" s="83">
        <v>1409482.5450594714</v>
      </c>
      <c r="W12" s="89">
        <v>1439273.6899999981</v>
      </c>
      <c r="X12" s="90">
        <v>-3.2519829150772983</v>
      </c>
      <c r="Y12" s="70">
        <v>-1.1023670898567113</v>
      </c>
      <c r="Z12" s="91"/>
      <c r="AA12" s="85">
        <v>41579.735079254409</v>
      </c>
      <c r="AB12" s="85">
        <v>-46804.934500002535</v>
      </c>
      <c r="AC12" s="70">
        <v>-1.1256669724034669</v>
      </c>
    </row>
    <row r="13" spans="1:29" s="14" customFormat="1" ht="14.25" customHeight="1" x14ac:dyDescent="0.3">
      <c r="A13" s="64" t="s">
        <v>19</v>
      </c>
      <c r="B13" s="82" t="s">
        <v>63</v>
      </c>
      <c r="C13" s="28"/>
      <c r="D13" s="83">
        <v>2741583.9600000004</v>
      </c>
      <c r="E13" s="120">
        <v>1.0254167143384809</v>
      </c>
      <c r="F13" s="28"/>
      <c r="G13" s="84">
        <v>2673629.0930937841</v>
      </c>
      <c r="H13" s="84">
        <v>844303.92413487914</v>
      </c>
      <c r="I13" s="85">
        <v>724774.86000000103</v>
      </c>
      <c r="J13" s="70">
        <v>0.85842886581706435</v>
      </c>
      <c r="K13" s="86"/>
      <c r="L13" s="87">
        <v>4.05</v>
      </c>
      <c r="M13" s="88">
        <v>-2.4457774239021965</v>
      </c>
      <c r="N13" s="70">
        <v>-0.60389566022276464</v>
      </c>
      <c r="O13" s="86"/>
      <c r="P13" s="84">
        <v>34194.308927462604</v>
      </c>
      <c r="Q13" s="84">
        <v>-17726.379899998778</v>
      </c>
      <c r="R13" s="83">
        <v>0</v>
      </c>
      <c r="S13" s="85">
        <v>-17726.379899998778</v>
      </c>
      <c r="T13" s="70">
        <v>-0.51840146667687514</v>
      </c>
      <c r="U13" s="69"/>
      <c r="V13" s="83">
        <v>140717.32068914652</v>
      </c>
      <c r="W13" s="89">
        <v>238038.91</v>
      </c>
      <c r="X13" s="90">
        <v>-5.835495549866196</v>
      </c>
      <c r="Y13" s="70">
        <v>-1.440863098732394</v>
      </c>
      <c r="Z13" s="92"/>
      <c r="AA13" s="85">
        <v>5699.0514879104339</v>
      </c>
      <c r="AB13" s="85">
        <v>-13890.75</v>
      </c>
      <c r="AC13" s="70">
        <v>-2.4373792778441916</v>
      </c>
    </row>
    <row r="14" spans="1:29" s="14" customFormat="1" ht="14.25" customHeight="1" x14ac:dyDescent="0.3">
      <c r="A14" s="64" t="s">
        <v>20</v>
      </c>
      <c r="B14" s="82" t="s">
        <v>52</v>
      </c>
      <c r="C14" s="28"/>
      <c r="D14" s="83">
        <v>2041078.6199999996</v>
      </c>
      <c r="E14" s="120">
        <v>1.0282006839718716</v>
      </c>
      <c r="F14" s="28"/>
      <c r="G14" s="84">
        <v>1985097.5123994737</v>
      </c>
      <c r="H14" s="84">
        <v>626872.89865246532</v>
      </c>
      <c r="I14" s="85">
        <v>549079.53999999852</v>
      </c>
      <c r="J14" s="70">
        <v>0.87590250141664683</v>
      </c>
      <c r="K14" s="86"/>
      <c r="L14" s="87">
        <v>4.05</v>
      </c>
      <c r="M14" s="88">
        <v>-0.15804340478650561</v>
      </c>
      <c r="N14" s="70">
        <v>-3.9023062910248298E-2</v>
      </c>
      <c r="O14" s="86"/>
      <c r="P14" s="84">
        <v>25388.352395424841</v>
      </c>
      <c r="Q14" s="84">
        <v>-867.78400000208069</v>
      </c>
      <c r="R14" s="83">
        <v>0</v>
      </c>
      <c r="S14" s="85">
        <v>-867.78400000208069</v>
      </c>
      <c r="T14" s="70">
        <v>-3.4180398416025666E-2</v>
      </c>
      <c r="U14" s="69"/>
      <c r="V14" s="83">
        <v>104478.81644207756</v>
      </c>
      <c r="W14" s="89">
        <v>114139.11000000028</v>
      </c>
      <c r="X14" s="90">
        <v>-1.4282006404287795</v>
      </c>
      <c r="Y14" s="70">
        <v>-0.35264213343920481</v>
      </c>
      <c r="Z14" s="91"/>
      <c r="AA14" s="85">
        <v>4231.3920659041414</v>
      </c>
      <c r="AB14" s="85">
        <v>-1630.1354999997129</v>
      </c>
      <c r="AC14" s="70">
        <v>-0.3852480400327532</v>
      </c>
    </row>
    <row r="15" spans="1:29" s="14" customFormat="1" ht="14.25" customHeight="1" x14ac:dyDescent="0.3">
      <c r="A15" s="64" t="s">
        <v>17</v>
      </c>
      <c r="B15" s="82" t="s">
        <v>72</v>
      </c>
      <c r="C15" s="28"/>
      <c r="D15" s="83">
        <v>8665278.0300000012</v>
      </c>
      <c r="E15" s="120">
        <v>0.54202582760222773</v>
      </c>
      <c r="F15" s="28"/>
      <c r="G15" s="84">
        <v>15986836.030181058</v>
      </c>
      <c r="H15" s="84">
        <v>5048474.5358466497</v>
      </c>
      <c r="I15" s="85">
        <v>5777314.4099999778</v>
      </c>
      <c r="J15" s="70">
        <v>1.1443683372032891</v>
      </c>
      <c r="K15" s="86"/>
      <c r="L15" s="87">
        <v>2.9</v>
      </c>
      <c r="M15" s="88">
        <v>-7.5813863140606133</v>
      </c>
      <c r="N15" s="70">
        <v>-2.614271142779522</v>
      </c>
      <c r="O15" s="86"/>
      <c r="P15" s="84">
        <v>146405.76153955286</v>
      </c>
      <c r="Q15" s="84">
        <v>-438000.52399999002</v>
      </c>
      <c r="R15" s="83">
        <v>0</v>
      </c>
      <c r="S15" s="85">
        <v>-438000.52399999002</v>
      </c>
      <c r="T15" s="70">
        <v>-2.9916891206611442</v>
      </c>
      <c r="U15" s="69"/>
      <c r="V15" s="83">
        <v>841412.42264110828</v>
      </c>
      <c r="W15" s="89">
        <v>1288310.9499999993</v>
      </c>
      <c r="X15" s="90">
        <v>-9.3030035256629535</v>
      </c>
      <c r="Y15" s="70">
        <v>-3.207932250228605</v>
      </c>
      <c r="Z15" s="91"/>
      <c r="AA15" s="85">
        <v>24400.960256592138</v>
      </c>
      <c r="AB15" s="85">
        <v>-119851.61310000181</v>
      </c>
      <c r="AC15" s="70">
        <v>-4.911758055407792</v>
      </c>
    </row>
    <row r="16" spans="1:29" s="14" customFormat="1" ht="13" x14ac:dyDescent="0.3">
      <c r="A16" s="64" t="s">
        <v>22</v>
      </c>
      <c r="B16" s="82" t="s">
        <v>51</v>
      </c>
      <c r="C16" s="28"/>
      <c r="D16" s="83">
        <v>15212889.489999996</v>
      </c>
      <c r="E16" s="120">
        <v>0.82803711912079947</v>
      </c>
      <c r="F16" s="28"/>
      <c r="G16" s="84">
        <v>18372231.315128569</v>
      </c>
      <c r="H16" s="84">
        <v>5801757.2574090213</v>
      </c>
      <c r="I16" s="85">
        <v>5304194.1699999738</v>
      </c>
      <c r="J16" s="70">
        <v>0.91423924419215508</v>
      </c>
      <c r="K16" s="86"/>
      <c r="L16" s="87">
        <v>2.5499999999999998</v>
      </c>
      <c r="M16" s="88">
        <v>-4.5279552746843672</v>
      </c>
      <c r="N16" s="70">
        <v>-1.7756687351703402</v>
      </c>
      <c r="O16" s="86"/>
      <c r="P16" s="84">
        <v>147944.81006393002</v>
      </c>
      <c r="Q16" s="84">
        <v>-240171.53970001452</v>
      </c>
      <c r="R16" s="83">
        <v>571.81999999999994</v>
      </c>
      <c r="S16" s="85">
        <v>-239599.71970001451</v>
      </c>
      <c r="T16" s="70">
        <v>-1.6195209524178542</v>
      </c>
      <c r="U16" s="69"/>
      <c r="V16" s="83">
        <v>966959.54290150362</v>
      </c>
      <c r="W16" s="89">
        <v>1116555.4499999997</v>
      </c>
      <c r="X16" s="90">
        <v>-4.2347302142494891</v>
      </c>
      <c r="Y16" s="70">
        <v>-1.6606785153919565</v>
      </c>
      <c r="Z16" s="91"/>
      <c r="AA16" s="85">
        <v>24657.468343988341</v>
      </c>
      <c r="AB16" s="85">
        <v>-47283.110999999335</v>
      </c>
      <c r="AC16" s="70">
        <v>-1.9175979601947772</v>
      </c>
    </row>
    <row r="17" spans="1:29" s="14" customFormat="1" ht="13" x14ac:dyDescent="0.3">
      <c r="A17" s="64" t="s">
        <v>68</v>
      </c>
      <c r="B17" s="82" t="s">
        <v>77</v>
      </c>
      <c r="C17" s="28"/>
      <c r="D17" s="83">
        <v>175.09</v>
      </c>
      <c r="E17" s="120"/>
      <c r="F17" s="28"/>
      <c r="G17" s="84"/>
      <c r="H17" s="84"/>
      <c r="I17" s="85">
        <v>0</v>
      </c>
      <c r="J17" s="70" t="s">
        <v>69</v>
      </c>
      <c r="K17" s="86"/>
      <c r="L17" s="87"/>
      <c r="M17" s="88">
        <v>0</v>
      </c>
      <c r="N17" s="70" t="s">
        <v>69</v>
      </c>
      <c r="O17" s="86"/>
      <c r="P17" s="84">
        <v>0</v>
      </c>
      <c r="Q17" s="84">
        <v>0</v>
      </c>
      <c r="R17" s="83">
        <v>0</v>
      </c>
      <c r="S17" s="85">
        <v>0</v>
      </c>
      <c r="T17" s="70" t="s">
        <v>69</v>
      </c>
      <c r="U17" s="69"/>
      <c r="V17" s="83">
        <v>0</v>
      </c>
      <c r="W17" s="89">
        <v>0</v>
      </c>
      <c r="X17" s="90">
        <v>0</v>
      </c>
      <c r="Y17" s="70">
        <v>0</v>
      </c>
      <c r="Z17" s="91"/>
      <c r="AA17" s="85">
        <v>0</v>
      </c>
      <c r="AB17" s="85">
        <v>0</v>
      </c>
      <c r="AC17" s="70" t="s">
        <v>69</v>
      </c>
    </row>
    <row r="18" spans="1:29" s="14" customFormat="1" ht="13" x14ac:dyDescent="0.3">
      <c r="A18" s="64" t="s">
        <v>59</v>
      </c>
      <c r="B18" s="82" t="s">
        <v>73</v>
      </c>
      <c r="C18" s="28"/>
      <c r="D18" s="83">
        <v>4037.84</v>
      </c>
      <c r="E18" s="120"/>
      <c r="F18" s="28"/>
      <c r="G18" s="84"/>
      <c r="H18" s="84"/>
      <c r="I18" s="85">
        <v>2115.2399999999998</v>
      </c>
      <c r="J18" s="70" t="s">
        <v>69</v>
      </c>
      <c r="K18" s="86"/>
      <c r="L18" s="87"/>
      <c r="M18" s="88">
        <v>3.7470925285074035</v>
      </c>
      <c r="N18" s="70" t="s">
        <v>69</v>
      </c>
      <c r="O18" s="86"/>
      <c r="P18" s="84">
        <v>0</v>
      </c>
      <c r="Q18" s="84">
        <v>79.259999999999991</v>
      </c>
      <c r="R18" s="83">
        <v>0</v>
      </c>
      <c r="S18" s="85">
        <v>79.259999999999991</v>
      </c>
      <c r="T18" s="70" t="s">
        <v>69</v>
      </c>
      <c r="U18" s="69"/>
      <c r="V18" s="83">
        <v>0</v>
      </c>
      <c r="W18" s="89">
        <v>926.59999999999991</v>
      </c>
      <c r="X18" s="90">
        <v>8.094107489746237E-2</v>
      </c>
      <c r="Y18" s="70">
        <v>0</v>
      </c>
      <c r="Z18" s="91"/>
      <c r="AA18" s="85">
        <v>0</v>
      </c>
      <c r="AB18" s="85">
        <v>0.74999999999988631</v>
      </c>
      <c r="AC18" s="70" t="s">
        <v>69</v>
      </c>
    </row>
    <row r="19" spans="1:29" s="14" customFormat="1" ht="13" hidden="1" x14ac:dyDescent="0.3">
      <c r="A19" s="64"/>
      <c r="B19" s="82"/>
      <c r="C19" s="28"/>
      <c r="D19" s="83"/>
      <c r="E19" s="120"/>
      <c r="F19" s="28"/>
      <c r="G19" s="84"/>
      <c r="H19" s="84"/>
      <c r="I19" s="85"/>
      <c r="J19" s="70"/>
      <c r="K19" s="86"/>
      <c r="L19" s="87"/>
      <c r="M19" s="88"/>
      <c r="N19" s="70"/>
      <c r="O19" s="86"/>
      <c r="P19" s="84"/>
      <c r="Q19" s="84"/>
      <c r="R19" s="83"/>
      <c r="S19" s="85"/>
      <c r="T19" s="70"/>
      <c r="U19" s="69"/>
      <c r="V19" s="83"/>
      <c r="W19" s="89"/>
      <c r="X19" s="90"/>
      <c r="Y19" s="70"/>
      <c r="Z19" s="86"/>
      <c r="AA19" s="85"/>
      <c r="AB19" s="85"/>
      <c r="AC19" s="70"/>
    </row>
    <row r="20" spans="1:29" s="14" customFormat="1" ht="13" hidden="1" x14ac:dyDescent="0.3">
      <c r="A20" s="64"/>
      <c r="B20" s="82"/>
      <c r="C20" s="28"/>
      <c r="D20" s="83"/>
      <c r="E20" s="120"/>
      <c r="F20" s="28"/>
      <c r="G20" s="84"/>
      <c r="H20" s="84"/>
      <c r="I20" s="85"/>
      <c r="J20" s="70"/>
      <c r="K20" s="86"/>
      <c r="L20" s="87"/>
      <c r="M20" s="88"/>
      <c r="N20" s="70"/>
      <c r="O20" s="86"/>
      <c r="P20" s="84"/>
      <c r="Q20" s="84"/>
      <c r="R20" s="83"/>
      <c r="S20" s="85"/>
      <c r="T20" s="70"/>
      <c r="U20" s="69"/>
      <c r="V20" s="83"/>
      <c r="W20" s="89"/>
      <c r="X20" s="90"/>
      <c r="Y20" s="70"/>
      <c r="Z20" s="86"/>
      <c r="AA20" s="85"/>
      <c r="AB20" s="85"/>
      <c r="AC20" s="70"/>
    </row>
    <row r="21" spans="1:29" s="79" customFormat="1" ht="13" hidden="1" x14ac:dyDescent="0.3">
      <c r="A21" s="71"/>
      <c r="B21" s="72"/>
      <c r="C21" s="74"/>
      <c r="D21" s="73"/>
      <c r="E21" s="121"/>
      <c r="F21" s="74"/>
      <c r="G21" s="75"/>
      <c r="H21" s="75"/>
      <c r="I21" s="75"/>
      <c r="J21" s="110"/>
      <c r="K21" s="78"/>
      <c r="L21" s="77"/>
      <c r="M21" s="77"/>
      <c r="N21" s="110"/>
      <c r="O21" s="78"/>
      <c r="P21" s="75"/>
      <c r="Q21" s="75"/>
      <c r="R21" s="73"/>
      <c r="S21" s="75"/>
      <c r="T21" s="110"/>
      <c r="U21" s="76"/>
      <c r="V21" s="73"/>
      <c r="W21" s="76"/>
      <c r="X21" s="76"/>
      <c r="Y21" s="76"/>
      <c r="Z21" s="78"/>
      <c r="AA21" s="75"/>
      <c r="AB21" s="75"/>
      <c r="AC21" s="110"/>
    </row>
    <row r="22" spans="1:29" s="14" customFormat="1" ht="13" x14ac:dyDescent="0.3">
      <c r="A22" s="26"/>
      <c r="B22" s="25" t="s">
        <v>49</v>
      </c>
      <c r="C22" s="28"/>
      <c r="D22" s="68">
        <v>113793236.62000002</v>
      </c>
      <c r="E22" s="122">
        <v>1.1148657928593884</v>
      </c>
      <c r="F22" s="28"/>
      <c r="G22" s="41">
        <v>102069000.00774541</v>
      </c>
      <c r="H22" s="41">
        <v>32232315.791919604</v>
      </c>
      <c r="I22" s="41">
        <v>30350610.929999892</v>
      </c>
      <c r="J22" s="44">
        <v>0.94162055019355939</v>
      </c>
      <c r="K22" s="45"/>
      <c r="L22" s="43">
        <v>3.1231669078822795</v>
      </c>
      <c r="M22" s="43">
        <v>-3.5783913939294876</v>
      </c>
      <c r="N22" s="44">
        <v>-1.14575733525426</v>
      </c>
      <c r="O22" s="45"/>
      <c r="P22" s="41">
        <v>1006669.020457347</v>
      </c>
      <c r="Q22" s="41">
        <v>-1086063.6495241385</v>
      </c>
      <c r="R22" s="40">
        <v>6254.82</v>
      </c>
      <c r="S22" s="41">
        <v>-1079808.8295241385</v>
      </c>
      <c r="T22" s="44">
        <v>-1.0726552695875777</v>
      </c>
      <c r="U22" s="42"/>
      <c r="V22" s="40">
        <v>5372052.6319866003</v>
      </c>
      <c r="W22" s="40">
        <v>6943499.3299999908</v>
      </c>
      <c r="X22" s="46">
        <v>-4.8666951624809105</v>
      </c>
      <c r="Y22" s="44">
        <v>-1.5582565088655036</v>
      </c>
      <c r="Z22" s="45"/>
      <c r="AA22" s="41">
        <v>167778.17007622455</v>
      </c>
      <c r="AB22" s="41">
        <v>-337918.94600000395</v>
      </c>
      <c r="AC22" s="44">
        <v>-2.0140817237813566</v>
      </c>
    </row>
    <row r="23" spans="1:29" ht="14.5" x14ac:dyDescent="0.35">
      <c r="C23" s="55"/>
      <c r="D23" s="59"/>
      <c r="E23" s="54"/>
      <c r="F23" s="55"/>
      <c r="G23" s="104"/>
      <c r="H23" s="48"/>
      <c r="I23" s="48"/>
      <c r="J23" s="49"/>
      <c r="K23" s="34"/>
      <c r="L23" s="50"/>
      <c r="M23" s="50"/>
      <c r="N23" s="48"/>
      <c r="O23" s="34"/>
      <c r="P23" s="48"/>
      <c r="Q23" s="48"/>
      <c r="R23" s="48"/>
      <c r="S23" s="48"/>
      <c r="T23" s="48"/>
      <c r="U23" s="48"/>
      <c r="V23" s="47"/>
      <c r="W23" s="47"/>
      <c r="X23" s="52"/>
      <c r="Y23" s="47"/>
      <c r="Z23" s="36"/>
      <c r="AA23" s="48"/>
      <c r="AB23" s="48"/>
      <c r="AC23" s="48"/>
    </row>
    <row r="24" spans="1:29" ht="14.5" x14ac:dyDescent="0.35">
      <c r="C24" s="55"/>
      <c r="D24" s="59"/>
      <c r="E24" s="54"/>
      <c r="F24" s="55"/>
      <c r="G24" s="56"/>
      <c r="H24" s="48"/>
      <c r="I24" s="56"/>
      <c r="J24" s="49"/>
      <c r="K24" s="34"/>
      <c r="L24" s="50"/>
      <c r="M24" s="50"/>
      <c r="N24" s="48"/>
      <c r="O24" s="34"/>
      <c r="P24" s="56"/>
      <c r="Q24" s="56"/>
      <c r="R24" s="56"/>
      <c r="S24" s="56"/>
      <c r="T24" s="48"/>
      <c r="U24" s="48"/>
      <c r="V24" s="47"/>
      <c r="W24" s="59"/>
      <c r="X24" s="52"/>
      <c r="Y24" s="47"/>
      <c r="Z24" s="36"/>
      <c r="AA24" s="56"/>
      <c r="AB24" s="56"/>
      <c r="AC24" s="48"/>
    </row>
    <row r="25" spans="1:29" ht="14.5" x14ac:dyDescent="0.35">
      <c r="A25" s="65"/>
      <c r="B25" s="11"/>
      <c r="C25" s="55"/>
      <c r="D25" s="59"/>
      <c r="E25" s="54"/>
      <c r="F25" s="55"/>
      <c r="G25" s="56"/>
      <c r="H25" s="48"/>
      <c r="I25" s="48"/>
      <c r="J25" s="49"/>
      <c r="K25" s="34"/>
      <c r="L25" s="50"/>
      <c r="M25" s="50"/>
      <c r="N25" s="48"/>
      <c r="O25" s="34"/>
      <c r="P25" s="48"/>
      <c r="Q25" s="48"/>
      <c r="R25" s="48"/>
      <c r="S25" s="48"/>
      <c r="T25" s="48"/>
      <c r="U25" s="48"/>
      <c r="V25" s="47"/>
      <c r="W25" s="47"/>
      <c r="X25" s="52"/>
      <c r="Y25" s="47"/>
      <c r="Z25" s="36"/>
      <c r="AA25" s="48"/>
      <c r="AB25" s="48"/>
      <c r="AC25" s="48"/>
    </row>
    <row r="26" spans="1:29" x14ac:dyDescent="0.3">
      <c r="A26" s="65"/>
      <c r="B26" s="11"/>
    </row>
    <row r="27" spans="1:29" x14ac:dyDescent="0.3">
      <c r="A27" s="65"/>
      <c r="B27" s="11"/>
    </row>
    <row r="28" spans="1:29" x14ac:dyDescent="0.3">
      <c r="A28" s="65"/>
      <c r="B28" s="11"/>
    </row>
    <row r="29" spans="1:29" x14ac:dyDescent="0.3">
      <c r="I29" s="109"/>
    </row>
  </sheetData>
  <sortState ref="A8:B20">
    <sortCondition ref="A8:A20"/>
  </sortState>
  <mergeCells count="12">
    <mergeCell ref="D3:E4"/>
    <mergeCell ref="X5:Y5"/>
    <mergeCell ref="AA5:AC5"/>
    <mergeCell ref="B1:B5"/>
    <mergeCell ref="D2:AC2"/>
    <mergeCell ref="G4:T4"/>
    <mergeCell ref="V4:AC4"/>
    <mergeCell ref="D5:E5"/>
    <mergeCell ref="G5:J5"/>
    <mergeCell ref="L5:N5"/>
    <mergeCell ref="P5:T5"/>
    <mergeCell ref="V5:W5"/>
  </mergeCells>
  <conditionalFormatting sqref="E7">
    <cfRule type="cellIs" dxfId="183" priority="685" operator="greaterThanOrEqual">
      <formula>0.91</formula>
    </cfRule>
    <cfRule type="cellIs" dxfId="182" priority="686" operator="between">
      <formula>0.71</formula>
      <formula>0.9</formula>
    </cfRule>
    <cfRule type="cellIs" dxfId="181" priority="687" operator="between">
      <formula>0.1</formula>
      <formula>0.79</formula>
    </cfRule>
  </conditionalFormatting>
  <conditionalFormatting sqref="E8:E20">
    <cfRule type="cellIs" dxfId="180" priority="241" operator="greaterThanOrEqual">
      <formula>0.9</formula>
    </cfRule>
    <cfRule type="cellIs" dxfId="179" priority="242" operator="between">
      <formula>0.79</formula>
      <formula>0.9</formula>
    </cfRule>
    <cfRule type="cellIs" dxfId="178" priority="243" operator="between">
      <formula>0.0001</formula>
      <formula>0.79</formula>
    </cfRule>
  </conditionalFormatting>
  <conditionalFormatting sqref="E21">
    <cfRule type="cellIs" dxfId="177" priority="373" operator="greaterThanOrEqual">
      <formula>0.91</formula>
    </cfRule>
    <cfRule type="cellIs" dxfId="176" priority="374" operator="between">
      <formula>0.71</formula>
      <formula>0.9</formula>
    </cfRule>
    <cfRule type="cellIs" dxfId="175" priority="375" operator="between">
      <formula>0.1</formula>
      <formula>0.79</formula>
    </cfRule>
    <cfRule type="cellIs" dxfId="174" priority="376" operator="greaterThanOrEqual">
      <formula>0.9</formula>
    </cfRule>
    <cfRule type="cellIs" dxfId="173" priority="377" operator="between">
      <formula>0.79</formula>
      <formula>0.9</formula>
    </cfRule>
    <cfRule type="cellIs" dxfId="172" priority="378" operator="between">
      <formula>0.0001</formula>
      <formula>0.79</formula>
    </cfRule>
  </conditionalFormatting>
  <conditionalFormatting sqref="E22">
    <cfRule type="cellIs" dxfId="171" priority="235" operator="greaterThanOrEqual">
      <formula>0.9</formula>
    </cfRule>
    <cfRule type="cellIs" dxfId="170" priority="236" operator="between">
      <formula>0.79</formula>
      <formula>0.9</formula>
    </cfRule>
    <cfRule type="cellIs" dxfId="169" priority="237" operator="between">
      <formula>0.0001</formula>
      <formula>0.79</formula>
    </cfRule>
  </conditionalFormatting>
  <conditionalFormatting sqref="E23:E1048576">
    <cfRule type="cellIs" dxfId="168" priority="692" operator="greaterThanOrEqual">
      <formula>0.91</formula>
    </cfRule>
    <cfRule type="cellIs" dxfId="167" priority="693" operator="between">
      <formula>0.71</formula>
      <formula>0.9</formula>
    </cfRule>
    <cfRule type="cellIs" dxfId="166" priority="694" operator="between">
      <formula>0.1</formula>
      <formula>0.79</formula>
    </cfRule>
  </conditionalFormatting>
  <conditionalFormatting sqref="J7">
    <cfRule type="cellIs" dxfId="165" priority="688" operator="greaterThanOrEqual">
      <formula>1</formula>
    </cfRule>
    <cfRule type="cellIs" dxfId="164" priority="689" operator="between">
      <formula>0.9001</formula>
      <formula>0.9999</formula>
    </cfRule>
    <cfRule type="cellIs" dxfId="163" priority="690" operator="lessThan">
      <formula>0.9</formula>
    </cfRule>
  </conditionalFormatting>
  <conditionalFormatting sqref="J8:J20">
    <cfRule type="cellIs" dxfId="162" priority="287" operator="lessThanOrEqual">
      <formula>0.86</formula>
    </cfRule>
  </conditionalFormatting>
  <conditionalFormatting sqref="J8:J21">
    <cfRule type="cellIs" dxfId="161" priority="285" operator="between">
      <formula>0.86</formula>
      <formula>0.9999</formula>
    </cfRule>
  </conditionalFormatting>
  <conditionalFormatting sqref="J8:J22 N8:N22">
    <cfRule type="cellIs" dxfId="160" priority="278" operator="greaterThanOrEqual">
      <formula>1</formula>
    </cfRule>
  </conditionalFormatting>
  <conditionalFormatting sqref="J21:J22">
    <cfRule type="cellIs" dxfId="159" priority="281" operator="lessThanOrEqual">
      <formula>0.86</formula>
    </cfRule>
  </conditionalFormatting>
  <conditionalFormatting sqref="J22">
    <cfRule type="cellIs" dxfId="158" priority="280" operator="between">
      <formula>0.86</formula>
      <formula>0.9999</formula>
    </cfRule>
  </conditionalFormatting>
  <conditionalFormatting sqref="J23:J1048576">
    <cfRule type="cellIs" dxfId="157" priority="695" operator="greaterThanOrEqual">
      <formula>1</formula>
    </cfRule>
    <cfRule type="cellIs" dxfId="156" priority="696" operator="between">
      <formula>0.9001</formula>
      <formula>0.9999</formula>
    </cfRule>
    <cfRule type="cellIs" dxfId="155" priority="697" operator="lessThan">
      <formula>0.9</formula>
    </cfRule>
  </conditionalFormatting>
  <conditionalFormatting sqref="N8:N20">
    <cfRule type="cellIs" dxfId="154" priority="331" operator="lessThanOrEqual">
      <formula>0.86</formula>
    </cfRule>
  </conditionalFormatting>
  <conditionalFormatting sqref="N8:N21">
    <cfRule type="cellIs" dxfId="153" priority="351" operator="between">
      <formula>0.86</formula>
      <formula>0.9999</formula>
    </cfRule>
  </conditionalFormatting>
  <conditionalFormatting sqref="N14:N20">
    <cfRule type="cellIs" dxfId="152" priority="329" operator="between">
      <formula>0.86</formula>
      <formula>0.999999999</formula>
    </cfRule>
  </conditionalFormatting>
  <conditionalFormatting sqref="N21:N22">
    <cfRule type="cellIs" dxfId="151" priority="325" operator="lessThanOrEqual">
      <formula>0.86</formula>
    </cfRule>
  </conditionalFormatting>
  <conditionalFormatting sqref="N22">
    <cfRule type="cellIs" dxfId="150" priority="324" operator="between">
      <formula>0.86</formula>
      <formula>0.999999999</formula>
    </cfRule>
  </conditionalFormatting>
  <conditionalFormatting sqref="T8:U20">
    <cfRule type="cellIs" dxfId="149" priority="79" operator="greaterThanOrEqual">
      <formula>1</formula>
    </cfRule>
    <cfRule type="cellIs" dxfId="148" priority="83" operator="lessThanOrEqual">
      <formula>0.86</formula>
    </cfRule>
    <cfRule type="cellIs" dxfId="147" priority="84" operator="between">
      <formula>0.86</formula>
      <formula>0.9999</formula>
    </cfRule>
  </conditionalFormatting>
  <conditionalFormatting sqref="T22:U22">
    <cfRule type="cellIs" dxfId="146" priority="76" operator="greaterThanOrEqual">
      <formula>1</formula>
    </cfRule>
    <cfRule type="cellIs" dxfId="145" priority="77" operator="lessThanOrEqual">
      <formula>0.86</formula>
    </cfRule>
    <cfRule type="cellIs" dxfId="144" priority="78" operator="between">
      <formula>0.86</formula>
      <formula>0.9999</formula>
    </cfRule>
  </conditionalFormatting>
  <conditionalFormatting sqref="Y8:Y20 Y22">
    <cfRule type="cellIs" dxfId="143" priority="605" operator="greaterThanOrEqual">
      <formula>1</formula>
    </cfRule>
    <cfRule type="cellIs" dxfId="142" priority="626" operator="lessThanOrEqual">
      <formula>0.86</formula>
    </cfRule>
    <cfRule type="cellIs" dxfId="141" priority="627" operator="between">
      <formula>0.86</formula>
      <formula>0.9999</formula>
    </cfRule>
  </conditionalFormatting>
  <conditionalFormatting sqref="AC8:AC20">
    <cfRule type="cellIs" dxfId="140" priority="7" operator="greaterThanOrEqual">
      <formula>1</formula>
    </cfRule>
    <cfRule type="cellIs" dxfId="139" priority="11" operator="lessThanOrEqual">
      <formula>0.86</formula>
    </cfRule>
    <cfRule type="cellIs" dxfId="138" priority="12" operator="between">
      <formula>0.86</formula>
      <formula>0.9999</formula>
    </cfRule>
  </conditionalFormatting>
  <conditionalFormatting sqref="AC22">
    <cfRule type="cellIs" dxfId="137" priority="49" operator="greaterThanOrEqual">
      <formula>1</formula>
    </cfRule>
    <cfRule type="cellIs" dxfId="136" priority="50" operator="lessThanOrEqual">
      <formula>0.86</formula>
    </cfRule>
    <cfRule type="cellIs" dxfId="135" priority="51" operator="between">
      <formula>0.86</formula>
      <formula>0.9999</formula>
    </cfRule>
  </conditionalFormatting>
  <printOptions horizontalCentered="1"/>
  <pageMargins left="0" right="0" top="0" bottom="0" header="0" footer="0"/>
  <pageSetup paperSize="9" scale="5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Q106"/>
  <sheetViews>
    <sheetView showGridLines="0" zoomScale="80" zoomScaleNormal="80" workbookViewId="0">
      <pane xSplit="3" ySplit="7" topLeftCell="D8" activePane="bottomRight" state="frozen"/>
      <selection activeCell="H8" sqref="H8"/>
      <selection pane="topRight" activeCell="H8" sqref="H8"/>
      <selection pane="bottomLeft" activeCell="H8" sqref="H8"/>
      <selection pane="bottomRight" activeCell="I10" sqref="I10"/>
    </sheetView>
  </sheetViews>
  <sheetFormatPr defaultColWidth="9" defaultRowHeight="14" x14ac:dyDescent="0.3"/>
  <cols>
    <col min="1" max="1" width="10.08203125" style="7" hidden="1" customWidth="1"/>
    <col min="2" max="2" width="7.1640625" style="17" hidden="1" customWidth="1"/>
    <col min="3" max="3" width="20.9140625" style="1" customWidth="1"/>
    <col min="4" max="4" width="1.1640625" customWidth="1"/>
    <col min="5" max="5" width="9.1640625" style="1" bestFit="1" customWidth="1"/>
    <col min="6" max="6" width="8.08203125" style="119" bestFit="1" customWidth="1"/>
    <col min="7" max="7" width="1.1640625" customWidth="1"/>
    <col min="8" max="8" width="10.08203125" style="1" bestFit="1" customWidth="1"/>
    <col min="9" max="9" width="10.9140625" style="1" bestFit="1" customWidth="1"/>
    <col min="10" max="10" width="10.08203125" style="1" bestFit="1" customWidth="1"/>
    <col min="11" max="11" width="6.6640625" style="113" customWidth="1"/>
    <col min="12" max="12" width="0.6640625" style="11" customWidth="1"/>
    <col min="13" max="13" width="9.1640625" style="1" bestFit="1" customWidth="1"/>
    <col min="14" max="14" width="10.9140625" style="1" bestFit="1" customWidth="1"/>
    <col min="15" max="15" width="7.25" style="1" customWidth="1"/>
    <col min="16" max="16" width="9.1640625" style="1" bestFit="1" customWidth="1"/>
    <col min="17" max="17" width="8.5" style="18" bestFit="1" customWidth="1"/>
    <col min="18" max="18" width="0.6640625" style="11" customWidth="1"/>
    <col min="19" max="19" width="9.9140625" style="3" customWidth="1"/>
    <col min="20" max="20" width="8.33203125" style="3" customWidth="1"/>
    <col min="21" max="21" width="0.6640625" style="11" customWidth="1"/>
    <col min="22" max="22" width="0.75" style="4" hidden="1" customWidth="1"/>
    <col min="23" max="23" width="10.33203125" style="4" customWidth="1"/>
    <col min="24" max="24" width="0.1640625" style="1" customWidth="1"/>
    <col min="25" max="25" width="0.6640625" style="11" customWidth="1"/>
    <col min="26" max="26" width="2.08203125" style="61" customWidth="1"/>
    <col min="27" max="27" width="7.08203125" style="18" bestFit="1" customWidth="1"/>
    <col min="28" max="28" width="8.5" style="18" customWidth="1"/>
    <col min="29" max="29" width="0.58203125" style="13" customWidth="1"/>
    <col min="30" max="31" width="7.83203125" style="1" bestFit="1" customWidth="1"/>
    <col min="32" max="32" width="8.5" style="18" bestFit="1" customWidth="1"/>
    <col min="33" max="33" width="0.58203125" style="13" customWidth="1"/>
    <col min="34" max="34" width="7.58203125" style="1" customWidth="1"/>
    <col min="35" max="35" width="9.1640625" style="1" customWidth="1"/>
    <col min="36" max="36" width="9.1640625" style="18" customWidth="1"/>
    <col min="37" max="37" width="0.58203125" style="13" customWidth="1"/>
    <col min="38" max="38" width="8.83203125" style="3" bestFit="1" customWidth="1"/>
    <col min="39" max="39" width="8.5" style="20" customWidth="1"/>
    <col min="40" max="40" width="0.58203125" style="13" customWidth="1"/>
    <col min="41" max="41" width="9.4140625" style="19" customWidth="1"/>
    <col min="42" max="42" width="6.6640625" style="18" hidden="1" customWidth="1"/>
    <col min="43" max="43" width="8.6640625" customWidth="1"/>
    <col min="44" max="16384" width="9" style="11"/>
  </cols>
  <sheetData>
    <row r="1" spans="1:43" ht="14.5" thickBot="1" x14ac:dyDescent="0.35">
      <c r="A1" s="161"/>
      <c r="B1" s="214"/>
      <c r="C1" s="215"/>
      <c r="D1" s="166"/>
      <c r="E1" s="167"/>
      <c r="F1" s="168"/>
      <c r="G1" s="166"/>
      <c r="H1" s="167"/>
      <c r="I1" s="167"/>
      <c r="J1" s="167"/>
      <c r="K1" s="169"/>
      <c r="L1" s="167"/>
      <c r="M1" s="167"/>
      <c r="N1" s="167"/>
      <c r="O1" s="167"/>
      <c r="P1" s="167"/>
      <c r="Q1" s="170"/>
      <c r="R1" s="167"/>
      <c r="S1" s="171"/>
      <c r="T1" s="171"/>
      <c r="U1" s="167"/>
      <c r="V1" s="172"/>
      <c r="W1" s="172"/>
      <c r="X1" s="167"/>
      <c r="Y1" s="167"/>
      <c r="Z1" s="170"/>
      <c r="AA1" s="170"/>
      <c r="AB1" s="170"/>
      <c r="AC1" s="170"/>
      <c r="AD1" s="167"/>
      <c r="AE1" s="167"/>
      <c r="AF1" s="170"/>
      <c r="AG1" s="170"/>
      <c r="AH1" s="167"/>
      <c r="AI1" s="167"/>
      <c r="AJ1" s="170"/>
      <c r="AK1" s="170"/>
      <c r="AL1" s="171"/>
      <c r="AM1" s="173"/>
      <c r="AN1" s="170"/>
      <c r="AO1" s="174"/>
      <c r="AP1" s="175"/>
    </row>
    <row r="2" spans="1:43" s="162" customFormat="1" ht="30.65" customHeight="1" thickBot="1" x14ac:dyDescent="0.4">
      <c r="A2" s="161"/>
      <c r="B2" s="216"/>
      <c r="C2" s="217"/>
      <c r="D2" s="176"/>
      <c r="E2" s="220" t="s">
        <v>83</v>
      </c>
      <c r="F2" s="221"/>
      <c r="G2" s="221"/>
      <c r="H2" s="221"/>
      <c r="I2" s="221"/>
      <c r="J2" s="221"/>
      <c r="K2" s="221"/>
      <c r="L2" s="221"/>
      <c r="M2" s="221"/>
      <c r="N2" s="221"/>
      <c r="O2" s="221"/>
      <c r="P2" s="221"/>
      <c r="Q2" s="221"/>
      <c r="R2" s="221"/>
      <c r="S2" s="221"/>
      <c r="T2" s="221"/>
      <c r="U2" s="221"/>
      <c r="V2" s="221"/>
      <c r="W2" s="221"/>
      <c r="X2" s="221"/>
      <c r="Y2" s="221"/>
      <c r="Z2" s="221"/>
      <c r="AA2" s="221"/>
      <c r="AB2" s="221"/>
      <c r="AC2" s="221"/>
      <c r="AD2" s="221"/>
      <c r="AE2" s="221"/>
      <c r="AF2" s="221"/>
      <c r="AG2" s="221"/>
      <c r="AH2" s="221"/>
      <c r="AI2" s="221"/>
      <c r="AJ2" s="221"/>
      <c r="AK2" s="221"/>
      <c r="AL2" s="221"/>
      <c r="AM2" s="221"/>
      <c r="AN2" s="221"/>
      <c r="AO2" s="221"/>
      <c r="AP2" s="222"/>
      <c r="AQ2"/>
    </row>
    <row r="3" spans="1:43" s="186" customFormat="1" ht="12" thickBot="1" x14ac:dyDescent="0.3">
      <c r="B3" s="216"/>
      <c r="C3" s="217"/>
      <c r="D3" s="188"/>
      <c r="E3" s="231"/>
      <c r="F3" s="231"/>
      <c r="G3" s="188"/>
      <c r="H3" s="188">
        <v>11</v>
      </c>
      <c r="I3" s="188"/>
      <c r="J3" s="188">
        <v>3</v>
      </c>
      <c r="K3" s="188"/>
      <c r="L3" s="188"/>
      <c r="M3" s="188">
        <v>72</v>
      </c>
      <c r="N3" s="188"/>
      <c r="O3" s="188"/>
      <c r="P3" s="188">
        <v>6</v>
      </c>
      <c r="Q3" s="188"/>
      <c r="R3" s="188"/>
      <c r="S3" s="188"/>
      <c r="T3" s="188"/>
      <c r="U3" s="188"/>
      <c r="V3" s="188">
        <v>30</v>
      </c>
      <c r="W3" s="188">
        <v>5</v>
      </c>
      <c r="X3" s="188"/>
      <c r="Y3" s="188"/>
      <c r="Z3" s="188"/>
      <c r="AA3" s="188">
        <v>9</v>
      </c>
      <c r="AB3" s="188">
        <v>8</v>
      </c>
      <c r="AC3" s="188"/>
      <c r="AD3" s="188">
        <v>6</v>
      </c>
      <c r="AE3" s="188">
        <v>11</v>
      </c>
      <c r="AF3" s="188"/>
      <c r="AG3" s="188"/>
      <c r="AH3" s="188">
        <v>6</v>
      </c>
      <c r="AI3" s="188">
        <v>6</v>
      </c>
      <c r="AJ3" s="188">
        <v>6</v>
      </c>
      <c r="AK3" s="188"/>
      <c r="AL3" s="188"/>
      <c r="AM3" s="188"/>
      <c r="AN3" s="188"/>
      <c r="AO3" s="188">
        <v>10</v>
      </c>
      <c r="AP3" s="189"/>
    </row>
    <row r="4" spans="1:43" s="157" customFormat="1" ht="21.75" customHeight="1" thickBot="1" x14ac:dyDescent="0.3">
      <c r="A4" s="163"/>
      <c r="B4" s="216"/>
      <c r="C4" s="217"/>
      <c r="D4" s="177"/>
      <c r="E4" s="232"/>
      <c r="F4" s="232"/>
      <c r="G4" s="177"/>
      <c r="H4" s="223" t="s">
        <v>35</v>
      </c>
      <c r="I4" s="224"/>
      <c r="J4" s="224"/>
      <c r="K4" s="224"/>
      <c r="L4" s="224"/>
      <c r="M4" s="224"/>
      <c r="N4" s="224"/>
      <c r="O4" s="224"/>
      <c r="P4" s="224"/>
      <c r="Q4" s="224"/>
      <c r="R4" s="224"/>
      <c r="S4" s="224"/>
      <c r="T4" s="224"/>
      <c r="U4" s="224"/>
      <c r="V4" s="224"/>
      <c r="W4" s="224"/>
      <c r="X4" s="225"/>
      <c r="Y4" s="178"/>
      <c r="Z4" s="179"/>
      <c r="AA4" s="223" t="s">
        <v>6</v>
      </c>
      <c r="AB4" s="224"/>
      <c r="AC4" s="224"/>
      <c r="AD4" s="224"/>
      <c r="AE4" s="224"/>
      <c r="AF4" s="224"/>
      <c r="AG4" s="224"/>
      <c r="AH4" s="224"/>
      <c r="AI4" s="224"/>
      <c r="AJ4" s="224"/>
      <c r="AK4" s="224"/>
      <c r="AL4" s="224"/>
      <c r="AM4" s="224"/>
      <c r="AN4" s="224"/>
      <c r="AO4" s="224"/>
      <c r="AP4" s="225"/>
    </row>
    <row r="5" spans="1:43" s="57" customFormat="1" ht="23.5" customHeight="1" thickBot="1" x14ac:dyDescent="0.35">
      <c r="A5" s="164"/>
      <c r="B5" s="216"/>
      <c r="C5" s="217"/>
      <c r="D5" s="180"/>
      <c r="E5" s="218" t="s">
        <v>5</v>
      </c>
      <c r="F5" s="218"/>
      <c r="G5" s="180"/>
      <c r="H5" s="212" t="s">
        <v>36</v>
      </c>
      <c r="I5" s="212"/>
      <c r="J5" s="212"/>
      <c r="K5" s="212"/>
      <c r="L5" s="180"/>
      <c r="M5" s="212" t="s">
        <v>41</v>
      </c>
      <c r="N5" s="212"/>
      <c r="O5" s="212"/>
      <c r="P5" s="212"/>
      <c r="Q5" s="212"/>
      <c r="R5" s="180"/>
      <c r="S5" s="219" t="s">
        <v>40</v>
      </c>
      <c r="T5" s="219"/>
      <c r="U5" s="181"/>
      <c r="V5" s="213" t="s">
        <v>42</v>
      </c>
      <c r="W5" s="213"/>
      <c r="X5" s="213"/>
      <c r="Y5" s="180"/>
      <c r="Z5" s="182"/>
      <c r="AA5" s="229" t="s">
        <v>36</v>
      </c>
      <c r="AB5" s="230"/>
      <c r="AC5" s="181"/>
      <c r="AD5" s="212" t="s">
        <v>41</v>
      </c>
      <c r="AE5" s="212"/>
      <c r="AF5" s="212"/>
      <c r="AG5" s="212"/>
      <c r="AH5" s="212"/>
      <c r="AI5" s="212"/>
      <c r="AJ5" s="212"/>
      <c r="AK5" s="165"/>
      <c r="AL5" s="226" t="s">
        <v>40</v>
      </c>
      <c r="AM5" s="227"/>
      <c r="AN5" s="181"/>
      <c r="AO5" s="228" t="s">
        <v>42</v>
      </c>
      <c r="AP5" s="228"/>
      <c r="AQ5"/>
    </row>
    <row r="6" spans="1:43" s="107" customFormat="1" ht="27" customHeight="1" thickBot="1" x14ac:dyDescent="0.3">
      <c r="A6" s="106"/>
      <c r="B6" s="136"/>
      <c r="C6" s="137" t="s">
        <v>0</v>
      </c>
      <c r="D6" s="183"/>
      <c r="E6" s="137" t="s">
        <v>2</v>
      </c>
      <c r="F6" s="139" t="s">
        <v>13</v>
      </c>
      <c r="G6" s="183"/>
      <c r="H6" s="137" t="s">
        <v>1</v>
      </c>
      <c r="I6" s="140" t="s">
        <v>37</v>
      </c>
      <c r="J6" s="137" t="s">
        <v>2</v>
      </c>
      <c r="K6" s="137" t="s">
        <v>3</v>
      </c>
      <c r="L6" s="183"/>
      <c r="M6" s="137" t="s">
        <v>1</v>
      </c>
      <c r="N6" s="140" t="s">
        <v>37</v>
      </c>
      <c r="O6" s="137" t="s">
        <v>11</v>
      </c>
      <c r="P6" s="137" t="s">
        <v>43</v>
      </c>
      <c r="Q6" s="137" t="s">
        <v>3</v>
      </c>
      <c r="R6" s="183"/>
      <c r="S6" s="137" t="s">
        <v>44</v>
      </c>
      <c r="T6" s="137" t="s">
        <v>2</v>
      </c>
      <c r="U6" s="184"/>
      <c r="V6" s="137" t="s">
        <v>1</v>
      </c>
      <c r="W6" s="137" t="s">
        <v>2</v>
      </c>
      <c r="X6" s="137" t="s">
        <v>3</v>
      </c>
      <c r="Y6" s="183"/>
      <c r="Z6" s="183"/>
      <c r="AA6" s="137" t="s">
        <v>1</v>
      </c>
      <c r="AB6" s="137" t="s">
        <v>2</v>
      </c>
      <c r="AC6" s="184"/>
      <c r="AD6" s="137" t="s">
        <v>1</v>
      </c>
      <c r="AE6" s="137" t="s">
        <v>2</v>
      </c>
      <c r="AF6" s="137" t="s">
        <v>3</v>
      </c>
      <c r="AG6" s="184"/>
      <c r="AH6" s="137" t="s">
        <v>65</v>
      </c>
      <c r="AI6" s="137" t="s">
        <v>39</v>
      </c>
      <c r="AJ6" s="137" t="s">
        <v>38</v>
      </c>
      <c r="AK6" s="185"/>
      <c r="AL6" s="137" t="s">
        <v>44</v>
      </c>
      <c r="AM6" s="141" t="s">
        <v>2</v>
      </c>
      <c r="AN6" s="184"/>
      <c r="AO6" s="141" t="s">
        <v>2</v>
      </c>
      <c r="AP6" s="141" t="s">
        <v>3</v>
      </c>
    </row>
    <row r="7" spans="1:43" ht="6.5" customHeight="1" x14ac:dyDescent="0.3">
      <c r="B7" s="16"/>
      <c r="D7" s="12"/>
      <c r="E7" s="12"/>
      <c r="F7" s="117"/>
      <c r="G7" s="12"/>
      <c r="H7" s="22"/>
      <c r="I7" s="60"/>
      <c r="J7" s="12"/>
      <c r="K7" s="111"/>
      <c r="M7" s="12"/>
      <c r="N7" s="12"/>
      <c r="O7" s="12"/>
      <c r="P7" s="12"/>
      <c r="Q7" s="114"/>
      <c r="S7" s="21"/>
      <c r="T7" s="21"/>
      <c r="V7" s="24"/>
      <c r="W7" s="67"/>
      <c r="X7" s="22"/>
      <c r="AD7" s="12"/>
      <c r="AE7" s="12"/>
      <c r="AF7" s="114"/>
      <c r="AH7" s="12"/>
      <c r="AI7" s="12"/>
      <c r="AJ7" s="116"/>
      <c r="AL7" s="21"/>
      <c r="AO7" s="66"/>
    </row>
    <row r="8" spans="1:43" ht="12.75" customHeight="1" x14ac:dyDescent="0.3">
      <c r="A8" s="7" t="s">
        <v>4</v>
      </c>
      <c r="B8" s="210" t="s">
        <v>15</v>
      </c>
      <c r="C8" s="6" t="s">
        <v>8</v>
      </c>
      <c r="D8" s="7"/>
      <c r="E8" s="33">
        <v>35691.069999999992</v>
      </c>
      <c r="F8" s="123">
        <v>0.45757782051282042</v>
      </c>
      <c r="G8" s="7"/>
      <c r="H8" s="35">
        <v>78000</v>
      </c>
      <c r="I8" s="35">
        <v>21000</v>
      </c>
      <c r="J8" s="35">
        <v>24852.119999999995</v>
      </c>
      <c r="K8" s="70">
        <v>1.1834342857142854</v>
      </c>
      <c r="L8" s="36"/>
      <c r="M8" s="35">
        <v>15522</v>
      </c>
      <c r="N8" s="35">
        <v>4179</v>
      </c>
      <c r="O8" s="37">
        <v>0</v>
      </c>
      <c r="P8" s="35">
        <v>5335.25</v>
      </c>
      <c r="Q8" s="115">
        <v>1.2766810241684614</v>
      </c>
      <c r="R8" s="36"/>
      <c r="S8" s="127">
        <v>0.19900000000000001</v>
      </c>
      <c r="T8" s="127">
        <v>0.21467987439300956</v>
      </c>
      <c r="U8" s="36"/>
      <c r="V8" s="35"/>
      <c r="W8" s="38">
        <v>5.2698119918944251</v>
      </c>
      <c r="X8" s="69" t="s">
        <v>69</v>
      </c>
      <c r="Y8" s="36"/>
      <c r="Z8" s="62"/>
      <c r="AA8" s="33">
        <v>3000</v>
      </c>
      <c r="AB8" s="33">
        <v>6032.4300000000012</v>
      </c>
      <c r="AC8" s="36"/>
      <c r="AD8" s="35">
        <v>597</v>
      </c>
      <c r="AE8" s="35">
        <v>655.6800000000004</v>
      </c>
      <c r="AF8" s="115">
        <v>1.0982914572864328</v>
      </c>
      <c r="AG8" s="36"/>
      <c r="AH8" s="35">
        <v>762.17857142857144</v>
      </c>
      <c r="AI8" s="35">
        <v>19816.642857142859</v>
      </c>
      <c r="AJ8" s="115">
        <v>1.2766810241684614</v>
      </c>
      <c r="AK8" s="36"/>
      <c r="AL8" s="108">
        <v>0.19900000000000001</v>
      </c>
      <c r="AM8" s="108">
        <v>0.10869251694590741</v>
      </c>
      <c r="AN8" s="36"/>
      <c r="AO8" s="38">
        <v>-5.2915657537675376</v>
      </c>
      <c r="AP8" s="70">
        <v>0</v>
      </c>
    </row>
    <row r="9" spans="1:43" ht="12.75" customHeight="1" x14ac:dyDescent="0.3">
      <c r="A9" s="7" t="s">
        <v>4</v>
      </c>
      <c r="B9" s="210"/>
      <c r="C9" s="6" t="s">
        <v>9</v>
      </c>
      <c r="D9" s="7"/>
      <c r="E9" s="33">
        <v>87570.810000000041</v>
      </c>
      <c r="F9" s="123">
        <v>0.76148530434782646</v>
      </c>
      <c r="G9" s="7"/>
      <c r="H9" s="35">
        <v>115000</v>
      </c>
      <c r="I9" s="35">
        <v>30666.666666666668</v>
      </c>
      <c r="J9" s="35">
        <v>34753.720000000183</v>
      </c>
      <c r="K9" s="70">
        <v>1.1332734782608755</v>
      </c>
      <c r="L9" s="36"/>
      <c r="M9" s="35">
        <v>23000</v>
      </c>
      <c r="N9" s="35">
        <v>6133.333333333333</v>
      </c>
      <c r="O9" s="37">
        <v>0</v>
      </c>
      <c r="P9" s="35">
        <v>7895.5199999999959</v>
      </c>
      <c r="Q9" s="115">
        <v>1.2873130434782603</v>
      </c>
      <c r="R9" s="36"/>
      <c r="S9" s="127">
        <v>0.2</v>
      </c>
      <c r="T9" s="127">
        <v>0.22718488840906684</v>
      </c>
      <c r="U9" s="36"/>
      <c r="V9" s="35"/>
      <c r="W9" s="38">
        <v>7.6059483704194779</v>
      </c>
      <c r="X9" s="69" t="s">
        <v>69</v>
      </c>
      <c r="Y9" s="36"/>
      <c r="Z9" s="62"/>
      <c r="AA9" s="33">
        <v>3833.3333333333335</v>
      </c>
      <c r="AB9" s="33">
        <v>5523.6199999999972</v>
      </c>
      <c r="AC9" s="36"/>
      <c r="AD9" s="35">
        <v>766.66666666666663</v>
      </c>
      <c r="AE9" s="35">
        <v>1051.56</v>
      </c>
      <c r="AF9" s="115">
        <v>1.3715999999999999</v>
      </c>
      <c r="AG9" s="36"/>
      <c r="AH9" s="35">
        <v>986.93999999999949</v>
      </c>
      <c r="AI9" s="35">
        <v>29608.199999999986</v>
      </c>
      <c r="AJ9" s="115">
        <v>1.2873130434782603</v>
      </c>
      <c r="AK9" s="36"/>
      <c r="AL9" s="108">
        <v>0.2</v>
      </c>
      <c r="AM9" s="108">
        <v>0.19037515252678505</v>
      </c>
      <c r="AN9" s="36"/>
      <c r="AO9" s="38">
        <v>3.9799986240906948</v>
      </c>
      <c r="AP9" s="70">
        <v>0</v>
      </c>
    </row>
    <row r="10" spans="1:43" ht="12.75" customHeight="1" x14ac:dyDescent="0.3">
      <c r="A10" s="7" t="s">
        <v>4</v>
      </c>
      <c r="B10" s="210"/>
      <c r="C10" s="6" t="s">
        <v>10</v>
      </c>
      <c r="D10" s="7"/>
      <c r="E10" s="33">
        <v>155509.29999999999</v>
      </c>
      <c r="F10" s="123">
        <v>0.77754649999999992</v>
      </c>
      <c r="G10" s="7"/>
      <c r="H10" s="35">
        <v>200000</v>
      </c>
      <c r="I10" s="35">
        <v>53333.333333333336</v>
      </c>
      <c r="J10" s="35">
        <v>61748.140000000349</v>
      </c>
      <c r="K10" s="70">
        <v>1.1577776250000065</v>
      </c>
      <c r="L10" s="36"/>
      <c r="M10" s="35">
        <v>38400</v>
      </c>
      <c r="N10" s="35">
        <v>10240</v>
      </c>
      <c r="O10" s="37">
        <v>0</v>
      </c>
      <c r="P10" s="35">
        <v>12405.940000000004</v>
      </c>
      <c r="Q10" s="115">
        <v>1.2115175781250005</v>
      </c>
      <c r="R10" s="36"/>
      <c r="S10" s="127">
        <v>0.192</v>
      </c>
      <c r="T10" s="127">
        <v>0.20091196269231645</v>
      </c>
      <c r="U10" s="36"/>
      <c r="V10" s="35"/>
      <c r="W10" s="38">
        <v>4.9155002887539911</v>
      </c>
      <c r="X10" s="69" t="s">
        <v>69</v>
      </c>
      <c r="Y10" s="36"/>
      <c r="Z10" s="62"/>
      <c r="AA10" s="33">
        <v>6666.666666666667</v>
      </c>
      <c r="AB10" s="33">
        <v>12423.289999999988</v>
      </c>
      <c r="AC10" s="36"/>
      <c r="AD10" s="35">
        <v>1280</v>
      </c>
      <c r="AE10" s="35">
        <v>1919.7700000000002</v>
      </c>
      <c r="AF10" s="115">
        <v>1.4998203125000003</v>
      </c>
      <c r="AG10" s="36"/>
      <c r="AH10" s="35">
        <v>1550.7425000000005</v>
      </c>
      <c r="AI10" s="35">
        <v>46522.275000000016</v>
      </c>
      <c r="AJ10" s="115">
        <v>1.2115175781250005</v>
      </c>
      <c r="AK10" s="36"/>
      <c r="AL10" s="108">
        <v>0.192</v>
      </c>
      <c r="AM10" s="108">
        <v>0.15452991920819703</v>
      </c>
      <c r="AN10" s="36"/>
      <c r="AO10" s="38">
        <v>0.39361553984481523</v>
      </c>
      <c r="AP10" s="70">
        <v>0</v>
      </c>
    </row>
    <row r="11" spans="1:43" ht="12.75" customHeight="1" x14ac:dyDescent="0.3">
      <c r="A11" s="7" t="s">
        <v>4</v>
      </c>
      <c r="B11" s="210"/>
      <c r="C11" s="6" t="s">
        <v>12</v>
      </c>
      <c r="D11" s="7"/>
      <c r="E11" s="33">
        <v>23519.410000000003</v>
      </c>
      <c r="F11" s="123">
        <v>0.39199016666666675</v>
      </c>
      <c r="G11" s="7"/>
      <c r="H11" s="35">
        <v>60000</v>
      </c>
      <c r="I11" s="35">
        <v>16153.846153846152</v>
      </c>
      <c r="J11" s="35">
        <v>40371.630000000005</v>
      </c>
      <c r="K11" s="70">
        <v>2.4991961428571434</v>
      </c>
      <c r="L11" s="36"/>
      <c r="M11" s="35">
        <v>8400</v>
      </c>
      <c r="N11" s="35">
        <v>2261.5384615384619</v>
      </c>
      <c r="O11" s="37">
        <v>0</v>
      </c>
      <c r="P11" s="35">
        <v>7120.95</v>
      </c>
      <c r="Q11" s="115">
        <v>3.1487193877551016</v>
      </c>
      <c r="R11" s="36"/>
      <c r="S11" s="127">
        <v>0.14000000000000001</v>
      </c>
      <c r="T11" s="127">
        <v>0.17638500105148092</v>
      </c>
      <c r="U11" s="36"/>
      <c r="V11" s="35"/>
      <c r="W11" s="38">
        <v>0.16831126214128989</v>
      </c>
      <c r="X11" s="69" t="s">
        <v>69</v>
      </c>
      <c r="Y11" s="36"/>
      <c r="Z11" s="62"/>
      <c r="AA11" s="33">
        <v>2307.6923076923076</v>
      </c>
      <c r="AB11" s="33">
        <v>4621.42</v>
      </c>
      <c r="AC11" s="36"/>
      <c r="AD11" s="35">
        <v>323.07692307692309</v>
      </c>
      <c r="AE11" s="35">
        <v>767.77</v>
      </c>
      <c r="AF11" s="115">
        <v>2.3764309523809524</v>
      </c>
      <c r="AG11" s="36"/>
      <c r="AH11" s="35">
        <v>1017.2785714285714</v>
      </c>
      <c r="AI11" s="35">
        <v>26449.242857142854</v>
      </c>
      <c r="AJ11" s="115">
        <v>3.1487193877551016</v>
      </c>
      <c r="AK11" s="36"/>
      <c r="AL11" s="108">
        <v>0.14000000000000001</v>
      </c>
      <c r="AM11" s="108">
        <v>0.16613292018470513</v>
      </c>
      <c r="AN11" s="36"/>
      <c r="AO11" s="38">
        <v>1.8407762116405717</v>
      </c>
      <c r="AP11" s="70">
        <v>0</v>
      </c>
    </row>
    <row r="12" spans="1:43" s="15" customFormat="1" ht="14.25" customHeight="1" x14ac:dyDescent="0.3">
      <c r="A12" s="26"/>
      <c r="B12" s="210"/>
      <c r="C12" s="9" t="s">
        <v>50</v>
      </c>
      <c r="D12" s="26"/>
      <c r="E12" s="27">
        <v>302290.59000000008</v>
      </c>
      <c r="F12" s="124">
        <v>0.66730814569536445</v>
      </c>
      <c r="G12" s="26"/>
      <c r="H12" s="29">
        <v>453000</v>
      </c>
      <c r="I12" s="29">
        <v>121153.84615384616</v>
      </c>
      <c r="J12" s="29">
        <v>161725.61000000054</v>
      </c>
      <c r="K12" s="31">
        <v>1.3348780507936553</v>
      </c>
      <c r="L12" s="39"/>
      <c r="M12" s="29">
        <v>85322</v>
      </c>
      <c r="N12" s="29">
        <v>22813.871794871793</v>
      </c>
      <c r="O12" s="27">
        <v>0</v>
      </c>
      <c r="P12" s="29">
        <v>32757.66</v>
      </c>
      <c r="Q12" s="31">
        <v>1.4358658755750271</v>
      </c>
      <c r="R12" s="39"/>
      <c r="S12" s="128">
        <v>0.18834878587196469</v>
      </c>
      <c r="T12" s="128">
        <v>0.20255085140813436</v>
      </c>
      <c r="U12" s="39"/>
      <c r="V12" s="29"/>
      <c r="W12" s="32">
        <v>4.3630628445305462</v>
      </c>
      <c r="X12" s="30" t="s">
        <v>69</v>
      </c>
      <c r="Y12" s="39"/>
      <c r="Z12" s="62"/>
      <c r="AA12" s="27">
        <v>15807.692307692309</v>
      </c>
      <c r="AB12" s="27">
        <v>28600.759999999987</v>
      </c>
      <c r="AC12" s="39"/>
      <c r="AD12" s="29">
        <v>2966.7435897435898</v>
      </c>
      <c r="AE12" s="29">
        <v>4394.7800000000007</v>
      </c>
      <c r="AF12" s="31">
        <v>1.4813481067906624</v>
      </c>
      <c r="AG12" s="39"/>
      <c r="AH12" s="29">
        <v>4317.1396428571425</v>
      </c>
      <c r="AI12" s="29">
        <v>122396.36071428572</v>
      </c>
      <c r="AJ12" s="31">
        <v>1.4345228746898306</v>
      </c>
      <c r="AK12" s="39"/>
      <c r="AL12" s="80">
        <v>0.18834878587196469</v>
      </c>
      <c r="AM12" s="80">
        <v>0.15365955310278478</v>
      </c>
      <c r="AN12" s="39"/>
      <c r="AO12" s="32">
        <v>0</v>
      </c>
      <c r="AP12" s="31">
        <v>0</v>
      </c>
      <c r="AQ12" s="10"/>
    </row>
    <row r="13" spans="1:43" ht="8" customHeight="1" x14ac:dyDescent="0.3">
      <c r="B13" s="16"/>
      <c r="D13" s="34"/>
      <c r="E13" s="47"/>
      <c r="F13" s="125"/>
      <c r="G13" s="34"/>
      <c r="H13" s="48"/>
      <c r="I13" s="48"/>
      <c r="J13" s="48"/>
      <c r="K13" s="51"/>
      <c r="L13" s="34"/>
      <c r="M13" s="48"/>
      <c r="N13" s="48"/>
      <c r="O13" s="51"/>
      <c r="P13" s="48"/>
      <c r="Q13" s="47"/>
      <c r="R13" s="34"/>
      <c r="S13" s="51"/>
      <c r="T13" s="51"/>
      <c r="U13" s="34"/>
      <c r="V13" s="48"/>
      <c r="W13" s="52"/>
      <c r="X13" s="48"/>
      <c r="Y13" s="34"/>
      <c r="Z13" s="62"/>
      <c r="AA13" s="47"/>
      <c r="AB13" s="47"/>
      <c r="AC13" s="36"/>
      <c r="AD13" s="48"/>
      <c r="AE13" s="48"/>
      <c r="AF13" s="47"/>
      <c r="AG13" s="36"/>
      <c r="AH13" s="48"/>
      <c r="AI13" s="48"/>
      <c r="AJ13" s="47"/>
      <c r="AK13" s="36"/>
      <c r="AL13" s="49"/>
      <c r="AM13" s="53"/>
      <c r="AN13" s="36"/>
      <c r="AO13" s="52"/>
      <c r="AP13" s="47"/>
    </row>
    <row r="14" spans="1:43" ht="12" customHeight="1" x14ac:dyDescent="0.3">
      <c r="A14" s="7" t="s">
        <v>24</v>
      </c>
      <c r="B14" s="211" t="s">
        <v>25</v>
      </c>
      <c r="C14" s="6" t="s">
        <v>8</v>
      </c>
      <c r="D14" s="34"/>
      <c r="E14" s="33">
        <v>844608.73000000021</v>
      </c>
      <c r="F14" s="131">
        <v>1.5936013773584909</v>
      </c>
      <c r="G14" s="7"/>
      <c r="H14" s="35">
        <v>530000</v>
      </c>
      <c r="I14" s="35">
        <v>142692.30769230769</v>
      </c>
      <c r="J14" s="35">
        <v>137307.45000000054</v>
      </c>
      <c r="K14" s="70">
        <v>0.96226245283019252</v>
      </c>
      <c r="L14" s="36"/>
      <c r="M14" s="35">
        <v>54060</v>
      </c>
      <c r="N14" s="35">
        <v>14554.615384615383</v>
      </c>
      <c r="O14" s="37">
        <v>0</v>
      </c>
      <c r="P14" s="35">
        <v>16413.947450000025</v>
      </c>
      <c r="Q14" s="115">
        <v>1.1277486224301059</v>
      </c>
      <c r="R14" s="36"/>
      <c r="S14" s="127">
        <v>0.10199999999999999</v>
      </c>
      <c r="T14" s="127">
        <v>0.11954156493329357</v>
      </c>
      <c r="U14" s="36"/>
      <c r="V14" s="35"/>
      <c r="W14" s="38">
        <v>2.0475345292629941</v>
      </c>
      <c r="X14" s="69" t="s">
        <v>69</v>
      </c>
      <c r="Y14" s="36"/>
      <c r="Z14" s="62"/>
      <c r="AA14" s="33">
        <v>20384.615384615383</v>
      </c>
      <c r="AB14" s="33">
        <v>15687.249999999965</v>
      </c>
      <c r="AC14" s="36"/>
      <c r="AD14" s="35">
        <v>2079.2307692307691</v>
      </c>
      <c r="AE14" s="35">
        <v>2056.4264500000022</v>
      </c>
      <c r="AF14" s="115">
        <v>0.98903232889382287</v>
      </c>
      <c r="AG14" s="36"/>
      <c r="AH14" s="35">
        <v>2344.8496357142894</v>
      </c>
      <c r="AI14" s="35">
        <v>60966.090528571527</v>
      </c>
      <c r="AJ14" s="115">
        <v>1.1277486224301059</v>
      </c>
      <c r="AK14" s="36"/>
      <c r="AL14" s="108">
        <v>0.10199999999999999</v>
      </c>
      <c r="AM14" s="108">
        <v>0.13108903408819306</v>
      </c>
      <c r="AN14" s="36"/>
      <c r="AO14" s="38">
        <v>2.4760008924443366</v>
      </c>
      <c r="AP14" s="70">
        <v>0</v>
      </c>
    </row>
    <row r="15" spans="1:43" ht="12.75" customHeight="1" x14ac:dyDescent="0.3">
      <c r="A15" s="7" t="s">
        <v>24</v>
      </c>
      <c r="B15" s="211"/>
      <c r="C15" s="6" t="s">
        <v>9</v>
      </c>
      <c r="D15" s="34"/>
      <c r="E15" s="33">
        <v>1177807.6399999992</v>
      </c>
      <c r="F15" s="131">
        <v>1.4021519523809514</v>
      </c>
      <c r="G15" s="7"/>
      <c r="H15" s="35">
        <v>840000</v>
      </c>
      <c r="I15" s="35">
        <v>224000</v>
      </c>
      <c r="J15" s="35">
        <v>316502.97999999218</v>
      </c>
      <c r="K15" s="70">
        <v>1.4129597321428222</v>
      </c>
      <c r="L15" s="36"/>
      <c r="M15" s="35">
        <v>104160</v>
      </c>
      <c r="N15" s="35">
        <v>27776</v>
      </c>
      <c r="O15" s="37">
        <v>60.25</v>
      </c>
      <c r="P15" s="35">
        <v>43403.560000000172</v>
      </c>
      <c r="Q15" s="115">
        <v>1.5626281682027712</v>
      </c>
      <c r="R15" s="36"/>
      <c r="S15" s="127">
        <v>0.124</v>
      </c>
      <c r="T15" s="127">
        <v>0.13713475936309114</v>
      </c>
      <c r="U15" s="36"/>
      <c r="V15" s="35"/>
      <c r="W15" s="38">
        <v>4.2992707367223071</v>
      </c>
      <c r="X15" s="69" t="s">
        <v>69</v>
      </c>
      <c r="Y15" s="36"/>
      <c r="Z15" s="62"/>
      <c r="AA15" s="33">
        <v>28000</v>
      </c>
      <c r="AB15" s="33">
        <v>27239.900000000012</v>
      </c>
      <c r="AC15" s="36"/>
      <c r="AD15" s="35">
        <v>3472</v>
      </c>
      <c r="AE15" s="35">
        <v>3773.8000000000025</v>
      </c>
      <c r="AF15" s="115">
        <v>1.0869239631336414</v>
      </c>
      <c r="AG15" s="36"/>
      <c r="AH15" s="35">
        <v>5425.4450000000215</v>
      </c>
      <c r="AI15" s="35">
        <v>162763.35000000065</v>
      </c>
      <c r="AJ15" s="115">
        <v>1.5626281682027712</v>
      </c>
      <c r="AK15" s="36"/>
      <c r="AL15" s="108">
        <v>0.124</v>
      </c>
      <c r="AM15" s="108">
        <v>0.13853942195088825</v>
      </c>
      <c r="AN15" s="36"/>
      <c r="AO15" s="38">
        <v>3.8739496106814495</v>
      </c>
      <c r="AP15" s="70">
        <v>0</v>
      </c>
    </row>
    <row r="16" spans="1:43" ht="12.75" customHeight="1" x14ac:dyDescent="0.3">
      <c r="A16" s="7" t="s">
        <v>24</v>
      </c>
      <c r="B16" s="211"/>
      <c r="C16" s="6" t="s">
        <v>10</v>
      </c>
      <c r="D16" s="34"/>
      <c r="E16" s="33">
        <v>1727819.7500000014</v>
      </c>
      <c r="F16" s="131">
        <v>1.4047315040650419</v>
      </c>
      <c r="G16" s="7"/>
      <c r="H16" s="35">
        <v>1230000</v>
      </c>
      <c r="I16" s="35">
        <v>328000</v>
      </c>
      <c r="J16" s="35">
        <v>401189.56999998866</v>
      </c>
      <c r="K16" s="70">
        <v>1.2231389329267948</v>
      </c>
      <c r="L16" s="36"/>
      <c r="M16" s="35">
        <v>170891.33832238274</v>
      </c>
      <c r="N16" s="35">
        <v>45571.023552635401</v>
      </c>
      <c r="O16" s="37">
        <v>120.49</v>
      </c>
      <c r="P16" s="35">
        <v>53435.96152999968</v>
      </c>
      <c r="Q16" s="115">
        <v>1.1725863797700335</v>
      </c>
      <c r="R16" s="36"/>
      <c r="S16" s="127">
        <v>0.13893604741657134</v>
      </c>
      <c r="T16" s="127">
        <v>0.13319379546681931</v>
      </c>
      <c r="U16" s="36"/>
      <c r="V16" s="35"/>
      <c r="W16" s="38">
        <v>3.7142444979293696</v>
      </c>
      <c r="X16" s="69" t="s">
        <v>69</v>
      </c>
      <c r="Y16" s="36"/>
      <c r="Z16" s="62"/>
      <c r="AA16" s="33">
        <v>41000</v>
      </c>
      <c r="AB16" s="33">
        <v>43262.410000000178</v>
      </c>
      <c r="AC16" s="36"/>
      <c r="AD16" s="35">
        <v>5696.3779440794251</v>
      </c>
      <c r="AE16" s="35">
        <v>5810.9885299999969</v>
      </c>
      <c r="AF16" s="115">
        <v>1.020119905498843</v>
      </c>
      <c r="AG16" s="36"/>
      <c r="AH16" s="35">
        <v>6679.49519124996</v>
      </c>
      <c r="AI16" s="35">
        <v>200384.85573749879</v>
      </c>
      <c r="AJ16" s="115">
        <v>1.1725863797700335</v>
      </c>
      <c r="AK16" s="36"/>
      <c r="AL16" s="108">
        <v>0.13893604741657134</v>
      </c>
      <c r="AM16" s="108">
        <v>0.13431957512306811</v>
      </c>
      <c r="AN16" s="36"/>
      <c r="AO16" s="38">
        <v>3.6271639282235646</v>
      </c>
      <c r="AP16" s="70">
        <v>0</v>
      </c>
    </row>
    <row r="17" spans="1:43" ht="12.75" customHeight="1" x14ac:dyDescent="0.3">
      <c r="A17" s="7" t="s">
        <v>24</v>
      </c>
      <c r="B17" s="211"/>
      <c r="C17" s="6" t="s">
        <v>12</v>
      </c>
      <c r="D17" s="34"/>
      <c r="E17" s="33">
        <v>48011.25999999998</v>
      </c>
      <c r="F17" s="131">
        <v>1.1431252380952377</v>
      </c>
      <c r="G17" s="7"/>
      <c r="H17" s="35">
        <v>42000</v>
      </c>
      <c r="I17" s="35">
        <v>11307.692307692309</v>
      </c>
      <c r="J17" s="35">
        <v>9067.8099999999667</v>
      </c>
      <c r="K17" s="70">
        <v>0.80191517006802426</v>
      </c>
      <c r="L17" s="36"/>
      <c r="M17" s="35">
        <v>5995.3598738795354</v>
      </c>
      <c r="N17" s="35">
        <v>1614.1353506598748</v>
      </c>
      <c r="O17" s="37">
        <v>500</v>
      </c>
      <c r="P17" s="35">
        <v>1477.48</v>
      </c>
      <c r="Q17" s="115">
        <v>0.91533835709377864</v>
      </c>
      <c r="R17" s="36"/>
      <c r="S17" s="127">
        <v>0.14274666366379846</v>
      </c>
      <c r="T17" s="127">
        <v>0.16293680613069808</v>
      </c>
      <c r="U17" s="36"/>
      <c r="V17" s="35"/>
      <c r="W17" s="38">
        <v>0.6631149086710959</v>
      </c>
      <c r="X17" s="69" t="s">
        <v>69</v>
      </c>
      <c r="Y17" s="36"/>
      <c r="Z17" s="62"/>
      <c r="AA17" s="33">
        <v>1615.3846153846155</v>
      </c>
      <c r="AB17" s="33">
        <v>940.19000000000017</v>
      </c>
      <c r="AC17" s="36"/>
      <c r="AD17" s="35">
        <v>230.59076437998212</v>
      </c>
      <c r="AE17" s="35">
        <v>152.91999999999996</v>
      </c>
      <c r="AF17" s="115">
        <v>0.66316619579788838</v>
      </c>
      <c r="AG17" s="36"/>
      <c r="AH17" s="35">
        <v>211.06857142857143</v>
      </c>
      <c r="AI17" s="35">
        <v>5487.7828571428572</v>
      </c>
      <c r="AJ17" s="115">
        <v>0.91533835709377853</v>
      </c>
      <c r="AK17" s="36"/>
      <c r="AL17" s="108">
        <v>0.14274666366379846</v>
      </c>
      <c r="AM17" s="108">
        <v>0.16264797540922571</v>
      </c>
      <c r="AN17" s="36"/>
      <c r="AO17" s="38">
        <v>5.9604973462810902</v>
      </c>
      <c r="AP17" s="70">
        <v>0</v>
      </c>
    </row>
    <row r="18" spans="1:43" s="15" customFormat="1" ht="14.25" customHeight="1" x14ac:dyDescent="0.3">
      <c r="A18" s="26"/>
      <c r="B18" s="211"/>
      <c r="C18" s="9" t="s">
        <v>26</v>
      </c>
      <c r="D18" s="28"/>
      <c r="E18" s="27">
        <v>3798247.3800000008</v>
      </c>
      <c r="F18" s="124">
        <v>1.437640946252839</v>
      </c>
      <c r="G18" s="26"/>
      <c r="H18" s="29">
        <v>2642000</v>
      </c>
      <c r="I18" s="29">
        <v>706000</v>
      </c>
      <c r="J18" s="29">
        <v>864067.80999998131</v>
      </c>
      <c r="K18" s="31">
        <v>1.223892082152948</v>
      </c>
      <c r="L18" s="39"/>
      <c r="M18" s="29">
        <v>335106.6981962623</v>
      </c>
      <c r="N18" s="29">
        <v>89515.774287910652</v>
      </c>
      <c r="O18" s="27">
        <v>680.74</v>
      </c>
      <c r="P18" s="29">
        <v>114730.94897999987</v>
      </c>
      <c r="Q18" s="31">
        <v>1.2816841488851938</v>
      </c>
      <c r="R18" s="39"/>
      <c r="S18" s="128">
        <v>0.12683826578208263</v>
      </c>
      <c r="T18" s="128">
        <v>0.1327800291275778</v>
      </c>
      <c r="U18" s="39"/>
      <c r="V18" s="29"/>
      <c r="W18" s="32">
        <v>3.631662771928279</v>
      </c>
      <c r="X18" s="30" t="s">
        <v>69</v>
      </c>
      <c r="Y18" s="39"/>
      <c r="Z18" s="62"/>
      <c r="AA18" s="27">
        <v>90999.999999999985</v>
      </c>
      <c r="AB18" s="27">
        <v>87129.75000000016</v>
      </c>
      <c r="AC18" s="39"/>
      <c r="AD18" s="29">
        <v>11478.199477690176</v>
      </c>
      <c r="AE18" s="29">
        <v>11794.134980000001</v>
      </c>
      <c r="AF18" s="31">
        <v>1.0275248311308667</v>
      </c>
      <c r="AG18" s="39"/>
      <c r="AH18" s="29">
        <v>14660.858398392844</v>
      </c>
      <c r="AI18" s="29">
        <v>429602.07912321383</v>
      </c>
      <c r="AJ18" s="31">
        <v>1.2819859508496256</v>
      </c>
      <c r="AK18" s="39"/>
      <c r="AL18" s="80">
        <v>0.12683826578208263</v>
      </c>
      <c r="AM18" s="80">
        <v>0.13536289246784225</v>
      </c>
      <c r="AN18" s="39"/>
      <c r="AO18" s="32">
        <v>0</v>
      </c>
      <c r="AP18" s="31">
        <v>0</v>
      </c>
      <c r="AQ18" s="10"/>
    </row>
    <row r="19" spans="1:43" ht="8" customHeight="1" x14ac:dyDescent="0.3">
      <c r="B19" s="16"/>
      <c r="D19" s="34"/>
      <c r="E19" s="47"/>
      <c r="F19" s="125"/>
      <c r="G19" s="34"/>
      <c r="H19" s="48"/>
      <c r="I19" s="48"/>
      <c r="J19" s="48"/>
      <c r="K19" s="51"/>
      <c r="L19" s="34"/>
      <c r="M19" s="48"/>
      <c r="N19" s="48"/>
      <c r="O19" s="51"/>
      <c r="P19" s="48"/>
      <c r="Q19" s="47"/>
      <c r="R19" s="34"/>
      <c r="S19" s="51"/>
      <c r="T19" s="51"/>
      <c r="U19" s="34"/>
      <c r="V19" s="48"/>
      <c r="W19" s="52"/>
      <c r="X19" s="48"/>
      <c r="Y19" s="34"/>
      <c r="Z19" s="62"/>
      <c r="AA19" s="47"/>
      <c r="AB19" s="47"/>
      <c r="AC19" s="36"/>
      <c r="AD19" s="48"/>
      <c r="AE19" s="48"/>
      <c r="AF19" s="47"/>
      <c r="AG19" s="36"/>
      <c r="AH19" s="48"/>
      <c r="AI19" s="48"/>
      <c r="AJ19" s="47"/>
      <c r="AK19" s="36"/>
      <c r="AL19" s="49"/>
      <c r="AM19" s="53"/>
      <c r="AN19" s="36"/>
      <c r="AO19" s="52"/>
      <c r="AP19" s="47"/>
    </row>
    <row r="20" spans="1:43" ht="12" customHeight="1" x14ac:dyDescent="0.3">
      <c r="A20" s="7" t="s">
        <v>14</v>
      </c>
      <c r="B20" s="211" t="s">
        <v>33</v>
      </c>
      <c r="C20" s="6" t="s">
        <v>8</v>
      </c>
      <c r="D20" s="34"/>
      <c r="E20" s="33">
        <v>78010.690000000031</v>
      </c>
      <c r="F20" s="123">
        <v>0.4457753714285716</v>
      </c>
      <c r="G20" s="7"/>
      <c r="H20" s="35">
        <v>175000</v>
      </c>
      <c r="I20" s="35">
        <v>47115.38461538461</v>
      </c>
      <c r="J20" s="35">
        <v>53977.090000000149</v>
      </c>
      <c r="K20" s="70">
        <v>1.1456361959183707</v>
      </c>
      <c r="L20" s="36"/>
      <c r="M20" s="35">
        <v>31586.694747374659</v>
      </c>
      <c r="N20" s="35">
        <v>8504.1101242931782</v>
      </c>
      <c r="O20" s="37">
        <v>0</v>
      </c>
      <c r="P20" s="35">
        <v>7804.2398899999944</v>
      </c>
      <c r="Q20" s="115">
        <v>0.91770212002618512</v>
      </c>
      <c r="R20" s="36"/>
      <c r="S20" s="127">
        <v>0.18049539855642663</v>
      </c>
      <c r="T20" s="127">
        <v>0.14458430215485815</v>
      </c>
      <c r="U20" s="36"/>
      <c r="V20" s="35"/>
      <c r="W20" s="38">
        <v>-1.8692006367883862</v>
      </c>
      <c r="X20" s="69" t="s">
        <v>69</v>
      </c>
      <c r="Y20" s="36"/>
      <c r="Z20" s="62"/>
      <c r="AA20" s="33">
        <v>6730.7692307692305</v>
      </c>
      <c r="AB20" s="33">
        <v>7604.6799999999976</v>
      </c>
      <c r="AC20" s="36"/>
      <c r="AD20" s="35">
        <v>1214.8728748990254</v>
      </c>
      <c r="AE20" s="35">
        <v>1096.6551799999995</v>
      </c>
      <c r="AF20" s="115">
        <v>0.90269130429893618</v>
      </c>
      <c r="AG20" s="36"/>
      <c r="AH20" s="35">
        <v>1114.8914128571421</v>
      </c>
      <c r="AI20" s="35">
        <v>28987.176734285695</v>
      </c>
      <c r="AJ20" s="115">
        <v>0.91770212002618523</v>
      </c>
      <c r="AK20" s="36"/>
      <c r="AL20" s="108">
        <v>0.18049539855642663</v>
      </c>
      <c r="AM20" s="108">
        <v>0.14420793248368108</v>
      </c>
      <c r="AN20" s="36"/>
      <c r="AO20" s="38">
        <v>-1.8982366121914587</v>
      </c>
      <c r="AP20" s="70">
        <v>0</v>
      </c>
    </row>
    <row r="21" spans="1:43" ht="12.75" customHeight="1" x14ac:dyDescent="0.3">
      <c r="A21" s="7" t="s">
        <v>14</v>
      </c>
      <c r="B21" s="211"/>
      <c r="C21" s="6" t="s">
        <v>9</v>
      </c>
      <c r="D21" s="34"/>
      <c r="E21" s="33">
        <v>81962.510000000068</v>
      </c>
      <c r="F21" s="123">
        <v>0.47652622093023295</v>
      </c>
      <c r="G21" s="7"/>
      <c r="H21" s="35">
        <v>172000</v>
      </c>
      <c r="I21" s="35">
        <v>45866.666666666664</v>
      </c>
      <c r="J21" s="35">
        <v>46932.540000000299</v>
      </c>
      <c r="K21" s="70">
        <v>1.023238517441867</v>
      </c>
      <c r="L21" s="36"/>
      <c r="M21" s="35">
        <v>41280</v>
      </c>
      <c r="N21" s="35">
        <v>11008</v>
      </c>
      <c r="O21" s="37">
        <v>0</v>
      </c>
      <c r="P21" s="35">
        <v>8456.949999999988</v>
      </c>
      <c r="Q21" s="115">
        <v>0.76825490552325471</v>
      </c>
      <c r="R21" s="36"/>
      <c r="S21" s="127">
        <v>0.24</v>
      </c>
      <c r="T21" s="127">
        <v>0.18019374191126103</v>
      </c>
      <c r="U21" s="36"/>
      <c r="V21" s="35"/>
      <c r="W21" s="38">
        <v>1.8294556399468891</v>
      </c>
      <c r="X21" s="69" t="s">
        <v>69</v>
      </c>
      <c r="Y21" s="36"/>
      <c r="Z21" s="62"/>
      <c r="AA21" s="33">
        <v>5733.333333333333</v>
      </c>
      <c r="AB21" s="33">
        <v>4145.7599999999957</v>
      </c>
      <c r="AC21" s="36"/>
      <c r="AD21" s="35">
        <v>1376</v>
      </c>
      <c r="AE21" s="35">
        <v>795.49999999999977</v>
      </c>
      <c r="AF21" s="115">
        <v>0.57812499999999989</v>
      </c>
      <c r="AG21" s="36"/>
      <c r="AH21" s="35">
        <v>1057.1187499999985</v>
      </c>
      <c r="AI21" s="35">
        <v>31713.562499999956</v>
      </c>
      <c r="AJ21" s="115">
        <v>0.76825490552325471</v>
      </c>
      <c r="AK21" s="36"/>
      <c r="AL21" s="108">
        <v>0.24</v>
      </c>
      <c r="AM21" s="108">
        <v>0.1918827910925863</v>
      </c>
      <c r="AN21" s="36"/>
      <c r="AO21" s="38">
        <v>3.8091930068309501</v>
      </c>
      <c r="AP21" s="70">
        <v>0</v>
      </c>
    </row>
    <row r="22" spans="1:43" ht="12.75" customHeight="1" x14ac:dyDescent="0.3">
      <c r="A22" s="7" t="s">
        <v>14</v>
      </c>
      <c r="B22" s="211"/>
      <c r="C22" s="6" t="s">
        <v>10</v>
      </c>
      <c r="D22" s="34"/>
      <c r="E22" s="33">
        <v>162075.51999999993</v>
      </c>
      <c r="F22" s="123">
        <v>0.57884114285714261</v>
      </c>
      <c r="G22" s="7"/>
      <c r="H22" s="35">
        <v>280000</v>
      </c>
      <c r="I22" s="35">
        <v>74666.666666666672</v>
      </c>
      <c r="J22" s="35">
        <v>86407.660000000178</v>
      </c>
      <c r="K22" s="70">
        <v>1.1572454464285737</v>
      </c>
      <c r="L22" s="36"/>
      <c r="M22" s="35">
        <v>68733.380989284502</v>
      </c>
      <c r="N22" s="35">
        <v>18328.901597142532</v>
      </c>
      <c r="O22" s="37">
        <v>0</v>
      </c>
      <c r="P22" s="35">
        <v>19863.504860000015</v>
      </c>
      <c r="Q22" s="115">
        <v>1.0837258716636204</v>
      </c>
      <c r="R22" s="36"/>
      <c r="S22" s="127">
        <v>0.24547636067601608</v>
      </c>
      <c r="T22" s="127">
        <v>0.22988129594066053</v>
      </c>
      <c r="U22" s="36"/>
      <c r="V22" s="35"/>
      <c r="W22" s="38">
        <v>7.0924671030323125</v>
      </c>
      <c r="X22" s="69" t="s">
        <v>69</v>
      </c>
      <c r="Y22" s="36"/>
      <c r="Z22" s="62"/>
      <c r="AA22" s="33">
        <v>9333.3333333333339</v>
      </c>
      <c r="AB22" s="33">
        <v>13590.859999999986</v>
      </c>
      <c r="AC22" s="36"/>
      <c r="AD22" s="35">
        <v>2291.1126996428166</v>
      </c>
      <c r="AE22" s="35">
        <v>3016.6485300000004</v>
      </c>
      <c r="AF22" s="115">
        <v>1.3166740031908053</v>
      </c>
      <c r="AG22" s="36"/>
      <c r="AH22" s="35">
        <v>2482.9381075000019</v>
      </c>
      <c r="AI22" s="35">
        <v>74488.143225000065</v>
      </c>
      <c r="AJ22" s="115">
        <v>1.0837258716636204</v>
      </c>
      <c r="AK22" s="36"/>
      <c r="AL22" s="108">
        <v>0.24547636067601608</v>
      </c>
      <c r="AM22" s="108">
        <v>0.22196156313875676</v>
      </c>
      <c r="AN22" s="36"/>
      <c r="AO22" s="38">
        <v>6.790067221647381</v>
      </c>
      <c r="AP22" s="70">
        <v>0</v>
      </c>
    </row>
    <row r="23" spans="1:43" ht="12.75" customHeight="1" x14ac:dyDescent="0.3">
      <c r="A23" s="7" t="s">
        <v>14</v>
      </c>
      <c r="B23" s="211"/>
      <c r="C23" s="6" t="s">
        <v>12</v>
      </c>
      <c r="D23" s="34"/>
      <c r="E23" s="33">
        <v>61166.170000000027</v>
      </c>
      <c r="F23" s="123">
        <v>6.7962411111111148E-2</v>
      </c>
      <c r="G23" s="7"/>
      <c r="H23" s="35">
        <v>900000</v>
      </c>
      <c r="I23" s="35">
        <v>242307.69230769231</v>
      </c>
      <c r="J23" s="35">
        <v>227689.42</v>
      </c>
      <c r="K23" s="70">
        <v>0.93967062222222231</v>
      </c>
      <c r="L23" s="36"/>
      <c r="M23" s="35">
        <v>230888.65095804792</v>
      </c>
      <c r="N23" s="35">
        <v>62162.329104089818</v>
      </c>
      <c r="O23" s="37">
        <v>11532</v>
      </c>
      <c r="P23" s="35">
        <v>31361.929999999997</v>
      </c>
      <c r="Q23" s="115">
        <v>0.50451664942420271</v>
      </c>
      <c r="R23" s="36"/>
      <c r="S23" s="127">
        <v>0.25654294550894213</v>
      </c>
      <c r="T23" s="127">
        <v>0.13773995295872771</v>
      </c>
      <c r="U23" s="36"/>
      <c r="V23" s="35"/>
      <c r="W23" s="38">
        <v>-7.7232398413593266</v>
      </c>
      <c r="X23" s="69" t="s">
        <v>69</v>
      </c>
      <c r="Y23" s="36"/>
      <c r="Z23" s="62"/>
      <c r="AA23" s="33">
        <v>34615.384615384617</v>
      </c>
      <c r="AB23" s="33">
        <v>17371.91</v>
      </c>
      <c r="AC23" s="36"/>
      <c r="AD23" s="35">
        <v>8880.3327291556889</v>
      </c>
      <c r="AE23" s="35">
        <v>2708.6599999999989</v>
      </c>
      <c r="AF23" s="115">
        <v>0.30501785041308122</v>
      </c>
      <c r="AG23" s="36"/>
      <c r="AH23" s="35">
        <v>4480.2757142857135</v>
      </c>
      <c r="AI23" s="35">
        <v>116487.16857142856</v>
      </c>
      <c r="AJ23" s="115">
        <v>0.50451664942420271</v>
      </c>
      <c r="AK23" s="36"/>
      <c r="AL23" s="108">
        <v>0.25654294550894213</v>
      </c>
      <c r="AM23" s="108">
        <v>0.15592183012691171</v>
      </c>
      <c r="AN23" s="36"/>
      <c r="AO23" s="38">
        <v>-1.0398396031294166</v>
      </c>
      <c r="AP23" s="70">
        <v>0</v>
      </c>
    </row>
    <row r="24" spans="1:43" s="15" customFormat="1" ht="14.25" customHeight="1" x14ac:dyDescent="0.3">
      <c r="A24" s="26"/>
      <c r="B24" s="211"/>
      <c r="C24" s="9" t="s">
        <v>34</v>
      </c>
      <c r="D24" s="28"/>
      <c r="E24" s="27">
        <v>383214.89000000007</v>
      </c>
      <c r="F24" s="124">
        <v>0.25095932547478722</v>
      </c>
      <c r="G24" s="26"/>
      <c r="H24" s="29">
        <v>1527000</v>
      </c>
      <c r="I24" s="29">
        <v>409956.41025641025</v>
      </c>
      <c r="J24" s="29">
        <v>415006.71000000066</v>
      </c>
      <c r="K24" s="31">
        <v>1.0123191139770973</v>
      </c>
      <c r="L24" s="39"/>
      <c r="M24" s="29">
        <v>372488.72669470706</v>
      </c>
      <c r="N24" s="29">
        <v>100003.34082552552</v>
      </c>
      <c r="O24" s="27">
        <v>11532</v>
      </c>
      <c r="P24" s="29">
        <v>67486.624749999988</v>
      </c>
      <c r="Q24" s="31">
        <v>0.67484370214934108</v>
      </c>
      <c r="R24" s="39"/>
      <c r="S24" s="128">
        <v>0.24393498801225086</v>
      </c>
      <c r="T24" s="128">
        <v>0.16261574361050662</v>
      </c>
      <c r="U24" s="39"/>
      <c r="V24" s="29"/>
      <c r="W24" s="32">
        <v>-2.7967970084145004</v>
      </c>
      <c r="X24" s="30" t="s">
        <v>69</v>
      </c>
      <c r="Y24" s="39"/>
      <c r="Z24" s="62"/>
      <c r="AA24" s="27">
        <v>56412.820512820515</v>
      </c>
      <c r="AB24" s="27">
        <v>42713.209999999977</v>
      </c>
      <c r="AC24" s="39"/>
      <c r="AD24" s="29">
        <v>13762.318303697532</v>
      </c>
      <c r="AE24" s="29">
        <v>7617.4637099999991</v>
      </c>
      <c r="AF24" s="31">
        <v>0.55350149167480089</v>
      </c>
      <c r="AG24" s="39"/>
      <c r="AH24" s="29">
        <v>9135.2239846428565</v>
      </c>
      <c r="AI24" s="29">
        <v>251676.0510307143</v>
      </c>
      <c r="AJ24" s="31">
        <v>0.67566085358870143</v>
      </c>
      <c r="AK24" s="39"/>
      <c r="AL24" s="80">
        <v>0.24393498801225086</v>
      </c>
      <c r="AM24" s="80">
        <v>0.17833976210170116</v>
      </c>
      <c r="AN24" s="39"/>
      <c r="AO24" s="32">
        <v>0</v>
      </c>
      <c r="AP24" s="31">
        <v>0</v>
      </c>
      <c r="AQ24" s="10"/>
    </row>
    <row r="25" spans="1:43" ht="8" customHeight="1" x14ac:dyDescent="0.3">
      <c r="B25" s="16"/>
      <c r="D25" s="34"/>
      <c r="E25" s="47"/>
      <c r="F25" s="125"/>
      <c r="G25" s="34"/>
      <c r="H25" s="48"/>
      <c r="I25" s="48"/>
      <c r="J25" s="48"/>
      <c r="K25" s="51"/>
      <c r="L25" s="34"/>
      <c r="M25" s="48"/>
      <c r="N25" s="48"/>
      <c r="O25" s="51"/>
      <c r="P25" s="48"/>
      <c r="Q25" s="47"/>
      <c r="R25" s="34"/>
      <c r="S25" s="51"/>
      <c r="T25" s="51"/>
      <c r="U25" s="34"/>
      <c r="V25" s="48"/>
      <c r="W25" s="52"/>
      <c r="X25" s="48"/>
      <c r="Y25" s="34"/>
      <c r="Z25" s="62"/>
      <c r="AA25" s="47"/>
      <c r="AB25" s="47"/>
      <c r="AC25" s="36"/>
      <c r="AD25" s="48"/>
      <c r="AE25" s="48"/>
      <c r="AF25" s="47"/>
      <c r="AG25" s="36"/>
      <c r="AH25" s="48"/>
      <c r="AI25" s="48"/>
      <c r="AJ25" s="47"/>
      <c r="AK25" s="36"/>
      <c r="AL25" s="49"/>
      <c r="AM25" s="53"/>
      <c r="AN25" s="36"/>
      <c r="AO25" s="52"/>
      <c r="AP25" s="47"/>
    </row>
    <row r="26" spans="1:43" ht="12.75" customHeight="1" x14ac:dyDescent="0.3">
      <c r="A26" s="7" t="s">
        <v>18</v>
      </c>
      <c r="B26" s="211" t="s">
        <v>53</v>
      </c>
      <c r="C26" s="6" t="s">
        <v>8</v>
      </c>
      <c r="D26" s="34"/>
      <c r="E26" s="33">
        <v>191287.1699999999</v>
      </c>
      <c r="F26" s="123">
        <v>0.5796580909090906</v>
      </c>
      <c r="G26" s="7"/>
      <c r="H26" s="35">
        <v>330000</v>
      </c>
      <c r="I26" s="35">
        <v>88846.153846153844</v>
      </c>
      <c r="J26" s="35">
        <v>112626.93</v>
      </c>
      <c r="K26" s="70">
        <v>1.2676624155844156</v>
      </c>
      <c r="L26" s="36"/>
      <c r="M26" s="35">
        <v>45867.685825971581</v>
      </c>
      <c r="N26" s="35">
        <v>12348.99233776158</v>
      </c>
      <c r="O26" s="37">
        <v>0</v>
      </c>
      <c r="P26" s="35">
        <v>11338.373099999984</v>
      </c>
      <c r="Q26" s="115">
        <v>0.91816180542348735</v>
      </c>
      <c r="R26" s="36"/>
      <c r="S26" s="127">
        <v>0.13899298735142904</v>
      </c>
      <c r="T26" s="127">
        <v>0.10067195385686163</v>
      </c>
      <c r="U26" s="36"/>
      <c r="V26" s="35"/>
      <c r="W26" s="38">
        <v>-4.4038374303552335</v>
      </c>
      <c r="X26" s="69" t="s">
        <v>69</v>
      </c>
      <c r="Y26" s="36"/>
      <c r="Z26" s="62"/>
      <c r="AA26" s="33">
        <v>12692.307692307691</v>
      </c>
      <c r="AB26" s="33">
        <v>12114.859999999986</v>
      </c>
      <c r="AC26" s="36"/>
      <c r="AD26" s="35">
        <v>1764.1417625373685</v>
      </c>
      <c r="AE26" s="35">
        <v>1547.2359999999994</v>
      </c>
      <c r="AF26" s="115">
        <v>0.87704743057304357</v>
      </c>
      <c r="AG26" s="36"/>
      <c r="AH26" s="35">
        <v>1619.7675857142835</v>
      </c>
      <c r="AI26" s="35">
        <v>42113.957228571373</v>
      </c>
      <c r="AJ26" s="115">
        <v>0.91816180542348746</v>
      </c>
      <c r="AK26" s="36"/>
      <c r="AL26" s="108">
        <v>0.13899298735142904</v>
      </c>
      <c r="AM26" s="108">
        <v>0.12771389846849251</v>
      </c>
      <c r="AN26" s="36"/>
      <c r="AO26" s="38">
        <v>-1.7301396796992632</v>
      </c>
      <c r="AP26" s="70">
        <v>0</v>
      </c>
    </row>
    <row r="27" spans="1:43" ht="12.75" customHeight="1" x14ac:dyDescent="0.3">
      <c r="A27" s="7" t="s">
        <v>18</v>
      </c>
      <c r="B27" s="211"/>
      <c r="C27" s="6" t="s">
        <v>9</v>
      </c>
      <c r="D27" s="34"/>
      <c r="E27" s="33">
        <v>162897.8599999999</v>
      </c>
      <c r="F27" s="123">
        <v>0.56171675862068926</v>
      </c>
      <c r="G27" s="7"/>
      <c r="H27" s="35">
        <v>290000</v>
      </c>
      <c r="I27" s="35">
        <v>77333.333333333328</v>
      </c>
      <c r="J27" s="35">
        <v>75758.370000000185</v>
      </c>
      <c r="K27" s="70">
        <v>0.97963409482758868</v>
      </c>
      <c r="L27" s="36"/>
      <c r="M27" s="35">
        <v>49010</v>
      </c>
      <c r="N27" s="35">
        <v>13069.333333333334</v>
      </c>
      <c r="O27" s="37">
        <v>0</v>
      </c>
      <c r="P27" s="35">
        <v>12014.439999999948</v>
      </c>
      <c r="Q27" s="115">
        <v>0.91928483982860232</v>
      </c>
      <c r="R27" s="36"/>
      <c r="S27" s="127">
        <v>0.16900000000000001</v>
      </c>
      <c r="T27" s="127">
        <v>0.15858894535349582</v>
      </c>
      <c r="U27" s="36"/>
      <c r="V27" s="35"/>
      <c r="W27" s="38">
        <v>2.3914453280877908</v>
      </c>
      <c r="X27" s="69" t="s">
        <v>69</v>
      </c>
      <c r="Y27" s="36"/>
      <c r="Z27" s="62"/>
      <c r="AA27" s="33">
        <v>9666.6666666666661</v>
      </c>
      <c r="AB27" s="33">
        <v>9427.7099999999682</v>
      </c>
      <c r="AC27" s="36"/>
      <c r="AD27" s="35">
        <v>1633.6666666666667</v>
      </c>
      <c r="AE27" s="35">
        <v>1422.8699999999992</v>
      </c>
      <c r="AF27" s="115">
        <v>0.87096714956131349</v>
      </c>
      <c r="AG27" s="36"/>
      <c r="AH27" s="35">
        <v>1501.8049999999935</v>
      </c>
      <c r="AI27" s="35">
        <v>45054.149999999805</v>
      </c>
      <c r="AJ27" s="115">
        <v>0.91928483982860243</v>
      </c>
      <c r="AK27" s="36"/>
      <c r="AL27" s="108">
        <v>0.16900000000000001</v>
      </c>
      <c r="AM27" s="108">
        <v>0.15092424353315959</v>
      </c>
      <c r="AN27" s="36"/>
      <c r="AO27" s="38">
        <v>1.3226966039469457</v>
      </c>
      <c r="AP27" s="70">
        <v>0</v>
      </c>
    </row>
    <row r="28" spans="1:43" ht="12.75" customHeight="1" x14ac:dyDescent="0.3">
      <c r="A28" s="7" t="s">
        <v>18</v>
      </c>
      <c r="B28" s="211"/>
      <c r="C28" s="6" t="s">
        <v>10</v>
      </c>
      <c r="D28" s="34"/>
      <c r="E28" s="33">
        <v>367209.84999999974</v>
      </c>
      <c r="F28" s="123">
        <v>0.87430916666666603</v>
      </c>
      <c r="G28" s="7"/>
      <c r="H28" s="35">
        <v>420000</v>
      </c>
      <c r="I28" s="35">
        <v>112000</v>
      </c>
      <c r="J28" s="35">
        <v>119964.69000000195</v>
      </c>
      <c r="K28" s="70">
        <v>1.071113303571446</v>
      </c>
      <c r="L28" s="36"/>
      <c r="M28" s="35">
        <v>79380</v>
      </c>
      <c r="N28" s="35">
        <v>21168</v>
      </c>
      <c r="O28" s="37">
        <v>0</v>
      </c>
      <c r="P28" s="35">
        <v>21707.564949999978</v>
      </c>
      <c r="Q28" s="115">
        <v>1.0254896518329544</v>
      </c>
      <c r="R28" s="36"/>
      <c r="S28" s="127">
        <v>0.189</v>
      </c>
      <c r="T28" s="127">
        <v>0.18094961900872353</v>
      </c>
      <c r="U28" s="36"/>
      <c r="V28" s="35"/>
      <c r="W28" s="38">
        <v>4.3057460907888885</v>
      </c>
      <c r="X28" s="69" t="s">
        <v>69</v>
      </c>
      <c r="Y28" s="36"/>
      <c r="Z28" s="62"/>
      <c r="AA28" s="33">
        <v>14000</v>
      </c>
      <c r="AB28" s="33">
        <v>18398.299999999945</v>
      </c>
      <c r="AC28" s="36"/>
      <c r="AD28" s="35">
        <v>2646</v>
      </c>
      <c r="AE28" s="35">
        <v>2892.1122499999983</v>
      </c>
      <c r="AF28" s="115">
        <v>1.0930129440665148</v>
      </c>
      <c r="AG28" s="36"/>
      <c r="AH28" s="35">
        <v>2713.4456187499973</v>
      </c>
      <c r="AI28" s="35">
        <v>81403.36856249992</v>
      </c>
      <c r="AJ28" s="115">
        <v>1.0254896518329544</v>
      </c>
      <c r="AK28" s="36"/>
      <c r="AL28" s="108">
        <v>0.189</v>
      </c>
      <c r="AM28" s="108">
        <v>0.15719453699526625</v>
      </c>
      <c r="AN28" s="36"/>
      <c r="AO28" s="38">
        <v>1.844639178619466</v>
      </c>
      <c r="AP28" s="70">
        <v>0</v>
      </c>
    </row>
    <row r="29" spans="1:43" ht="12.75" customHeight="1" x14ac:dyDescent="0.3">
      <c r="A29" s="7" t="s">
        <v>18</v>
      </c>
      <c r="B29" s="211"/>
      <c r="C29" s="6" t="s">
        <v>12</v>
      </c>
      <c r="D29" s="34"/>
      <c r="E29" s="33">
        <v>20451.650000000001</v>
      </c>
      <c r="F29" s="123">
        <v>3.8588018867924533E-2</v>
      </c>
      <c r="G29" s="7"/>
      <c r="H29" s="35">
        <v>530000</v>
      </c>
      <c r="I29" s="35">
        <v>142692.30769230769</v>
      </c>
      <c r="J29" s="35">
        <v>110487.34000000017</v>
      </c>
      <c r="K29" s="70">
        <v>0.77430480862533813</v>
      </c>
      <c r="L29" s="36"/>
      <c r="M29" s="35">
        <v>116600</v>
      </c>
      <c r="N29" s="35">
        <v>31392.307692307695</v>
      </c>
      <c r="O29" s="37">
        <v>0</v>
      </c>
      <c r="P29" s="35">
        <v>14695.689999999991</v>
      </c>
      <c r="Q29" s="115">
        <v>0.46813028669443735</v>
      </c>
      <c r="R29" s="36"/>
      <c r="S29" s="127">
        <v>0.22</v>
      </c>
      <c r="T29" s="127">
        <v>0.13300790841738039</v>
      </c>
      <c r="U29" s="36"/>
      <c r="V29" s="35"/>
      <c r="W29" s="38">
        <v>-0.51916355303679107</v>
      </c>
      <c r="X29" s="69" t="s">
        <v>69</v>
      </c>
      <c r="Y29" s="36"/>
      <c r="Z29" s="62"/>
      <c r="AA29" s="33">
        <v>20384.615384615383</v>
      </c>
      <c r="AB29" s="33">
        <v>4422.49</v>
      </c>
      <c r="AC29" s="36"/>
      <c r="AD29" s="35">
        <v>4484.6153846153848</v>
      </c>
      <c r="AE29" s="35">
        <v>1087.7499999999998</v>
      </c>
      <c r="AF29" s="115">
        <v>0.24255145797598621</v>
      </c>
      <c r="AG29" s="36"/>
      <c r="AH29" s="35">
        <v>2099.3842857142845</v>
      </c>
      <c r="AI29" s="35">
        <v>54583.991428571397</v>
      </c>
      <c r="AJ29" s="115">
        <v>0.46813028669443735</v>
      </c>
      <c r="AK29" s="36"/>
      <c r="AL29" s="108">
        <v>0.22</v>
      </c>
      <c r="AM29" s="108">
        <v>0.24595872460989168</v>
      </c>
      <c r="AN29" s="36"/>
      <c r="AO29" s="38">
        <v>8.7274363537283257</v>
      </c>
      <c r="AP29" s="70">
        <v>0</v>
      </c>
    </row>
    <row r="30" spans="1:43" s="15" customFormat="1" ht="14.25" customHeight="1" x14ac:dyDescent="0.3">
      <c r="A30" s="26"/>
      <c r="B30" s="211"/>
      <c r="C30" s="9" t="s">
        <v>54</v>
      </c>
      <c r="D30" s="28"/>
      <c r="E30" s="27">
        <v>741846.52999999956</v>
      </c>
      <c r="F30" s="124">
        <v>0.4725137133757959</v>
      </c>
      <c r="G30" s="26"/>
      <c r="H30" s="29">
        <v>1570000</v>
      </c>
      <c r="I30" s="29">
        <v>420871.79487179487</v>
      </c>
      <c r="J30" s="29">
        <v>418837.33000000229</v>
      </c>
      <c r="K30" s="31">
        <v>0.99516606981845313</v>
      </c>
      <c r="L30" s="39"/>
      <c r="M30" s="29">
        <v>290857.6858259716</v>
      </c>
      <c r="N30" s="29">
        <v>77978.633363402609</v>
      </c>
      <c r="O30" s="27">
        <v>0</v>
      </c>
      <c r="P30" s="29">
        <v>59756.0680499999</v>
      </c>
      <c r="Q30" s="31">
        <v>0.76631335370446452</v>
      </c>
      <c r="R30" s="39"/>
      <c r="S30" s="128">
        <v>0.18525967250061884</v>
      </c>
      <c r="T30" s="128">
        <v>0.14267130403586417</v>
      </c>
      <c r="U30" s="39"/>
      <c r="V30" s="29"/>
      <c r="W30" s="32">
        <v>0.34466317746861858</v>
      </c>
      <c r="X30" s="30" t="s">
        <v>69</v>
      </c>
      <c r="Y30" s="39"/>
      <c r="Z30" s="62"/>
      <c r="AA30" s="27">
        <v>56743.589743589742</v>
      </c>
      <c r="AB30" s="27">
        <v>44363.359999999899</v>
      </c>
      <c r="AC30" s="39"/>
      <c r="AD30" s="29">
        <v>10528.42381381942</v>
      </c>
      <c r="AE30" s="29">
        <v>6949.9682499999972</v>
      </c>
      <c r="AF30" s="31">
        <v>0.66011478763588471</v>
      </c>
      <c r="AG30" s="39"/>
      <c r="AH30" s="29">
        <v>7934.4024901785588</v>
      </c>
      <c r="AI30" s="29">
        <v>223155.46721964248</v>
      </c>
      <c r="AJ30" s="31">
        <v>0.76723249236453983</v>
      </c>
      <c r="AK30" s="39"/>
      <c r="AL30" s="80">
        <v>0.18525967250061884</v>
      </c>
      <c r="AM30" s="80">
        <v>0.1566600963046986</v>
      </c>
      <c r="AN30" s="39"/>
      <c r="AO30" s="32">
        <v>0</v>
      </c>
      <c r="AP30" s="31">
        <v>0</v>
      </c>
      <c r="AQ30" s="10"/>
    </row>
    <row r="31" spans="1:43" ht="8" customHeight="1" x14ac:dyDescent="0.3">
      <c r="B31" s="16"/>
      <c r="D31" s="34"/>
      <c r="E31" s="47"/>
      <c r="F31" s="125"/>
      <c r="G31" s="34"/>
      <c r="H31" s="48"/>
      <c r="I31" s="48"/>
      <c r="J31" s="48"/>
      <c r="K31" s="51"/>
      <c r="L31" s="34"/>
      <c r="M31" s="48"/>
      <c r="N31" s="48"/>
      <c r="O31" s="51"/>
      <c r="P31" s="48"/>
      <c r="Q31" s="47"/>
      <c r="R31" s="34"/>
      <c r="S31" s="51"/>
      <c r="T31" s="51"/>
      <c r="U31" s="34"/>
      <c r="V31" s="48"/>
      <c r="W31" s="52"/>
      <c r="X31" s="48"/>
      <c r="Y31" s="34"/>
      <c r="Z31" s="62"/>
      <c r="AA31" s="47"/>
      <c r="AB31" s="47"/>
      <c r="AC31" s="36"/>
      <c r="AD31" s="48"/>
      <c r="AE31" s="48"/>
      <c r="AF31" s="47"/>
      <c r="AG31" s="36"/>
      <c r="AH31" s="48"/>
      <c r="AI31" s="48"/>
      <c r="AJ31" s="47"/>
      <c r="AK31" s="36"/>
      <c r="AL31" s="49"/>
      <c r="AM31" s="53"/>
      <c r="AN31" s="36"/>
      <c r="AO31" s="52"/>
      <c r="AP31" s="47"/>
    </row>
    <row r="32" spans="1:43" ht="12.75" customHeight="1" x14ac:dyDescent="0.3">
      <c r="A32" s="7" t="s">
        <v>16</v>
      </c>
      <c r="B32" s="211" t="s">
        <v>57</v>
      </c>
      <c r="C32" s="6" t="s">
        <v>8</v>
      </c>
      <c r="D32" s="34"/>
      <c r="E32" s="33">
        <v>379041.83999999997</v>
      </c>
      <c r="F32" s="123">
        <v>0.24142792356687895</v>
      </c>
      <c r="G32" s="7"/>
      <c r="H32" s="35">
        <v>1570000</v>
      </c>
      <c r="I32" s="35">
        <v>422692.30769230769</v>
      </c>
      <c r="J32" s="35">
        <v>469903.7899999998</v>
      </c>
      <c r="K32" s="70">
        <v>1.1116923148316646</v>
      </c>
      <c r="L32" s="36"/>
      <c r="M32" s="35">
        <v>109900.00000000001</v>
      </c>
      <c r="N32" s="35">
        <v>29588.461538461539</v>
      </c>
      <c r="O32" s="37">
        <v>0</v>
      </c>
      <c r="P32" s="35">
        <v>43646.838400000001</v>
      </c>
      <c r="Q32" s="115">
        <v>1.4751303761861432</v>
      </c>
      <c r="R32" s="36"/>
      <c r="S32" s="127">
        <v>7.0000000000000007E-2</v>
      </c>
      <c r="T32" s="127">
        <v>9.2884627297856057E-2</v>
      </c>
      <c r="U32" s="36"/>
      <c r="V32" s="35"/>
      <c r="W32" s="38">
        <v>-7.5093545425544788</v>
      </c>
      <c r="X32" s="69" t="s">
        <v>69</v>
      </c>
      <c r="Y32" s="36"/>
      <c r="Z32" s="62"/>
      <c r="AA32" s="33">
        <v>60384.615384615383</v>
      </c>
      <c r="AB32" s="33">
        <v>87307.6</v>
      </c>
      <c r="AC32" s="36"/>
      <c r="AD32" s="35">
        <v>4226.9230769230771</v>
      </c>
      <c r="AE32" s="35">
        <v>9784.2700000000041</v>
      </c>
      <c r="AF32" s="115">
        <v>2.3147499545040953</v>
      </c>
      <c r="AG32" s="36"/>
      <c r="AH32" s="35">
        <v>6235.2626285714286</v>
      </c>
      <c r="AI32" s="35">
        <v>162116.82834285713</v>
      </c>
      <c r="AJ32" s="115">
        <v>1.475130376186143</v>
      </c>
      <c r="AK32" s="36"/>
      <c r="AL32" s="108">
        <v>7.0000000000000007E-2</v>
      </c>
      <c r="AM32" s="108">
        <v>0.1120666471189221</v>
      </c>
      <c r="AN32" s="36"/>
      <c r="AO32" s="38">
        <v>-7.7262116929110656</v>
      </c>
      <c r="AP32" s="70">
        <v>0</v>
      </c>
    </row>
    <row r="33" spans="1:43" ht="12.75" customHeight="1" x14ac:dyDescent="0.3">
      <c r="A33" s="7" t="s">
        <v>16</v>
      </c>
      <c r="B33" s="211"/>
      <c r="C33" s="6" t="s">
        <v>9</v>
      </c>
      <c r="D33" s="34"/>
      <c r="E33" s="33">
        <v>204502.45999999993</v>
      </c>
      <c r="F33" s="123">
        <v>0.32984267741935475</v>
      </c>
      <c r="G33" s="7"/>
      <c r="H33" s="35">
        <v>620000</v>
      </c>
      <c r="I33" s="35">
        <v>165333.33333333334</v>
      </c>
      <c r="J33" s="35">
        <v>169874.74999999959</v>
      </c>
      <c r="K33" s="70">
        <v>1.0274682459677393</v>
      </c>
      <c r="L33" s="36"/>
      <c r="M33" s="35">
        <v>92380</v>
      </c>
      <c r="N33" s="35">
        <v>24634.666666666668</v>
      </c>
      <c r="O33" s="37">
        <v>0</v>
      </c>
      <c r="P33" s="35">
        <v>24119.599999999991</v>
      </c>
      <c r="Q33" s="115">
        <v>0.97909179476077035</v>
      </c>
      <c r="R33" s="36"/>
      <c r="S33" s="127">
        <v>0.14899999999999999</v>
      </c>
      <c r="T33" s="127">
        <v>0.14198460924887335</v>
      </c>
      <c r="U33" s="36"/>
      <c r="V33" s="35"/>
      <c r="W33" s="38">
        <v>-1.1204961302374259</v>
      </c>
      <c r="X33" s="69" t="s">
        <v>69</v>
      </c>
      <c r="Y33" s="36"/>
      <c r="Z33" s="62"/>
      <c r="AA33" s="33">
        <v>20666.666666666668</v>
      </c>
      <c r="AB33" s="33">
        <v>14655.099999999995</v>
      </c>
      <c r="AC33" s="36"/>
      <c r="AD33" s="35">
        <v>3079.3333333333335</v>
      </c>
      <c r="AE33" s="35">
        <v>1850.3899999999999</v>
      </c>
      <c r="AF33" s="115">
        <v>0.60090604026845629</v>
      </c>
      <c r="AG33" s="36"/>
      <c r="AH33" s="35">
        <v>3014.9499999999989</v>
      </c>
      <c r="AI33" s="35">
        <v>90448.499999999971</v>
      </c>
      <c r="AJ33" s="115">
        <v>0.97909179476077046</v>
      </c>
      <c r="AK33" s="36"/>
      <c r="AL33" s="108">
        <v>0.14899999999999999</v>
      </c>
      <c r="AM33" s="108">
        <v>0.12626252976779417</v>
      </c>
      <c r="AN33" s="36"/>
      <c r="AO33" s="38">
        <v>1.5557723932225372E-2</v>
      </c>
      <c r="AP33" s="70">
        <v>0</v>
      </c>
    </row>
    <row r="34" spans="1:43" ht="12.75" customHeight="1" x14ac:dyDescent="0.3">
      <c r="A34" s="7" t="s">
        <v>16</v>
      </c>
      <c r="B34" s="211"/>
      <c r="C34" s="6" t="s">
        <v>10</v>
      </c>
      <c r="D34" s="34"/>
      <c r="E34" s="33">
        <v>545591.17999999993</v>
      </c>
      <c r="F34" s="123">
        <v>0.32866938554216862</v>
      </c>
      <c r="G34" s="7"/>
      <c r="H34" s="35">
        <v>1660000</v>
      </c>
      <c r="I34" s="35">
        <v>442666.66666666669</v>
      </c>
      <c r="J34" s="35">
        <v>509495.38999999879</v>
      </c>
      <c r="K34" s="70">
        <v>1.1509685015060214</v>
      </c>
      <c r="L34" s="36"/>
      <c r="M34" s="35">
        <v>224100.00000000003</v>
      </c>
      <c r="N34" s="35">
        <v>59760.000000000007</v>
      </c>
      <c r="O34" s="37">
        <v>0</v>
      </c>
      <c r="P34" s="35">
        <v>75785.607199999984</v>
      </c>
      <c r="Q34" s="115">
        <v>1.2681661178045511</v>
      </c>
      <c r="R34" s="36"/>
      <c r="S34" s="127">
        <v>0.13500000000000001</v>
      </c>
      <c r="T34" s="127">
        <v>0.14874640416275436</v>
      </c>
      <c r="U34" s="36"/>
      <c r="V34" s="35"/>
      <c r="W34" s="38">
        <v>-1.4903143284578273</v>
      </c>
      <c r="X34" s="69" t="s">
        <v>69</v>
      </c>
      <c r="Y34" s="36"/>
      <c r="Z34" s="62"/>
      <c r="AA34" s="33">
        <v>55333.333333333336</v>
      </c>
      <c r="AB34" s="33">
        <v>44437.659999999989</v>
      </c>
      <c r="AC34" s="36"/>
      <c r="AD34" s="35">
        <v>7470.0000000000009</v>
      </c>
      <c r="AE34" s="35">
        <v>5950.1044000000047</v>
      </c>
      <c r="AF34" s="115">
        <v>0.79653338688085729</v>
      </c>
      <c r="AG34" s="36"/>
      <c r="AH34" s="35">
        <v>9473.200899999998</v>
      </c>
      <c r="AI34" s="35">
        <v>284196.02699999994</v>
      </c>
      <c r="AJ34" s="115">
        <v>1.2681661178045511</v>
      </c>
      <c r="AK34" s="36"/>
      <c r="AL34" s="108">
        <v>0.13500000000000001</v>
      </c>
      <c r="AM34" s="108">
        <v>0.13389778849741427</v>
      </c>
      <c r="AN34" s="36"/>
      <c r="AO34" s="38">
        <v>-0.96988815342667445</v>
      </c>
      <c r="AP34" s="70">
        <v>0</v>
      </c>
    </row>
    <row r="35" spans="1:43" ht="12.75" customHeight="1" x14ac:dyDescent="0.3">
      <c r="A35" s="7" t="s">
        <v>16</v>
      </c>
      <c r="B35" s="211"/>
      <c r="C35" s="6" t="s">
        <v>12</v>
      </c>
      <c r="D35" s="34"/>
      <c r="E35" s="33">
        <v>135522.94</v>
      </c>
      <c r="F35" s="123">
        <v>0.23366024137931035</v>
      </c>
      <c r="G35" s="7"/>
      <c r="H35" s="35">
        <v>580000</v>
      </c>
      <c r="I35" s="35">
        <v>156153.84615384616</v>
      </c>
      <c r="J35" s="35">
        <v>138261.10000000003</v>
      </c>
      <c r="K35" s="70">
        <v>0.88541591133004949</v>
      </c>
      <c r="L35" s="36"/>
      <c r="M35" s="35">
        <v>34800</v>
      </c>
      <c r="N35" s="35">
        <v>9369.2307692307695</v>
      </c>
      <c r="O35" s="37">
        <v>0</v>
      </c>
      <c r="P35" s="35">
        <v>19475.759999999998</v>
      </c>
      <c r="Q35" s="115">
        <v>2.0786935960591131</v>
      </c>
      <c r="R35" s="36"/>
      <c r="S35" s="127">
        <v>0.06</v>
      </c>
      <c r="T35" s="127">
        <v>0.14086218032403905</v>
      </c>
      <c r="U35" s="36"/>
      <c r="V35" s="35"/>
      <c r="W35" s="38">
        <v>-3.4904611636967888</v>
      </c>
      <c r="X35" s="69" t="s">
        <v>69</v>
      </c>
      <c r="Y35" s="36"/>
      <c r="Z35" s="62"/>
      <c r="AA35" s="33">
        <v>22307.692307692309</v>
      </c>
      <c r="AB35" s="33">
        <v>30689.46</v>
      </c>
      <c r="AC35" s="36"/>
      <c r="AD35" s="35">
        <v>1338.4615384615386</v>
      </c>
      <c r="AE35" s="35">
        <v>3320.29</v>
      </c>
      <c r="AF35" s="115">
        <v>2.480676436781609</v>
      </c>
      <c r="AG35" s="36"/>
      <c r="AH35" s="35">
        <v>2782.2514285714283</v>
      </c>
      <c r="AI35" s="35">
        <v>72338.537142857138</v>
      </c>
      <c r="AJ35" s="115">
        <v>2.0786935960591131</v>
      </c>
      <c r="AK35" s="36"/>
      <c r="AL35" s="108">
        <v>0.06</v>
      </c>
      <c r="AM35" s="108">
        <v>0.10818991275832159</v>
      </c>
      <c r="AN35" s="36"/>
      <c r="AO35" s="38">
        <v>-3.7328450875316812</v>
      </c>
      <c r="AP35" s="70">
        <v>0</v>
      </c>
    </row>
    <row r="36" spans="1:43" s="15" customFormat="1" ht="17" customHeight="1" x14ac:dyDescent="0.3">
      <c r="A36" s="26"/>
      <c r="B36" s="211"/>
      <c r="C36" s="9" t="s">
        <v>58</v>
      </c>
      <c r="D36" s="28"/>
      <c r="E36" s="27">
        <v>1264658.42</v>
      </c>
      <c r="F36" s="124">
        <v>0.28547594130925508</v>
      </c>
      <c r="G36" s="26"/>
      <c r="H36" s="29">
        <v>4430000</v>
      </c>
      <c r="I36" s="29">
        <v>1186846.153846154</v>
      </c>
      <c r="J36" s="29">
        <v>1287535.0299999982</v>
      </c>
      <c r="K36" s="31">
        <v>1.0848373446107962</v>
      </c>
      <c r="L36" s="39"/>
      <c r="M36" s="29">
        <v>461180</v>
      </c>
      <c r="N36" s="29">
        <v>123352.35897435898</v>
      </c>
      <c r="O36" s="27">
        <v>0</v>
      </c>
      <c r="P36" s="29">
        <v>163027.80559999996</v>
      </c>
      <c r="Q36" s="31">
        <v>1.3216431931706165</v>
      </c>
      <c r="R36" s="39"/>
      <c r="S36" s="128">
        <v>0.1041038374717833</v>
      </c>
      <c r="T36" s="128">
        <v>0.12662009328010299</v>
      </c>
      <c r="U36" s="39"/>
      <c r="V36" s="29"/>
      <c r="W36" s="32">
        <v>-3.8530380334586525</v>
      </c>
      <c r="X36" s="30" t="s">
        <v>69</v>
      </c>
      <c r="Y36" s="39"/>
      <c r="Z36" s="62"/>
      <c r="AA36" s="27">
        <v>158692.30769230769</v>
      </c>
      <c r="AB36" s="27">
        <v>177089.81999999998</v>
      </c>
      <c r="AC36" s="39"/>
      <c r="AD36" s="29">
        <v>16114.717948717949</v>
      </c>
      <c r="AE36" s="29">
        <v>20905.054400000008</v>
      </c>
      <c r="AF36" s="31">
        <v>1.2972646785706334</v>
      </c>
      <c r="AG36" s="39"/>
      <c r="AH36" s="29">
        <v>21505.664957142853</v>
      </c>
      <c r="AI36" s="29">
        <v>609099.89248571417</v>
      </c>
      <c r="AJ36" s="31">
        <v>1.3207422101689452</v>
      </c>
      <c r="AK36" s="39"/>
      <c r="AL36" s="80">
        <v>0.1041038374717833</v>
      </c>
      <c r="AM36" s="80">
        <v>0.11804774774744257</v>
      </c>
      <c r="AN36" s="39"/>
      <c r="AO36" s="32">
        <v>0</v>
      </c>
      <c r="AP36" s="31">
        <v>0</v>
      </c>
      <c r="AQ36" s="10"/>
    </row>
    <row r="37" spans="1:43" ht="8" customHeight="1" x14ac:dyDescent="0.3">
      <c r="B37" s="16"/>
      <c r="D37" s="34"/>
      <c r="E37" s="47"/>
      <c r="F37" s="125"/>
      <c r="G37" s="34"/>
      <c r="H37" s="48"/>
      <c r="I37" s="48"/>
      <c r="J37" s="48"/>
      <c r="K37" s="51"/>
      <c r="L37" s="34"/>
      <c r="M37" s="48"/>
      <c r="N37" s="48"/>
      <c r="O37" s="51"/>
      <c r="P37" s="48"/>
      <c r="Q37" s="47"/>
      <c r="R37" s="34"/>
      <c r="S37" s="51"/>
      <c r="T37" s="51"/>
      <c r="U37" s="34"/>
      <c r="V37" s="48"/>
      <c r="W37" s="52"/>
      <c r="X37" s="48"/>
      <c r="Y37" s="34"/>
      <c r="Z37" s="62"/>
      <c r="AA37" s="47"/>
      <c r="AB37" s="47"/>
      <c r="AC37" s="36"/>
      <c r="AD37" s="48"/>
      <c r="AE37" s="48"/>
      <c r="AF37" s="47"/>
      <c r="AG37" s="36"/>
      <c r="AH37" s="48"/>
      <c r="AI37" s="48"/>
      <c r="AJ37" s="47"/>
      <c r="AK37" s="36"/>
      <c r="AL37" s="49"/>
      <c r="AM37" s="53"/>
      <c r="AN37" s="36"/>
      <c r="AO37" s="52"/>
      <c r="AP37" s="47"/>
    </row>
    <row r="38" spans="1:43" ht="12.75" customHeight="1" x14ac:dyDescent="0.3">
      <c r="A38" s="7" t="s">
        <v>19</v>
      </c>
      <c r="B38" s="211" t="s">
        <v>31</v>
      </c>
      <c r="C38" s="6" t="s">
        <v>8</v>
      </c>
      <c r="D38" s="34"/>
      <c r="E38" s="33">
        <v>117267.30999999997</v>
      </c>
      <c r="F38" s="123">
        <v>0.49065820083681994</v>
      </c>
      <c r="G38" s="7"/>
      <c r="H38" s="35">
        <v>239000</v>
      </c>
      <c r="I38" s="35">
        <v>64346.153846153844</v>
      </c>
      <c r="J38" s="35">
        <v>62531.410000000142</v>
      </c>
      <c r="K38" s="70">
        <v>0.97179716676629035</v>
      </c>
      <c r="L38" s="36"/>
      <c r="M38" s="35">
        <v>25095</v>
      </c>
      <c r="N38" s="35">
        <v>6756.3461538461543</v>
      </c>
      <c r="O38" s="37">
        <v>0</v>
      </c>
      <c r="P38" s="35">
        <v>7722.2524000000012</v>
      </c>
      <c r="Q38" s="115">
        <v>1.1429628121708935</v>
      </c>
      <c r="R38" s="36"/>
      <c r="S38" s="127">
        <v>0.105</v>
      </c>
      <c r="T38" s="127">
        <v>0.12349397526778916</v>
      </c>
      <c r="U38" s="36"/>
      <c r="V38" s="35"/>
      <c r="W38" s="38">
        <v>-0.15836457230048812</v>
      </c>
      <c r="X38" s="69" t="s">
        <v>69</v>
      </c>
      <c r="Y38" s="36"/>
      <c r="Z38" s="62"/>
      <c r="AA38" s="33">
        <v>9192.3076923076915</v>
      </c>
      <c r="AB38" s="33">
        <v>8457.7299999999905</v>
      </c>
      <c r="AC38" s="36"/>
      <c r="AD38" s="35">
        <v>965.19230769230774</v>
      </c>
      <c r="AE38" s="35">
        <v>935.69759999999951</v>
      </c>
      <c r="AF38" s="115">
        <v>0.96944162582187632</v>
      </c>
      <c r="AG38" s="36"/>
      <c r="AH38" s="35">
        <v>1103.1789142857144</v>
      </c>
      <c r="AI38" s="35">
        <v>28682.651771428576</v>
      </c>
      <c r="AJ38" s="115">
        <v>1.1429628121708937</v>
      </c>
      <c r="AK38" s="36"/>
      <c r="AL38" s="108">
        <v>0.105</v>
      </c>
      <c r="AM38" s="108">
        <v>0.11063223820103037</v>
      </c>
      <c r="AN38" s="36"/>
      <c r="AO38" s="38">
        <v>-1.0084549873312494</v>
      </c>
      <c r="AP38" s="70">
        <v>0</v>
      </c>
    </row>
    <row r="39" spans="1:43" ht="12.75" customHeight="1" x14ac:dyDescent="0.3">
      <c r="A39" s="7" t="s">
        <v>19</v>
      </c>
      <c r="B39" s="211"/>
      <c r="C39" s="6" t="s">
        <v>9</v>
      </c>
      <c r="D39" s="34"/>
      <c r="E39" s="33">
        <v>189722.83999999979</v>
      </c>
      <c r="F39" s="123">
        <v>0.33284708771929788</v>
      </c>
      <c r="G39" s="7"/>
      <c r="H39" s="35">
        <v>570000</v>
      </c>
      <c r="I39" s="35">
        <v>152000</v>
      </c>
      <c r="J39" s="35">
        <v>157171.3500000007</v>
      </c>
      <c r="K39" s="70">
        <v>1.0340220394736888</v>
      </c>
      <c r="L39" s="36"/>
      <c r="M39" s="35">
        <v>91142.999999999985</v>
      </c>
      <c r="N39" s="35">
        <v>24304.799999999996</v>
      </c>
      <c r="O39" s="37">
        <v>0</v>
      </c>
      <c r="P39" s="35">
        <v>23327.800000000116</v>
      </c>
      <c r="Q39" s="115">
        <v>0.95980217899345477</v>
      </c>
      <c r="R39" s="36"/>
      <c r="S39" s="127">
        <v>0.15989999999999999</v>
      </c>
      <c r="T39" s="127">
        <v>0.14842272462506692</v>
      </c>
      <c r="U39" s="36"/>
      <c r="V39" s="35"/>
      <c r="W39" s="38">
        <v>4.0253137737893043</v>
      </c>
      <c r="X39" s="69" t="s">
        <v>69</v>
      </c>
      <c r="Y39" s="36"/>
      <c r="Z39" s="62"/>
      <c r="AA39" s="33">
        <v>19000</v>
      </c>
      <c r="AB39" s="33">
        <v>16056.129999999928</v>
      </c>
      <c r="AC39" s="36"/>
      <c r="AD39" s="35">
        <v>3038.0999999999995</v>
      </c>
      <c r="AE39" s="35">
        <v>2348.9599999999964</v>
      </c>
      <c r="AF39" s="115">
        <v>0.77316744017642502</v>
      </c>
      <c r="AG39" s="36"/>
      <c r="AH39" s="35">
        <v>2915.9750000000145</v>
      </c>
      <c r="AI39" s="35">
        <v>87479.250000000437</v>
      </c>
      <c r="AJ39" s="115">
        <v>0.95980217899345477</v>
      </c>
      <c r="AK39" s="36"/>
      <c r="AL39" s="108">
        <v>0.15989999999999999</v>
      </c>
      <c r="AM39" s="108">
        <v>0.14629677263450203</v>
      </c>
      <c r="AN39" s="36"/>
      <c r="AO39" s="38">
        <v>4.0960057000032615</v>
      </c>
      <c r="AP39" s="70">
        <v>0</v>
      </c>
    </row>
    <row r="40" spans="1:43" ht="12.75" customHeight="1" x14ac:dyDescent="0.3">
      <c r="A40" s="7" t="s">
        <v>19</v>
      </c>
      <c r="B40" s="211"/>
      <c r="C40" s="6" t="s">
        <v>10</v>
      </c>
      <c r="D40" s="34"/>
      <c r="E40" s="33">
        <v>334879.68000000017</v>
      </c>
      <c r="F40" s="123">
        <v>0.36399965217391322</v>
      </c>
      <c r="G40" s="7"/>
      <c r="H40" s="35">
        <v>920000</v>
      </c>
      <c r="I40" s="35">
        <v>245333.33333333334</v>
      </c>
      <c r="J40" s="35">
        <v>258581.32999999399</v>
      </c>
      <c r="K40" s="70">
        <v>1.053999986413019</v>
      </c>
      <c r="L40" s="36"/>
      <c r="M40" s="35">
        <v>158240</v>
      </c>
      <c r="N40" s="35">
        <v>42197.333333333336</v>
      </c>
      <c r="O40" s="37">
        <v>736.7</v>
      </c>
      <c r="P40" s="35">
        <v>43526.943200000314</v>
      </c>
      <c r="Q40" s="115">
        <v>1.031509333923162</v>
      </c>
      <c r="R40" s="36"/>
      <c r="S40" s="127">
        <v>0.17199999999999999</v>
      </c>
      <c r="T40" s="127">
        <v>0.16832979859760688</v>
      </c>
      <c r="U40" s="36"/>
      <c r="V40" s="35"/>
      <c r="W40" s="38">
        <v>5.8104361981567152</v>
      </c>
      <c r="X40" s="69" t="s">
        <v>69</v>
      </c>
      <c r="Y40" s="36"/>
      <c r="Z40" s="62"/>
      <c r="AA40" s="33">
        <v>30666.666666666668</v>
      </c>
      <c r="AB40" s="33">
        <v>35524.300000000163</v>
      </c>
      <c r="AC40" s="36"/>
      <c r="AD40" s="35">
        <v>5274.666666666667</v>
      </c>
      <c r="AE40" s="35">
        <v>5229.9719999999861</v>
      </c>
      <c r="AF40" s="115">
        <v>0.99152654196157464</v>
      </c>
      <c r="AG40" s="36"/>
      <c r="AH40" s="35">
        <v>5440.8679000000393</v>
      </c>
      <c r="AI40" s="35">
        <v>163226.03700000118</v>
      </c>
      <c r="AJ40" s="115">
        <v>1.031509333923162</v>
      </c>
      <c r="AK40" s="36"/>
      <c r="AL40" s="108">
        <v>0.17199999999999999</v>
      </c>
      <c r="AM40" s="108">
        <v>0.14722238017357026</v>
      </c>
      <c r="AN40" s="36"/>
      <c r="AO40" s="38">
        <v>3.5315037875487412</v>
      </c>
      <c r="AP40" s="70">
        <v>0</v>
      </c>
    </row>
    <row r="41" spans="1:43" ht="12.75" customHeight="1" x14ac:dyDescent="0.3">
      <c r="A41" s="7" t="s">
        <v>19</v>
      </c>
      <c r="B41" s="211"/>
      <c r="C41" s="6" t="s">
        <v>12</v>
      </c>
      <c r="D41" s="34"/>
      <c r="E41" s="33">
        <v>22908.119999999988</v>
      </c>
      <c r="F41" s="123">
        <v>0.35243261538461518</v>
      </c>
      <c r="G41" s="7"/>
      <c r="H41" s="35">
        <v>65000</v>
      </c>
      <c r="I41" s="35">
        <v>17500</v>
      </c>
      <c r="J41" s="35">
        <v>6918.5799999999781</v>
      </c>
      <c r="K41" s="70">
        <v>0.3953474285714273</v>
      </c>
      <c r="L41" s="36"/>
      <c r="M41" s="35">
        <v>10543.019453627085</v>
      </c>
      <c r="N41" s="35">
        <v>2838.5052375149844</v>
      </c>
      <c r="O41" s="37">
        <v>1385.27</v>
      </c>
      <c r="P41" s="35">
        <v>2296.41</v>
      </c>
      <c r="Q41" s="115">
        <v>0.80902087818954649</v>
      </c>
      <c r="R41" s="36"/>
      <c r="S41" s="127">
        <v>0.16220029928657054</v>
      </c>
      <c r="T41" s="127">
        <v>0.33191926667032934</v>
      </c>
      <c r="U41" s="36"/>
      <c r="V41" s="35"/>
      <c r="W41" s="38">
        <v>-0.89339141847062775</v>
      </c>
      <c r="X41" s="69" t="s">
        <v>69</v>
      </c>
      <c r="Y41" s="36"/>
      <c r="Z41" s="62"/>
      <c r="AA41" s="33">
        <v>2500</v>
      </c>
      <c r="AB41" s="33">
        <v>336.71000000000009</v>
      </c>
      <c r="AC41" s="36"/>
      <c r="AD41" s="35">
        <v>405.50074821642636</v>
      </c>
      <c r="AE41" s="35">
        <v>43.14</v>
      </c>
      <c r="AF41" s="115">
        <v>0.10638698002346238</v>
      </c>
      <c r="AG41" s="36"/>
      <c r="AH41" s="35">
        <v>328.05857142857138</v>
      </c>
      <c r="AI41" s="35">
        <v>8529.5228571428561</v>
      </c>
      <c r="AJ41" s="115">
        <v>0.80902087818954649</v>
      </c>
      <c r="AK41" s="36"/>
      <c r="AL41" s="108">
        <v>0.16220029928657054</v>
      </c>
      <c r="AM41" s="108">
        <v>0.12812212289507288</v>
      </c>
      <c r="AN41" s="36"/>
      <c r="AO41" s="38">
        <v>3.1985982002316637</v>
      </c>
      <c r="AP41" s="70">
        <v>0</v>
      </c>
    </row>
    <row r="42" spans="1:43" s="15" customFormat="1" ht="14.25" customHeight="1" x14ac:dyDescent="0.3">
      <c r="A42" s="26"/>
      <c r="B42" s="211"/>
      <c r="C42" s="9" t="s">
        <v>30</v>
      </c>
      <c r="D42" s="28"/>
      <c r="E42" s="27">
        <v>664777.94999999995</v>
      </c>
      <c r="F42" s="124">
        <v>0.37055627090301002</v>
      </c>
      <c r="G42" s="26"/>
      <c r="H42" s="29">
        <v>1794000</v>
      </c>
      <c r="I42" s="29">
        <v>479179.48717948719</v>
      </c>
      <c r="J42" s="29">
        <v>485202.6699999948</v>
      </c>
      <c r="K42" s="31">
        <v>1.012569784353585</v>
      </c>
      <c r="L42" s="39"/>
      <c r="M42" s="29">
        <v>285021.01945362706</v>
      </c>
      <c r="N42" s="29">
        <v>76096.98472469447</v>
      </c>
      <c r="O42" s="27">
        <v>2121.9700000000003</v>
      </c>
      <c r="P42" s="29">
        <v>76873.405600000435</v>
      </c>
      <c r="Q42" s="31">
        <v>1.0102030438934593</v>
      </c>
      <c r="R42" s="39"/>
      <c r="S42" s="128">
        <v>0.15887459278351565</v>
      </c>
      <c r="T42" s="128">
        <v>0.15843566071060833</v>
      </c>
      <c r="U42" s="39"/>
      <c r="V42" s="29"/>
      <c r="W42" s="32">
        <v>4.3673513997760116</v>
      </c>
      <c r="X42" s="30" t="s">
        <v>69</v>
      </c>
      <c r="Y42" s="39"/>
      <c r="Z42" s="62"/>
      <c r="AA42" s="27">
        <v>61358.974358974359</v>
      </c>
      <c r="AB42" s="27">
        <v>60374.870000000083</v>
      </c>
      <c r="AC42" s="39"/>
      <c r="AD42" s="29">
        <v>9683.4597225754005</v>
      </c>
      <c r="AE42" s="29">
        <v>8557.7695999999814</v>
      </c>
      <c r="AF42" s="31">
        <v>0.8837512464732975</v>
      </c>
      <c r="AG42" s="39"/>
      <c r="AH42" s="29">
        <v>9788.0803857143401</v>
      </c>
      <c r="AI42" s="29">
        <v>287917.46162857302</v>
      </c>
      <c r="AJ42" s="31">
        <v>1.0101622055120647</v>
      </c>
      <c r="AK42" s="39"/>
      <c r="AL42" s="80">
        <v>0.15887459278351565</v>
      </c>
      <c r="AM42" s="80">
        <v>0.14174390106347176</v>
      </c>
      <c r="AN42" s="39"/>
      <c r="AO42" s="32">
        <v>0</v>
      </c>
      <c r="AP42" s="31">
        <v>0</v>
      </c>
      <c r="AQ42" s="10"/>
    </row>
    <row r="43" spans="1:43" ht="8" customHeight="1" x14ac:dyDescent="0.3">
      <c r="B43" s="16"/>
      <c r="D43" s="34"/>
      <c r="E43" s="47"/>
      <c r="F43" s="125"/>
      <c r="G43" s="34"/>
      <c r="H43" s="48"/>
      <c r="I43" s="48"/>
      <c r="J43" s="48"/>
      <c r="K43" s="51"/>
      <c r="L43" s="34"/>
      <c r="M43" s="48"/>
      <c r="N43" s="48"/>
      <c r="O43" s="51"/>
      <c r="P43" s="48"/>
      <c r="Q43" s="47"/>
      <c r="R43" s="34"/>
      <c r="S43" s="51"/>
      <c r="T43" s="51"/>
      <c r="U43" s="34"/>
      <c r="V43" s="48"/>
      <c r="W43" s="52"/>
      <c r="X43" s="48"/>
      <c r="Y43" s="34"/>
      <c r="Z43" s="62"/>
      <c r="AA43" s="47"/>
      <c r="AB43" s="47"/>
      <c r="AC43" s="36"/>
      <c r="AD43" s="48"/>
      <c r="AE43" s="48"/>
      <c r="AF43" s="47"/>
      <c r="AG43" s="36"/>
      <c r="AH43" s="48"/>
      <c r="AI43" s="48"/>
      <c r="AJ43" s="47"/>
      <c r="AK43" s="36"/>
      <c r="AL43" s="49"/>
      <c r="AM43" s="53"/>
      <c r="AN43" s="36"/>
      <c r="AO43" s="52"/>
      <c r="AP43" s="47"/>
    </row>
    <row r="44" spans="1:43" ht="12.75" customHeight="1" x14ac:dyDescent="0.3">
      <c r="A44" s="7" t="s">
        <v>20</v>
      </c>
      <c r="B44" s="211" t="s">
        <v>27</v>
      </c>
      <c r="C44" s="6" t="s">
        <v>8</v>
      </c>
      <c r="D44" s="34"/>
      <c r="E44" s="33">
        <v>613352.80999999971</v>
      </c>
      <c r="F44" s="123">
        <v>3.3334391847826073</v>
      </c>
      <c r="G44" s="7"/>
      <c r="H44" s="35">
        <v>184000</v>
      </c>
      <c r="I44" s="35">
        <v>49538.461538461539</v>
      </c>
      <c r="J44" s="35">
        <v>51865.119999999828</v>
      </c>
      <c r="K44" s="70">
        <v>1.0469667080745306</v>
      </c>
      <c r="L44" s="36"/>
      <c r="M44" s="35">
        <v>22080</v>
      </c>
      <c r="N44" s="35">
        <v>5944.6153846153848</v>
      </c>
      <c r="O44" s="37">
        <v>0</v>
      </c>
      <c r="P44" s="35">
        <v>5145.7894499999938</v>
      </c>
      <c r="Q44" s="115">
        <v>0.86562193128881881</v>
      </c>
      <c r="R44" s="36"/>
      <c r="S44" s="127">
        <v>0.12</v>
      </c>
      <c r="T44" s="127">
        <v>9.9214837447595045E-2</v>
      </c>
      <c r="U44" s="36"/>
      <c r="V44" s="35"/>
      <c r="W44" s="38">
        <v>5.3040367013258358E-2</v>
      </c>
      <c r="X44" s="69" t="s">
        <v>69</v>
      </c>
      <c r="Y44" s="36"/>
      <c r="Z44" s="62"/>
      <c r="AA44" s="33">
        <v>7076.9230769230771</v>
      </c>
      <c r="AB44" s="33">
        <v>5140.439999999975</v>
      </c>
      <c r="AC44" s="36"/>
      <c r="AD44" s="35">
        <v>849.23076923076928</v>
      </c>
      <c r="AE44" s="35">
        <v>826.57120000000054</v>
      </c>
      <c r="AF44" s="115">
        <v>0.97331753623188466</v>
      </c>
      <c r="AG44" s="36"/>
      <c r="AH44" s="35">
        <v>735.11277857142773</v>
      </c>
      <c r="AI44" s="35">
        <v>19112.932242857121</v>
      </c>
      <c r="AJ44" s="115">
        <v>0.86562193128881892</v>
      </c>
      <c r="AK44" s="36"/>
      <c r="AL44" s="108">
        <v>0.12</v>
      </c>
      <c r="AM44" s="108">
        <v>0.1607977527215578</v>
      </c>
      <c r="AN44" s="36"/>
      <c r="AO44" s="38">
        <v>5.0649594198157546</v>
      </c>
      <c r="AP44" s="70">
        <v>0</v>
      </c>
    </row>
    <row r="45" spans="1:43" ht="12.75" customHeight="1" x14ac:dyDescent="0.3">
      <c r="A45" s="7" t="s">
        <v>20</v>
      </c>
      <c r="B45" s="211"/>
      <c r="C45" s="6" t="s">
        <v>9</v>
      </c>
      <c r="D45" s="34"/>
      <c r="E45" s="33">
        <v>1013351.6099999984</v>
      </c>
      <c r="F45" s="123">
        <v>2.3843567294117607</v>
      </c>
      <c r="G45" s="7"/>
      <c r="H45" s="35">
        <v>425000</v>
      </c>
      <c r="I45" s="35">
        <v>113333.33333333333</v>
      </c>
      <c r="J45" s="35">
        <v>114254.91000000476</v>
      </c>
      <c r="K45" s="70">
        <v>1.0081315588235715</v>
      </c>
      <c r="L45" s="36"/>
      <c r="M45" s="35">
        <v>67649.851647662959</v>
      </c>
      <c r="N45" s="35">
        <v>18039.960439376788</v>
      </c>
      <c r="O45" s="37">
        <v>254.1</v>
      </c>
      <c r="P45" s="35">
        <v>24310.449999999764</v>
      </c>
      <c r="Q45" s="115">
        <v>1.347588875357844</v>
      </c>
      <c r="R45" s="36"/>
      <c r="S45" s="127">
        <v>0.15917612152391283</v>
      </c>
      <c r="T45" s="127">
        <v>0.21277378801487612</v>
      </c>
      <c r="U45" s="36"/>
      <c r="V45" s="35"/>
      <c r="W45" s="38">
        <v>10.681142718509104</v>
      </c>
      <c r="X45" s="69" t="s">
        <v>69</v>
      </c>
      <c r="Y45" s="36"/>
      <c r="Z45" s="62"/>
      <c r="AA45" s="33">
        <v>14166.666666666666</v>
      </c>
      <c r="AB45" s="33">
        <v>10335.739999999922</v>
      </c>
      <c r="AC45" s="36"/>
      <c r="AD45" s="35">
        <v>2254.9950549220985</v>
      </c>
      <c r="AE45" s="35">
        <v>2090.2300000000005</v>
      </c>
      <c r="AF45" s="115">
        <v>0.9269332965664574</v>
      </c>
      <c r="AG45" s="36"/>
      <c r="AH45" s="35">
        <v>3038.8062499999705</v>
      </c>
      <c r="AI45" s="35">
        <v>91164.187499999112</v>
      </c>
      <c r="AJ45" s="115">
        <v>1.347588875357844</v>
      </c>
      <c r="AK45" s="36"/>
      <c r="AL45" s="108">
        <v>0.15917612152391283</v>
      </c>
      <c r="AM45" s="108">
        <v>0.20223322181092174</v>
      </c>
      <c r="AN45" s="36"/>
      <c r="AO45" s="38">
        <v>9.9768376526492357</v>
      </c>
      <c r="AP45" s="70">
        <v>0</v>
      </c>
    </row>
    <row r="46" spans="1:43" ht="12.75" customHeight="1" x14ac:dyDescent="0.3">
      <c r="A46" s="7" t="s">
        <v>20</v>
      </c>
      <c r="B46" s="211"/>
      <c r="C46" s="6" t="s">
        <v>10</v>
      </c>
      <c r="D46" s="34"/>
      <c r="E46" s="33">
        <v>1284126.9100000011</v>
      </c>
      <c r="F46" s="123">
        <v>2.2528542280701775</v>
      </c>
      <c r="G46" s="7"/>
      <c r="H46" s="35">
        <v>570000</v>
      </c>
      <c r="I46" s="35">
        <v>152000</v>
      </c>
      <c r="J46" s="35">
        <v>151469.42000000298</v>
      </c>
      <c r="K46" s="70">
        <v>0.99650934210528275</v>
      </c>
      <c r="L46" s="36"/>
      <c r="M46" s="35">
        <v>95190</v>
      </c>
      <c r="N46" s="35">
        <v>25384</v>
      </c>
      <c r="O46" s="37">
        <v>196.65</v>
      </c>
      <c r="P46" s="35">
        <v>29147.894699999797</v>
      </c>
      <c r="Q46" s="115">
        <v>1.148278234320824</v>
      </c>
      <c r="R46" s="36"/>
      <c r="S46" s="127">
        <v>0.16700000000000001</v>
      </c>
      <c r="T46" s="127">
        <v>0.19243418704580253</v>
      </c>
      <c r="U46" s="36"/>
      <c r="V46" s="35"/>
      <c r="W46" s="38">
        <v>8.4871155511144654</v>
      </c>
      <c r="X46" s="69" t="s">
        <v>69</v>
      </c>
      <c r="Y46" s="36"/>
      <c r="Z46" s="62"/>
      <c r="AA46" s="33">
        <v>19000</v>
      </c>
      <c r="AB46" s="33">
        <v>14784.459999999892</v>
      </c>
      <c r="AC46" s="36"/>
      <c r="AD46" s="35">
        <v>3173</v>
      </c>
      <c r="AE46" s="35">
        <v>2949.1206900000016</v>
      </c>
      <c r="AF46" s="115">
        <v>0.92944238575480664</v>
      </c>
      <c r="AG46" s="36"/>
      <c r="AH46" s="35">
        <v>3643.4868374999746</v>
      </c>
      <c r="AI46" s="35">
        <v>109304.60512499925</v>
      </c>
      <c r="AJ46" s="115">
        <v>1.148278234320824</v>
      </c>
      <c r="AK46" s="36"/>
      <c r="AL46" s="108">
        <v>0.16700000000000001</v>
      </c>
      <c r="AM46" s="108">
        <v>0.19947435956403028</v>
      </c>
      <c r="AN46" s="36"/>
      <c r="AO46" s="38">
        <v>9.3762686631768002</v>
      </c>
      <c r="AP46" s="70">
        <v>0</v>
      </c>
    </row>
    <row r="47" spans="1:43" ht="12.75" customHeight="1" x14ac:dyDescent="0.3">
      <c r="A47" s="7" t="s">
        <v>20</v>
      </c>
      <c r="B47" s="211"/>
      <c r="C47" s="6" t="s">
        <v>12</v>
      </c>
      <c r="D47" s="34"/>
      <c r="E47" s="33">
        <v>47446.469999999958</v>
      </c>
      <c r="F47" s="123">
        <v>1.9769362499999983</v>
      </c>
      <c r="G47" s="7"/>
      <c r="H47" s="35">
        <v>24000</v>
      </c>
      <c r="I47" s="35">
        <v>6461.5384615384619</v>
      </c>
      <c r="J47" s="35">
        <v>6724.5199999999531</v>
      </c>
      <c r="K47" s="70">
        <v>1.0406995238095165</v>
      </c>
      <c r="L47" s="36"/>
      <c r="M47" s="35">
        <v>4080.0000000000005</v>
      </c>
      <c r="N47" s="35">
        <v>1098.4615384615386</v>
      </c>
      <c r="O47" s="37">
        <v>0</v>
      </c>
      <c r="P47" s="35">
        <v>1071.2000000000003</v>
      </c>
      <c r="Q47" s="115">
        <v>0.97518207282913183</v>
      </c>
      <c r="R47" s="36"/>
      <c r="S47" s="127">
        <v>0.17</v>
      </c>
      <c r="T47" s="127">
        <v>0.1592976152944757</v>
      </c>
      <c r="U47" s="36"/>
      <c r="V47" s="35"/>
      <c r="W47" s="38">
        <v>4.7546888105018237</v>
      </c>
      <c r="X47" s="69" t="s">
        <v>69</v>
      </c>
      <c r="Y47" s="36"/>
      <c r="Z47" s="62"/>
      <c r="AA47" s="33">
        <v>923.07692307692309</v>
      </c>
      <c r="AB47" s="33">
        <v>2171.17</v>
      </c>
      <c r="AC47" s="36"/>
      <c r="AD47" s="35">
        <v>156.92307692307693</v>
      </c>
      <c r="AE47" s="35">
        <v>245.96000000000015</v>
      </c>
      <c r="AF47" s="115">
        <v>1.567392156862746</v>
      </c>
      <c r="AG47" s="36"/>
      <c r="AH47" s="35">
        <v>153.02857142857147</v>
      </c>
      <c r="AI47" s="35">
        <v>3978.7428571428582</v>
      </c>
      <c r="AJ47" s="115">
        <v>0.97518207282913183</v>
      </c>
      <c r="AK47" s="36"/>
      <c r="AL47" s="108">
        <v>0.17</v>
      </c>
      <c r="AM47" s="108">
        <v>0.11328454243564537</v>
      </c>
      <c r="AN47" s="36"/>
      <c r="AO47" s="38">
        <v>0.26575533007550933</v>
      </c>
      <c r="AP47" s="70">
        <v>0</v>
      </c>
    </row>
    <row r="48" spans="1:43" s="15" customFormat="1" ht="14.25" customHeight="1" x14ac:dyDescent="0.3">
      <c r="A48" s="26"/>
      <c r="B48" s="211"/>
      <c r="C48" s="9" t="s">
        <v>28</v>
      </c>
      <c r="D48" s="28"/>
      <c r="E48" s="27">
        <v>2958277.7999999989</v>
      </c>
      <c r="F48" s="124">
        <v>2.4590837905236897</v>
      </c>
      <c r="G48" s="26"/>
      <c r="H48" s="29">
        <v>1203000</v>
      </c>
      <c r="I48" s="29">
        <v>321333.33333333331</v>
      </c>
      <c r="J48" s="29">
        <v>324313.97000000754</v>
      </c>
      <c r="K48" s="31">
        <v>1.0092758402489861</v>
      </c>
      <c r="L48" s="39"/>
      <c r="M48" s="29">
        <v>188999.85164766296</v>
      </c>
      <c r="N48" s="29">
        <v>50467.03736245371</v>
      </c>
      <c r="O48" s="27">
        <v>450.75</v>
      </c>
      <c r="P48" s="29">
        <v>59675.334149999551</v>
      </c>
      <c r="Q48" s="31">
        <v>1.1824616079880408</v>
      </c>
      <c r="R48" s="39"/>
      <c r="S48" s="128">
        <v>0.15710710860154858</v>
      </c>
      <c r="T48" s="128">
        <v>0.18400482146975711</v>
      </c>
      <c r="U48" s="39"/>
      <c r="V48" s="29"/>
      <c r="W48" s="32">
        <v>7.8338759659372688</v>
      </c>
      <c r="X48" s="30" t="s">
        <v>69</v>
      </c>
      <c r="Y48" s="39"/>
      <c r="Z48" s="62"/>
      <c r="AA48" s="27">
        <v>41166.666666666664</v>
      </c>
      <c r="AB48" s="27">
        <v>32431.809999999787</v>
      </c>
      <c r="AC48" s="39"/>
      <c r="AD48" s="29">
        <v>6434.1489010759451</v>
      </c>
      <c r="AE48" s="29">
        <v>6111.8818900000024</v>
      </c>
      <c r="AF48" s="31">
        <v>0.94991303185071585</v>
      </c>
      <c r="AG48" s="39"/>
      <c r="AH48" s="29">
        <v>7570.4344374999437</v>
      </c>
      <c r="AI48" s="29">
        <v>223560.46772499834</v>
      </c>
      <c r="AJ48" s="31">
        <v>1.182860546058861</v>
      </c>
      <c r="AK48" s="39"/>
      <c r="AL48" s="80">
        <v>0.15710710860154858</v>
      </c>
      <c r="AM48" s="80">
        <v>0.18845330834141055</v>
      </c>
      <c r="AN48" s="39"/>
      <c r="AO48" s="32">
        <v>0</v>
      </c>
      <c r="AP48" s="31">
        <v>0</v>
      </c>
      <c r="AQ48" s="10"/>
    </row>
    <row r="49" spans="1:43" ht="8" customHeight="1" x14ac:dyDescent="0.3">
      <c r="B49" s="16"/>
      <c r="D49" s="34"/>
      <c r="E49" s="47"/>
      <c r="F49" s="125"/>
      <c r="G49" s="34"/>
      <c r="H49" s="48"/>
      <c r="I49" s="48"/>
      <c r="J49" s="48"/>
      <c r="K49" s="51"/>
      <c r="L49" s="34"/>
      <c r="M49" s="48"/>
      <c r="N49" s="48"/>
      <c r="O49" s="51"/>
      <c r="P49" s="48"/>
      <c r="Q49" s="47"/>
      <c r="R49" s="34"/>
      <c r="S49" s="51"/>
      <c r="T49" s="51"/>
      <c r="U49" s="34"/>
      <c r="V49" s="48"/>
      <c r="W49" s="52"/>
      <c r="X49" s="48"/>
      <c r="Y49" s="34"/>
      <c r="Z49" s="62"/>
      <c r="AA49" s="47"/>
      <c r="AB49" s="47"/>
      <c r="AC49" s="36"/>
      <c r="AD49" s="48"/>
      <c r="AE49" s="48"/>
      <c r="AF49" s="47"/>
      <c r="AG49" s="36"/>
      <c r="AH49" s="48"/>
      <c r="AI49" s="48"/>
      <c r="AJ49" s="47"/>
      <c r="AK49" s="36"/>
      <c r="AL49" s="49"/>
      <c r="AM49" s="53"/>
      <c r="AN49" s="36"/>
      <c r="AO49" s="52"/>
      <c r="AP49" s="47"/>
    </row>
    <row r="50" spans="1:43" ht="12.75" customHeight="1" x14ac:dyDescent="0.3">
      <c r="A50" s="7" t="s">
        <v>17</v>
      </c>
      <c r="B50" s="234" t="s">
        <v>67</v>
      </c>
      <c r="C50" s="6" t="s">
        <v>8</v>
      </c>
      <c r="D50" s="34"/>
      <c r="E50" s="33">
        <v>127263.11</v>
      </c>
      <c r="F50" s="123">
        <v>0.21941915517241378</v>
      </c>
      <c r="G50" s="7"/>
      <c r="H50" s="35">
        <v>580000</v>
      </c>
      <c r="I50" s="35">
        <v>156153.84615384616</v>
      </c>
      <c r="J50" s="35">
        <v>184049.23999999976</v>
      </c>
      <c r="K50" s="70">
        <v>1.178640453201969</v>
      </c>
      <c r="L50" s="36"/>
      <c r="M50" s="35">
        <v>98020</v>
      </c>
      <c r="N50" s="35">
        <v>26390</v>
      </c>
      <c r="O50" s="37">
        <v>0</v>
      </c>
      <c r="P50" s="35">
        <v>28943.161200000017</v>
      </c>
      <c r="Q50" s="115">
        <v>1.0967472982190229</v>
      </c>
      <c r="R50" s="36"/>
      <c r="S50" s="127">
        <v>0.16900000000000001</v>
      </c>
      <c r="T50" s="127">
        <v>0.15725770560095795</v>
      </c>
      <c r="U50" s="36"/>
      <c r="V50" s="35"/>
      <c r="W50" s="38">
        <v>-12.549217155148499</v>
      </c>
      <c r="X50" s="69" t="s">
        <v>69</v>
      </c>
      <c r="Y50" s="36"/>
      <c r="Z50" s="62"/>
      <c r="AA50" s="33">
        <v>22307.692307692309</v>
      </c>
      <c r="AB50" s="33">
        <v>17974.849999999999</v>
      </c>
      <c r="AC50" s="36"/>
      <c r="AD50" s="35">
        <v>3770</v>
      </c>
      <c r="AE50" s="35">
        <v>3872.330750000001</v>
      </c>
      <c r="AF50" s="115">
        <v>1.0271434350132629</v>
      </c>
      <c r="AG50" s="36"/>
      <c r="AH50" s="35">
        <v>4134.7373142857168</v>
      </c>
      <c r="AI50" s="35">
        <v>107503.17017142863</v>
      </c>
      <c r="AJ50" s="115">
        <v>1.0967472982190229</v>
      </c>
      <c r="AK50" s="36"/>
      <c r="AL50" s="108">
        <v>0.16900000000000001</v>
      </c>
      <c r="AM50" s="108">
        <v>0.21543049037961381</v>
      </c>
      <c r="AN50" s="36"/>
      <c r="AO50" s="38">
        <v>-2.6496980503314331</v>
      </c>
      <c r="AP50" s="70">
        <v>0</v>
      </c>
    </row>
    <row r="51" spans="1:43" ht="12.75" customHeight="1" x14ac:dyDescent="0.3">
      <c r="A51" s="7" t="s">
        <v>17</v>
      </c>
      <c r="B51" s="234"/>
      <c r="C51" s="6" t="s">
        <v>9</v>
      </c>
      <c r="D51" s="34"/>
      <c r="E51" s="33">
        <v>107137.51999999996</v>
      </c>
      <c r="F51" s="123">
        <v>0.46581530434782592</v>
      </c>
      <c r="G51" s="7"/>
      <c r="H51" s="35">
        <v>230000</v>
      </c>
      <c r="I51" s="35">
        <v>61333.333333333336</v>
      </c>
      <c r="J51" s="35">
        <v>98691.370000000257</v>
      </c>
      <c r="K51" s="70">
        <v>1.6090984239130477</v>
      </c>
      <c r="L51" s="36"/>
      <c r="M51" s="35">
        <v>45770</v>
      </c>
      <c r="N51" s="35">
        <v>12205.333333333334</v>
      </c>
      <c r="O51" s="37">
        <v>330.74</v>
      </c>
      <c r="P51" s="35">
        <v>14033.159999999993</v>
      </c>
      <c r="Q51" s="115">
        <v>1.1497563906488959</v>
      </c>
      <c r="R51" s="36"/>
      <c r="S51" s="127">
        <v>0.19900000000000001</v>
      </c>
      <c r="T51" s="127">
        <v>0.14219237203820309</v>
      </c>
      <c r="U51" s="36"/>
      <c r="V51" s="35"/>
      <c r="W51" s="38">
        <v>-10.530353363217056</v>
      </c>
      <c r="X51" s="69" t="s">
        <v>69</v>
      </c>
      <c r="Y51" s="36"/>
      <c r="Z51" s="62"/>
      <c r="AA51" s="33">
        <v>7666.666666666667</v>
      </c>
      <c r="AB51" s="33">
        <v>7738.0099999999948</v>
      </c>
      <c r="AC51" s="36"/>
      <c r="AD51" s="35">
        <v>1525.6666666666667</v>
      </c>
      <c r="AE51" s="35">
        <v>1340.4300000000005</v>
      </c>
      <c r="AF51" s="115">
        <v>0.87858641031243201</v>
      </c>
      <c r="AG51" s="36"/>
      <c r="AH51" s="35">
        <v>1754.1449999999991</v>
      </c>
      <c r="AI51" s="35">
        <v>52624.349999999969</v>
      </c>
      <c r="AJ51" s="115">
        <v>1.1497563906488959</v>
      </c>
      <c r="AK51" s="36"/>
      <c r="AL51" s="108">
        <v>0.19900000000000001</v>
      </c>
      <c r="AM51" s="108">
        <v>0.17322670815881622</v>
      </c>
      <c r="AN51" s="36"/>
      <c r="AO51" s="38">
        <v>0.14357696617080248</v>
      </c>
      <c r="AP51" s="70">
        <v>0</v>
      </c>
    </row>
    <row r="52" spans="1:43" ht="12.75" customHeight="1" x14ac:dyDescent="0.3">
      <c r="A52" s="7" t="s">
        <v>17</v>
      </c>
      <c r="B52" s="234"/>
      <c r="C52" s="6" t="s">
        <v>10</v>
      </c>
      <c r="D52" s="34"/>
      <c r="E52" s="33">
        <v>184827.00999999995</v>
      </c>
      <c r="F52" s="123">
        <v>0.47391541025641015</v>
      </c>
      <c r="G52" s="7"/>
      <c r="H52" s="35">
        <v>390000</v>
      </c>
      <c r="I52" s="35">
        <v>104000</v>
      </c>
      <c r="J52" s="35">
        <v>113195.27999999985</v>
      </c>
      <c r="K52" s="70">
        <v>1.0884161538461525</v>
      </c>
      <c r="L52" s="36"/>
      <c r="M52" s="35">
        <v>80997.011004653381</v>
      </c>
      <c r="N52" s="35">
        <v>21599.202934574234</v>
      </c>
      <c r="O52" s="37">
        <v>0</v>
      </c>
      <c r="P52" s="35">
        <v>24376.186399999959</v>
      </c>
      <c r="Q52" s="115">
        <v>1.1285687936650921</v>
      </c>
      <c r="R52" s="36"/>
      <c r="S52" s="127">
        <v>0.20768464360167532</v>
      </c>
      <c r="T52" s="127">
        <v>0.21534631479333757</v>
      </c>
      <c r="U52" s="36"/>
      <c r="V52" s="35"/>
      <c r="W52" s="38">
        <v>-0.40467553064068362</v>
      </c>
      <c r="X52" s="69" t="s">
        <v>69</v>
      </c>
      <c r="Y52" s="36"/>
      <c r="Z52" s="62"/>
      <c r="AA52" s="33">
        <v>13000</v>
      </c>
      <c r="AB52" s="33">
        <v>12844.459999999988</v>
      </c>
      <c r="AC52" s="36"/>
      <c r="AD52" s="35">
        <v>2699.9003668217792</v>
      </c>
      <c r="AE52" s="35">
        <v>2780.8165000000013</v>
      </c>
      <c r="AF52" s="115">
        <v>1.0299700441440636</v>
      </c>
      <c r="AG52" s="36"/>
      <c r="AH52" s="35">
        <v>3047.0232999999948</v>
      </c>
      <c r="AI52" s="35">
        <v>91410.698999999848</v>
      </c>
      <c r="AJ52" s="115">
        <v>1.1285687936650921</v>
      </c>
      <c r="AK52" s="36"/>
      <c r="AL52" s="108">
        <v>0.20768464360167532</v>
      </c>
      <c r="AM52" s="108">
        <v>0.21649929230189544</v>
      </c>
      <c r="AN52" s="36"/>
      <c r="AO52" s="38">
        <v>1.9275742226609451</v>
      </c>
      <c r="AP52" s="70">
        <v>0</v>
      </c>
    </row>
    <row r="53" spans="1:43" ht="12.75" customHeight="1" x14ac:dyDescent="0.3">
      <c r="A53" s="7" t="s">
        <v>17</v>
      </c>
      <c r="B53" s="234"/>
      <c r="C53" s="6" t="s">
        <v>12</v>
      </c>
      <c r="D53" s="34"/>
      <c r="E53" s="33">
        <v>50938.549999999996</v>
      </c>
      <c r="F53" s="123">
        <v>0.11576943181818181</v>
      </c>
      <c r="G53" s="7"/>
      <c r="H53" s="35">
        <v>440000</v>
      </c>
      <c r="I53" s="35">
        <v>118461.53846153845</v>
      </c>
      <c r="J53" s="35">
        <v>97933.200000000012</v>
      </c>
      <c r="K53" s="70">
        <v>0.82670883116883132</v>
      </c>
      <c r="L53" s="36"/>
      <c r="M53" s="35">
        <v>94600</v>
      </c>
      <c r="N53" s="35">
        <v>25469.23076923077</v>
      </c>
      <c r="O53" s="37">
        <v>901.44</v>
      </c>
      <c r="P53" s="35">
        <v>21835.88</v>
      </c>
      <c r="Q53" s="115">
        <v>0.85734352159468441</v>
      </c>
      <c r="R53" s="36"/>
      <c r="S53" s="127">
        <v>0.215</v>
      </c>
      <c r="T53" s="127">
        <v>0.22296708368561427</v>
      </c>
      <c r="U53" s="36"/>
      <c r="V53" s="35"/>
      <c r="W53" s="38">
        <v>-2.7094795227767157</v>
      </c>
      <c r="X53" s="69" t="s">
        <v>69</v>
      </c>
      <c r="Y53" s="36"/>
      <c r="Z53" s="62"/>
      <c r="AA53" s="33">
        <v>16923.076923076922</v>
      </c>
      <c r="AB53" s="33">
        <v>40427.1</v>
      </c>
      <c r="AC53" s="36"/>
      <c r="AD53" s="35">
        <v>3638.4615384615386</v>
      </c>
      <c r="AE53" s="35">
        <v>8955.3999999999978</v>
      </c>
      <c r="AF53" s="115">
        <v>2.4613150105708237</v>
      </c>
      <c r="AG53" s="36"/>
      <c r="AH53" s="35">
        <v>3119.4114285714286</v>
      </c>
      <c r="AI53" s="35">
        <v>81104.697142857141</v>
      </c>
      <c r="AJ53" s="115">
        <v>0.85734352159468441</v>
      </c>
      <c r="AK53" s="36"/>
      <c r="AL53" s="108">
        <v>0.215</v>
      </c>
      <c r="AM53" s="108">
        <v>0.22151972315600174</v>
      </c>
      <c r="AN53" s="36"/>
      <c r="AO53" s="38">
        <v>-4.0694979357905972</v>
      </c>
      <c r="AP53" s="70">
        <v>0</v>
      </c>
    </row>
    <row r="54" spans="1:43" s="15" customFormat="1" ht="14.25" customHeight="1" x14ac:dyDescent="0.3">
      <c r="A54" s="26"/>
      <c r="B54" s="234"/>
      <c r="C54" s="9" t="s">
        <v>71</v>
      </c>
      <c r="D54" s="28"/>
      <c r="E54" s="27">
        <v>470166.18999999989</v>
      </c>
      <c r="F54" s="124">
        <v>0.28668670121951212</v>
      </c>
      <c r="G54" s="26"/>
      <c r="H54" s="29">
        <v>1640000</v>
      </c>
      <c r="I54" s="29">
        <v>439948.71794871794</v>
      </c>
      <c r="J54" s="29">
        <v>493869.08999999985</v>
      </c>
      <c r="K54" s="31">
        <v>1.1225605845669655</v>
      </c>
      <c r="L54" s="39"/>
      <c r="M54" s="29">
        <v>319387.01100465341</v>
      </c>
      <c r="N54" s="29">
        <v>85663.767037138343</v>
      </c>
      <c r="O54" s="27">
        <v>1232.18</v>
      </c>
      <c r="P54" s="29">
        <v>89188.387599999973</v>
      </c>
      <c r="Q54" s="31">
        <v>1.0411448233572729</v>
      </c>
      <c r="R54" s="39"/>
      <c r="S54" s="128">
        <v>0.19474817744186185</v>
      </c>
      <c r="T54" s="128">
        <v>0.18059115139196097</v>
      </c>
      <c r="U54" s="39"/>
      <c r="V54" s="29"/>
      <c r="W54" s="32">
        <v>-7.4110413348607427</v>
      </c>
      <c r="X54" s="30" t="s">
        <v>69</v>
      </c>
      <c r="Y54" s="39"/>
      <c r="Z54" s="62"/>
      <c r="AA54" s="27">
        <v>59897.435897435898</v>
      </c>
      <c r="AB54" s="27">
        <v>78984.419999999984</v>
      </c>
      <c r="AC54" s="39"/>
      <c r="AD54" s="29">
        <v>11634.028571949984</v>
      </c>
      <c r="AE54" s="29">
        <v>16948.97725</v>
      </c>
      <c r="AF54" s="31">
        <v>1.4568450769378827</v>
      </c>
      <c r="AG54" s="39"/>
      <c r="AH54" s="29">
        <v>12055.317042857139</v>
      </c>
      <c r="AI54" s="29">
        <v>332642.9163142856</v>
      </c>
      <c r="AJ54" s="31">
        <v>1.0415042091659734</v>
      </c>
      <c r="AK54" s="39"/>
      <c r="AL54" s="80">
        <v>0.19474817744186185</v>
      </c>
      <c r="AM54" s="80">
        <v>0.21458633550768624</v>
      </c>
      <c r="AN54" s="39"/>
      <c r="AO54" s="32">
        <v>0</v>
      </c>
      <c r="AP54" s="31">
        <v>0</v>
      </c>
      <c r="AQ54" s="10"/>
    </row>
    <row r="55" spans="1:43" ht="8" customHeight="1" x14ac:dyDescent="0.3">
      <c r="B55" s="16"/>
      <c r="D55" s="34"/>
      <c r="E55" s="47"/>
      <c r="F55" s="125"/>
      <c r="G55" s="34"/>
      <c r="H55" s="48"/>
      <c r="I55" s="48"/>
      <c r="J55" s="48"/>
      <c r="K55" s="51"/>
      <c r="L55" s="34"/>
      <c r="M55" s="48"/>
      <c r="N55" s="48"/>
      <c r="O55" s="51"/>
      <c r="P55" s="48"/>
      <c r="Q55" s="47"/>
      <c r="R55" s="34"/>
      <c r="S55" s="51"/>
      <c r="T55" s="51"/>
      <c r="U55" s="34"/>
      <c r="V55" s="48"/>
      <c r="W55" s="52"/>
      <c r="X55" s="48"/>
      <c r="Y55" s="34"/>
      <c r="Z55" s="62"/>
      <c r="AA55" s="47"/>
      <c r="AB55" s="47"/>
      <c r="AC55" s="36"/>
      <c r="AD55" s="48"/>
      <c r="AE55" s="48"/>
      <c r="AF55" s="47"/>
      <c r="AG55" s="36"/>
      <c r="AH55" s="48"/>
      <c r="AI55" s="48"/>
      <c r="AJ55" s="47"/>
      <c r="AK55" s="36"/>
      <c r="AL55" s="49"/>
      <c r="AM55" s="53"/>
      <c r="AN55" s="36"/>
      <c r="AO55" s="52"/>
      <c r="AP55" s="47"/>
    </row>
    <row r="56" spans="1:43" ht="12.75" customHeight="1" x14ac:dyDescent="0.3">
      <c r="A56" s="7" t="s">
        <v>21</v>
      </c>
      <c r="B56" s="234" t="s">
        <v>75</v>
      </c>
      <c r="C56" s="6" t="s">
        <v>8</v>
      </c>
      <c r="D56" s="34"/>
      <c r="E56" s="33">
        <v>355186.46999999968</v>
      </c>
      <c r="F56" s="123">
        <v>4.7998171621621575</v>
      </c>
      <c r="G56" s="7"/>
      <c r="H56" s="35">
        <v>74000</v>
      </c>
      <c r="I56" s="35">
        <v>19923.076923076922</v>
      </c>
      <c r="J56" s="35">
        <v>22000.680000000153</v>
      </c>
      <c r="K56" s="70">
        <v>1.1042812355212432</v>
      </c>
      <c r="L56" s="36"/>
      <c r="M56" s="35">
        <v>16206</v>
      </c>
      <c r="N56" s="35">
        <v>4363.1538461538457</v>
      </c>
      <c r="O56" s="37">
        <v>0</v>
      </c>
      <c r="P56" s="35">
        <v>4877.9699999999975</v>
      </c>
      <c r="Q56" s="115">
        <v>1.117991749087639</v>
      </c>
      <c r="R56" s="36"/>
      <c r="S56" s="127">
        <v>0.219</v>
      </c>
      <c r="T56" s="127">
        <v>0.22171905595645061</v>
      </c>
      <c r="U56" s="36"/>
      <c r="V56" s="35"/>
      <c r="W56" s="38">
        <v>10.69839659501511</v>
      </c>
      <c r="X56" s="69" t="s">
        <v>69</v>
      </c>
      <c r="Y56" s="36"/>
      <c r="Z56" s="62"/>
      <c r="AA56" s="33">
        <v>2846.1538461538462</v>
      </c>
      <c r="AB56" s="33">
        <v>2816.5399999999991</v>
      </c>
      <c r="AC56" s="36"/>
      <c r="AD56" s="35">
        <v>623.30769230769226</v>
      </c>
      <c r="AE56" s="35">
        <v>637.51000000000067</v>
      </c>
      <c r="AF56" s="115">
        <v>1.022785388127855</v>
      </c>
      <c r="AG56" s="36"/>
      <c r="AH56" s="35">
        <v>696.85285714285681</v>
      </c>
      <c r="AI56" s="35">
        <v>18118.174285714278</v>
      </c>
      <c r="AJ56" s="115">
        <v>1.117991749087639</v>
      </c>
      <c r="AK56" s="36"/>
      <c r="AL56" s="108">
        <v>0.219</v>
      </c>
      <c r="AM56" s="108">
        <v>0.22634509007505693</v>
      </c>
      <c r="AN56" s="36"/>
      <c r="AO56" s="38">
        <v>10.951735107614279</v>
      </c>
      <c r="AP56" s="70">
        <v>0</v>
      </c>
    </row>
    <row r="57" spans="1:43" ht="12.75" customHeight="1" x14ac:dyDescent="0.3">
      <c r="A57" s="7" t="s">
        <v>21</v>
      </c>
      <c r="B57" s="234"/>
      <c r="C57" s="6" t="s">
        <v>9</v>
      </c>
      <c r="D57" s="34"/>
      <c r="E57" s="33">
        <v>471327.06999999983</v>
      </c>
      <c r="F57" s="123">
        <v>2.356635349999999</v>
      </c>
      <c r="G57" s="7"/>
      <c r="H57" s="35">
        <v>200000</v>
      </c>
      <c r="I57" s="35">
        <v>53333.333333333336</v>
      </c>
      <c r="J57" s="35">
        <v>54441.500000000684</v>
      </c>
      <c r="K57" s="70">
        <v>1.0207781250000127</v>
      </c>
      <c r="L57" s="36"/>
      <c r="M57" s="35">
        <v>45000</v>
      </c>
      <c r="N57" s="35">
        <v>12000</v>
      </c>
      <c r="O57" s="37">
        <v>0</v>
      </c>
      <c r="P57" s="35">
        <v>11933.960000000003</v>
      </c>
      <c r="Q57" s="115">
        <v>0.99449666666666692</v>
      </c>
      <c r="R57" s="36"/>
      <c r="S57" s="127">
        <v>0.22500000000000001</v>
      </c>
      <c r="T57" s="127">
        <v>0.21920703874801123</v>
      </c>
      <c r="U57" s="36"/>
      <c r="V57" s="35"/>
      <c r="W57" s="38">
        <v>10.11201013932544</v>
      </c>
      <c r="X57" s="69" t="s">
        <v>69</v>
      </c>
      <c r="Y57" s="36"/>
      <c r="Z57" s="62"/>
      <c r="AA57" s="33">
        <v>6666.666666666667</v>
      </c>
      <c r="AB57" s="33">
        <v>5729.4099999999653</v>
      </c>
      <c r="AC57" s="36"/>
      <c r="AD57" s="35">
        <v>1500</v>
      </c>
      <c r="AE57" s="35">
        <v>1292.9899999999993</v>
      </c>
      <c r="AF57" s="115">
        <v>0.86199333333333283</v>
      </c>
      <c r="AG57" s="36"/>
      <c r="AH57" s="35">
        <v>1491.7450000000003</v>
      </c>
      <c r="AI57" s="35">
        <v>44752.350000000013</v>
      </c>
      <c r="AJ57" s="115">
        <v>0.99449666666666692</v>
      </c>
      <c r="AK57" s="36"/>
      <c r="AL57" s="108">
        <v>0.22500000000000001</v>
      </c>
      <c r="AM57" s="108">
        <v>0.22567594219998344</v>
      </c>
      <c r="AN57" s="36"/>
      <c r="AO57" s="38">
        <v>10.665845174284442</v>
      </c>
      <c r="AP57" s="70">
        <v>0</v>
      </c>
    </row>
    <row r="58" spans="1:43" ht="12.75" customHeight="1" x14ac:dyDescent="0.3">
      <c r="A58" s="7" t="s">
        <v>21</v>
      </c>
      <c r="B58" s="234"/>
      <c r="C58" s="6" t="s">
        <v>10</v>
      </c>
      <c r="D58" s="34"/>
      <c r="E58" s="33">
        <v>568283.87999999954</v>
      </c>
      <c r="F58" s="123">
        <v>2.7061137142857121</v>
      </c>
      <c r="G58" s="7"/>
      <c r="H58" s="35">
        <v>210000</v>
      </c>
      <c r="I58" s="35">
        <v>56000</v>
      </c>
      <c r="J58" s="35">
        <v>64468.380000000172</v>
      </c>
      <c r="K58" s="70">
        <v>1.1512210714285744</v>
      </c>
      <c r="L58" s="36"/>
      <c r="M58" s="35">
        <v>45990</v>
      </c>
      <c r="N58" s="35">
        <v>12264</v>
      </c>
      <c r="O58" s="37">
        <v>0</v>
      </c>
      <c r="P58" s="35">
        <v>13205.690000000037</v>
      </c>
      <c r="Q58" s="115">
        <v>1.0767848988910662</v>
      </c>
      <c r="R58" s="36"/>
      <c r="S58" s="127">
        <v>0.219</v>
      </c>
      <c r="T58" s="127">
        <v>0.20483979898362581</v>
      </c>
      <c r="U58" s="36"/>
      <c r="V58" s="35"/>
      <c r="W58" s="38">
        <v>8.9380561447335278</v>
      </c>
      <c r="X58" s="69" t="s">
        <v>69</v>
      </c>
      <c r="Y58" s="36"/>
      <c r="Z58" s="62"/>
      <c r="AA58" s="33">
        <v>7000</v>
      </c>
      <c r="AB58" s="33">
        <v>6142.2599999999748</v>
      </c>
      <c r="AC58" s="36"/>
      <c r="AD58" s="35">
        <v>1533</v>
      </c>
      <c r="AE58" s="35">
        <v>1181.9800000000012</v>
      </c>
      <c r="AF58" s="115">
        <v>0.77102413568167072</v>
      </c>
      <c r="AG58" s="36"/>
      <c r="AH58" s="35">
        <v>1650.7112500000046</v>
      </c>
      <c r="AI58" s="35">
        <v>49521.33750000014</v>
      </c>
      <c r="AJ58" s="115">
        <v>1.0767848988910662</v>
      </c>
      <c r="AK58" s="36"/>
      <c r="AL58" s="108">
        <v>0.219</v>
      </c>
      <c r="AM58" s="108">
        <v>0.19243405521746165</v>
      </c>
      <c r="AN58" s="36"/>
      <c r="AO58" s="38">
        <v>7.6325326508480824</v>
      </c>
      <c r="AP58" s="70">
        <v>0</v>
      </c>
    </row>
    <row r="59" spans="1:43" ht="12.75" customHeight="1" x14ac:dyDescent="0.3">
      <c r="A59" s="7" t="s">
        <v>21</v>
      </c>
      <c r="B59" s="234"/>
      <c r="C59" s="6" t="s">
        <v>12</v>
      </c>
      <c r="D59" s="34"/>
      <c r="E59" s="33">
        <v>34748.429999999993</v>
      </c>
      <c r="F59" s="123">
        <v>4.0405151162790691</v>
      </c>
      <c r="G59" s="7"/>
      <c r="H59" s="35">
        <v>8600</v>
      </c>
      <c r="I59" s="35">
        <v>2315.3846153846152</v>
      </c>
      <c r="J59" s="35">
        <v>1884.8900000000019</v>
      </c>
      <c r="K59" s="70">
        <v>0.81407209302325667</v>
      </c>
      <c r="L59" s="36"/>
      <c r="M59" s="35">
        <v>688</v>
      </c>
      <c r="N59" s="35">
        <v>185.23076923076923</v>
      </c>
      <c r="O59" s="37">
        <v>0</v>
      </c>
      <c r="P59" s="35">
        <v>281.81</v>
      </c>
      <c r="Q59" s="115">
        <v>1.5213995016611297</v>
      </c>
      <c r="R59" s="36"/>
      <c r="S59" s="127">
        <v>0.08</v>
      </c>
      <c r="T59" s="127">
        <v>0.14951005098440742</v>
      </c>
      <c r="U59" s="36"/>
      <c r="V59" s="35"/>
      <c r="W59" s="38">
        <v>4.1137679121859234</v>
      </c>
      <c r="X59" s="69" t="s">
        <v>69</v>
      </c>
      <c r="Y59" s="36"/>
      <c r="Z59" s="62"/>
      <c r="AA59" s="33">
        <v>330.76923076923077</v>
      </c>
      <c r="AB59" s="33">
        <v>265.95999999999998</v>
      </c>
      <c r="AC59" s="36"/>
      <c r="AD59" s="35">
        <v>26.46153846153846</v>
      </c>
      <c r="AE59" s="35">
        <v>31.809999999999995</v>
      </c>
      <c r="AF59" s="115">
        <v>1.2021220930232557</v>
      </c>
      <c r="AG59" s="36"/>
      <c r="AH59" s="35">
        <v>40.258571428571429</v>
      </c>
      <c r="AI59" s="35">
        <v>1046.7228571428573</v>
      </c>
      <c r="AJ59" s="115">
        <v>1.5213995016611297</v>
      </c>
      <c r="AK59" s="36"/>
      <c r="AL59" s="108">
        <v>0.08</v>
      </c>
      <c r="AM59" s="108">
        <v>0.11960445179726274</v>
      </c>
      <c r="AN59" s="36"/>
      <c r="AO59" s="38">
        <v>1.5791848398255335</v>
      </c>
      <c r="AP59" s="70">
        <v>0</v>
      </c>
    </row>
    <row r="60" spans="1:43" s="15" customFormat="1" ht="14.25" customHeight="1" x14ac:dyDescent="0.3">
      <c r="A60" s="26"/>
      <c r="B60" s="234"/>
      <c r="C60" s="9" t="s">
        <v>78</v>
      </c>
      <c r="D60" s="28"/>
      <c r="E60" s="27">
        <v>1429545.8499999989</v>
      </c>
      <c r="F60" s="124">
        <v>2.902041920422247</v>
      </c>
      <c r="G60" s="26"/>
      <c r="H60" s="29">
        <v>492600</v>
      </c>
      <c r="I60" s="29">
        <v>131571.79487179487</v>
      </c>
      <c r="J60" s="29">
        <v>142795.45000000103</v>
      </c>
      <c r="K60" s="31">
        <v>1.0853044160349308</v>
      </c>
      <c r="L60" s="39"/>
      <c r="M60" s="29">
        <v>107884</v>
      </c>
      <c r="N60" s="29">
        <v>28812.384615384613</v>
      </c>
      <c r="O60" s="27">
        <v>0</v>
      </c>
      <c r="P60" s="29">
        <v>30299.43000000004</v>
      </c>
      <c r="Q60" s="31">
        <v>1.0516113263260205</v>
      </c>
      <c r="R60" s="39"/>
      <c r="S60" s="128">
        <v>0.21900933820544052</v>
      </c>
      <c r="T60" s="128">
        <v>0.21218764323372924</v>
      </c>
      <c r="U60" s="39"/>
      <c r="V60" s="29"/>
      <c r="W60" s="32">
        <v>9.5931698103834488</v>
      </c>
      <c r="X60" s="30" t="s">
        <v>69</v>
      </c>
      <c r="Y60" s="39"/>
      <c r="Z60" s="62"/>
      <c r="AA60" s="27">
        <v>16843.589743589746</v>
      </c>
      <c r="AB60" s="27">
        <v>14954.169999999938</v>
      </c>
      <c r="AC60" s="39"/>
      <c r="AD60" s="29">
        <v>3682.7692307692309</v>
      </c>
      <c r="AE60" s="29">
        <v>3144.2900000000013</v>
      </c>
      <c r="AF60" s="31">
        <v>0.85378415072270064</v>
      </c>
      <c r="AG60" s="39"/>
      <c r="AH60" s="29">
        <v>3879.5676785714331</v>
      </c>
      <c r="AI60" s="29">
        <v>113438.58464285728</v>
      </c>
      <c r="AJ60" s="31">
        <v>1.0514866397506328</v>
      </c>
      <c r="AK60" s="39"/>
      <c r="AL60" s="80">
        <v>0.21900933820544052</v>
      </c>
      <c r="AM60" s="80">
        <v>0.21026175307623321</v>
      </c>
      <c r="AN60" s="39"/>
      <c r="AO60" s="32">
        <v>0</v>
      </c>
      <c r="AP60" s="31">
        <v>0</v>
      </c>
      <c r="AQ60" s="10"/>
    </row>
    <row r="61" spans="1:43" ht="8" customHeight="1" x14ac:dyDescent="0.3">
      <c r="B61" s="16"/>
      <c r="D61" s="34"/>
      <c r="E61" s="47"/>
      <c r="F61" s="125"/>
      <c r="G61" s="34"/>
      <c r="H61" s="48"/>
      <c r="I61" s="48"/>
      <c r="J61" s="48"/>
      <c r="K61" s="51"/>
      <c r="L61" s="34"/>
      <c r="M61" s="48"/>
      <c r="N61" s="48"/>
      <c r="O61" s="51"/>
      <c r="P61" s="48"/>
      <c r="Q61" s="47"/>
      <c r="R61" s="34"/>
      <c r="S61" s="51"/>
      <c r="T61" s="51"/>
      <c r="U61" s="34"/>
      <c r="V61" s="48"/>
      <c r="W61" s="52"/>
      <c r="X61" s="48"/>
      <c r="Y61" s="34"/>
      <c r="Z61" s="62"/>
      <c r="AA61" s="47"/>
      <c r="AB61" s="47"/>
      <c r="AC61" s="36"/>
      <c r="AD61" s="48"/>
      <c r="AE61" s="48"/>
      <c r="AF61" s="47"/>
      <c r="AG61" s="36"/>
      <c r="AH61" s="48"/>
      <c r="AI61" s="48"/>
      <c r="AJ61" s="47"/>
      <c r="AK61" s="36"/>
      <c r="AL61" s="49"/>
      <c r="AM61" s="53"/>
      <c r="AN61" s="36"/>
      <c r="AO61" s="52"/>
      <c r="AP61" s="47"/>
    </row>
    <row r="62" spans="1:43" ht="12.75" customHeight="1" x14ac:dyDescent="0.3">
      <c r="A62" s="7" t="s">
        <v>22</v>
      </c>
      <c r="B62" s="211" t="s">
        <v>55</v>
      </c>
      <c r="C62" s="6" t="s">
        <v>8</v>
      </c>
      <c r="D62" s="34"/>
      <c r="E62" s="33">
        <v>141979.95999999996</v>
      </c>
      <c r="F62" s="123">
        <v>0.1314629259259259</v>
      </c>
      <c r="G62" s="7"/>
      <c r="H62" s="35">
        <v>1080000</v>
      </c>
      <c r="I62" s="35">
        <v>290769.23076923075</v>
      </c>
      <c r="J62" s="35">
        <v>246263.90000000011</v>
      </c>
      <c r="K62" s="70">
        <v>0.84693933862433901</v>
      </c>
      <c r="L62" s="36"/>
      <c r="M62" s="35">
        <v>43200</v>
      </c>
      <c r="N62" s="35">
        <v>11630.76923076923</v>
      </c>
      <c r="O62" s="37">
        <v>0</v>
      </c>
      <c r="P62" s="35">
        <v>16809.988199999974</v>
      </c>
      <c r="Q62" s="115">
        <v>1.445303218253966</v>
      </c>
      <c r="R62" s="36"/>
      <c r="S62" s="127">
        <v>0.04</v>
      </c>
      <c r="T62" s="127">
        <v>6.8260058417006983E-2</v>
      </c>
      <c r="U62" s="36"/>
      <c r="V62" s="35"/>
      <c r="W62" s="38">
        <v>-6.8584887188092694</v>
      </c>
      <c r="X62" s="69" t="s">
        <v>69</v>
      </c>
      <c r="Y62" s="36"/>
      <c r="Z62" s="62"/>
      <c r="AA62" s="33">
        <v>41538.461538461539</v>
      </c>
      <c r="AB62" s="33">
        <v>79786.94</v>
      </c>
      <c r="AC62" s="36"/>
      <c r="AD62" s="35">
        <v>1661.5384615384614</v>
      </c>
      <c r="AE62" s="35">
        <v>3616.590000000002</v>
      </c>
      <c r="AF62" s="115">
        <v>2.1766513888888901</v>
      </c>
      <c r="AG62" s="36"/>
      <c r="AH62" s="35">
        <v>2401.426885714282</v>
      </c>
      <c r="AI62" s="35">
        <v>62437.099028571334</v>
      </c>
      <c r="AJ62" s="115">
        <v>1.445303218253966</v>
      </c>
      <c r="AK62" s="36"/>
      <c r="AL62" s="108">
        <v>0.04</v>
      </c>
      <c r="AM62" s="108">
        <v>4.5328095049139643E-2</v>
      </c>
      <c r="AN62" s="36"/>
      <c r="AO62" s="38">
        <v>-9.0028142450380511</v>
      </c>
      <c r="AP62" s="70">
        <v>0</v>
      </c>
    </row>
    <row r="63" spans="1:43" ht="12.75" customHeight="1" x14ac:dyDescent="0.3">
      <c r="A63" s="7" t="s">
        <v>22</v>
      </c>
      <c r="B63" s="211"/>
      <c r="C63" s="6" t="s">
        <v>9</v>
      </c>
      <c r="D63" s="34"/>
      <c r="E63" s="33">
        <v>214409.4199999999</v>
      </c>
      <c r="F63" s="123">
        <v>0.2937115342465752</v>
      </c>
      <c r="G63" s="7"/>
      <c r="H63" s="35">
        <v>730000</v>
      </c>
      <c r="I63" s="35">
        <v>194666.66666666666</v>
      </c>
      <c r="J63" s="35">
        <v>195055.53000000049</v>
      </c>
      <c r="K63" s="70">
        <v>1.0019975856164409</v>
      </c>
      <c r="L63" s="36"/>
      <c r="M63" s="35">
        <v>65700</v>
      </c>
      <c r="N63" s="35">
        <v>17520</v>
      </c>
      <c r="O63" s="37">
        <v>0</v>
      </c>
      <c r="P63" s="35">
        <v>18931.119999999988</v>
      </c>
      <c r="Q63" s="115">
        <v>1.0805433789954331</v>
      </c>
      <c r="R63" s="36"/>
      <c r="S63" s="127">
        <v>0.09</v>
      </c>
      <c r="T63" s="127">
        <v>9.7055028380892042E-2</v>
      </c>
      <c r="U63" s="36"/>
      <c r="V63" s="35"/>
      <c r="W63" s="38">
        <v>-2.8228935626686966</v>
      </c>
      <c r="X63" s="69" t="s">
        <v>69</v>
      </c>
      <c r="Y63" s="36"/>
      <c r="Z63" s="62"/>
      <c r="AA63" s="33">
        <v>24333.333333333332</v>
      </c>
      <c r="AB63" s="33">
        <v>23474.799999999992</v>
      </c>
      <c r="AC63" s="36"/>
      <c r="AD63" s="35">
        <v>2190</v>
      </c>
      <c r="AE63" s="35">
        <v>1132.5299999999997</v>
      </c>
      <c r="AF63" s="115">
        <v>0.51713698630136973</v>
      </c>
      <c r="AG63" s="36"/>
      <c r="AH63" s="35">
        <v>2366.3899999999985</v>
      </c>
      <c r="AI63" s="35">
        <v>70991.699999999953</v>
      </c>
      <c r="AJ63" s="115">
        <v>1.0805433789954331</v>
      </c>
      <c r="AK63" s="36"/>
      <c r="AL63" s="108">
        <v>0.09</v>
      </c>
      <c r="AM63" s="108">
        <v>4.8244500485627145E-2</v>
      </c>
      <c r="AN63" s="36"/>
      <c r="AO63" s="38">
        <v>-7.443556494624028</v>
      </c>
      <c r="AP63" s="70">
        <v>0</v>
      </c>
    </row>
    <row r="64" spans="1:43" ht="12.75" customHeight="1" x14ac:dyDescent="0.3">
      <c r="A64" s="7" t="s">
        <v>22</v>
      </c>
      <c r="B64" s="211"/>
      <c r="C64" s="6" t="s">
        <v>10</v>
      </c>
      <c r="D64" s="34"/>
      <c r="E64" s="33">
        <v>274372.94000000012</v>
      </c>
      <c r="F64" s="123">
        <v>0.36101702631578964</v>
      </c>
      <c r="G64" s="7"/>
      <c r="H64" s="35">
        <v>760000</v>
      </c>
      <c r="I64" s="35">
        <v>202666.66666666666</v>
      </c>
      <c r="J64" s="35">
        <v>198504.85999999914</v>
      </c>
      <c r="K64" s="70">
        <v>0.97946476973683794</v>
      </c>
      <c r="L64" s="36"/>
      <c r="M64" s="35">
        <v>75240</v>
      </c>
      <c r="N64" s="35">
        <v>20064</v>
      </c>
      <c r="O64" s="37">
        <v>0</v>
      </c>
      <c r="P64" s="35">
        <v>26182.762499999986</v>
      </c>
      <c r="Q64" s="115">
        <v>1.3049622458133965</v>
      </c>
      <c r="R64" s="36"/>
      <c r="S64" s="127">
        <v>9.9000000000000005E-2</v>
      </c>
      <c r="T64" s="127">
        <v>0.13189985625540906</v>
      </c>
      <c r="U64" s="36"/>
      <c r="V64" s="35"/>
      <c r="W64" s="38">
        <v>0.70290092645544555</v>
      </c>
      <c r="X64" s="69" t="s">
        <v>69</v>
      </c>
      <c r="Y64" s="36"/>
      <c r="Z64" s="62"/>
      <c r="AA64" s="33">
        <v>25333.333333333332</v>
      </c>
      <c r="AB64" s="33">
        <v>22969.559999999987</v>
      </c>
      <c r="AC64" s="36"/>
      <c r="AD64" s="35">
        <v>2508</v>
      </c>
      <c r="AE64" s="35">
        <v>1718.026199999998</v>
      </c>
      <c r="AF64" s="115">
        <v>0.68501842105263078</v>
      </c>
      <c r="AG64" s="36"/>
      <c r="AH64" s="35">
        <v>3272.8453124999983</v>
      </c>
      <c r="AI64" s="35">
        <v>98185.359374999942</v>
      </c>
      <c r="AJ64" s="115">
        <v>1.3049622458133963</v>
      </c>
      <c r="AK64" s="36"/>
      <c r="AL64" s="108">
        <v>9.9000000000000005E-2</v>
      </c>
      <c r="AM64" s="108">
        <v>7.4795781895691471E-2</v>
      </c>
      <c r="AN64" s="36"/>
      <c r="AO64" s="38">
        <v>-4.5690200421776659</v>
      </c>
      <c r="AP64" s="70">
        <v>0</v>
      </c>
    </row>
    <row r="65" spans="1:43" ht="12.75" customHeight="1" x14ac:dyDescent="0.3">
      <c r="A65" s="7" t="s">
        <v>22</v>
      </c>
      <c r="B65" s="211"/>
      <c r="C65" s="6" t="s">
        <v>12</v>
      </c>
      <c r="D65" s="34"/>
      <c r="E65" s="33">
        <v>62511.56</v>
      </c>
      <c r="F65" s="123">
        <v>9.1659178885630493E-2</v>
      </c>
      <c r="G65" s="7"/>
      <c r="H65" s="35">
        <v>682000</v>
      </c>
      <c r="I65" s="35">
        <v>183615.38461538462</v>
      </c>
      <c r="J65" s="35">
        <v>168994.85999999996</v>
      </c>
      <c r="K65" s="70">
        <v>0.92037418516966873</v>
      </c>
      <c r="L65" s="36"/>
      <c r="M65" s="35">
        <v>64829.717876106268</v>
      </c>
      <c r="N65" s="35">
        <v>17454.154812797839</v>
      </c>
      <c r="O65" s="37">
        <v>5232.5599999999995</v>
      </c>
      <c r="P65" s="35">
        <v>20945.189999999995</v>
      </c>
      <c r="Q65" s="115">
        <v>1.2000117006320146</v>
      </c>
      <c r="R65" s="36"/>
      <c r="S65" s="127">
        <v>9.5058237354994524E-2</v>
      </c>
      <c r="T65" s="127">
        <v>0.12393980503312349</v>
      </c>
      <c r="U65" s="36"/>
      <c r="V65" s="35"/>
      <c r="W65" s="38">
        <v>-4.6319870320316303</v>
      </c>
      <c r="X65" s="69" t="s">
        <v>69</v>
      </c>
      <c r="Y65" s="36"/>
      <c r="Z65" s="62"/>
      <c r="AA65" s="33">
        <v>26230.76923076923</v>
      </c>
      <c r="AB65" s="33">
        <v>30499.1</v>
      </c>
      <c r="AC65" s="36"/>
      <c r="AD65" s="35">
        <v>2493.4506875425486</v>
      </c>
      <c r="AE65" s="35">
        <v>3046.4099999999989</v>
      </c>
      <c r="AF65" s="115">
        <v>1.2217646874751016</v>
      </c>
      <c r="AG65" s="36"/>
      <c r="AH65" s="35">
        <v>2992.1699999999992</v>
      </c>
      <c r="AI65" s="35">
        <v>77796.419999999984</v>
      </c>
      <c r="AJ65" s="115">
        <v>1.2000117006320143</v>
      </c>
      <c r="AK65" s="36"/>
      <c r="AL65" s="108">
        <v>9.5058237354994524E-2</v>
      </c>
      <c r="AM65" s="108">
        <v>9.9885242515352884E-2</v>
      </c>
      <c r="AN65" s="36"/>
      <c r="AO65" s="38">
        <v>-3.9675269106301543</v>
      </c>
      <c r="AP65" s="70">
        <v>0</v>
      </c>
    </row>
    <row r="66" spans="1:43" s="15" customFormat="1" ht="14.25" customHeight="1" x14ac:dyDescent="0.3">
      <c r="A66" s="26"/>
      <c r="B66" s="211"/>
      <c r="C66" s="9" t="s">
        <v>56</v>
      </c>
      <c r="D66" s="28"/>
      <c r="E66" s="27">
        <v>693273.88000000012</v>
      </c>
      <c r="F66" s="124">
        <v>0.21318384993849943</v>
      </c>
      <c r="G66" s="26"/>
      <c r="H66" s="29">
        <v>3252000</v>
      </c>
      <c r="I66" s="29">
        <v>871717.94871794863</v>
      </c>
      <c r="J66" s="29">
        <v>808819.14999999979</v>
      </c>
      <c r="K66" s="31">
        <v>0.92784501132452846</v>
      </c>
      <c r="L66" s="39"/>
      <c r="M66" s="29">
        <v>248969.71787610627</v>
      </c>
      <c r="N66" s="29">
        <v>66668.924043567065</v>
      </c>
      <c r="O66" s="27">
        <v>5232.5599999999995</v>
      </c>
      <c r="P66" s="29">
        <v>82869.060699999944</v>
      </c>
      <c r="Q66" s="31">
        <v>1.2429938219168852</v>
      </c>
      <c r="R66" s="39"/>
      <c r="S66" s="128">
        <v>7.655895383644104E-2</v>
      </c>
      <c r="T66" s="128">
        <v>0.10245684798635142</v>
      </c>
      <c r="U66" s="39"/>
      <c r="V66" s="29"/>
      <c r="W66" s="32">
        <v>-3.5642973215953164</v>
      </c>
      <c r="X66" s="30" t="s">
        <v>69</v>
      </c>
      <c r="Y66" s="39"/>
      <c r="Z66" s="62"/>
      <c r="AA66" s="27">
        <v>117435.89743589744</v>
      </c>
      <c r="AB66" s="27">
        <v>156730.39999999997</v>
      </c>
      <c r="AC66" s="39"/>
      <c r="AD66" s="29">
        <v>8852.9891490810096</v>
      </c>
      <c r="AE66" s="29">
        <v>9513.5561999999991</v>
      </c>
      <c r="AF66" s="31">
        <v>1.0746151429528816</v>
      </c>
      <c r="AG66" s="39"/>
      <c r="AH66" s="29">
        <v>11032.832198214277</v>
      </c>
      <c r="AI66" s="29">
        <v>309410.57840357121</v>
      </c>
      <c r="AJ66" s="31">
        <v>1.2427639033496509</v>
      </c>
      <c r="AK66" s="39"/>
      <c r="AL66" s="80">
        <v>7.655895383644104E-2</v>
      </c>
      <c r="AM66" s="80">
        <v>6.0700133477615069E-2</v>
      </c>
      <c r="AN66" s="39"/>
      <c r="AO66" s="32">
        <v>0</v>
      </c>
      <c r="AP66" s="31">
        <v>0</v>
      </c>
      <c r="AQ66" s="10"/>
    </row>
    <row r="67" spans="1:43" ht="8" customHeight="1" x14ac:dyDescent="0.3">
      <c r="B67" s="16"/>
      <c r="D67" s="34"/>
      <c r="E67" s="47"/>
      <c r="F67" s="125"/>
      <c r="G67" s="34"/>
      <c r="H67" s="48"/>
      <c r="I67" s="48"/>
      <c r="J67" s="48"/>
      <c r="K67" s="51"/>
      <c r="L67" s="34"/>
      <c r="M67" s="48"/>
      <c r="N67" s="48"/>
      <c r="O67" s="51"/>
      <c r="P67" s="48"/>
      <c r="Q67" s="47"/>
      <c r="R67" s="34"/>
      <c r="S67" s="51"/>
      <c r="T67" s="51"/>
      <c r="U67" s="34"/>
      <c r="V67" s="48"/>
      <c r="W67" s="52"/>
      <c r="X67" s="48"/>
      <c r="Y67" s="34"/>
      <c r="Z67" s="62"/>
      <c r="AA67" s="47"/>
      <c r="AB67" s="47"/>
      <c r="AC67" s="36"/>
      <c r="AD67" s="48"/>
      <c r="AE67" s="48"/>
      <c r="AF67" s="47"/>
      <c r="AG67" s="36"/>
      <c r="AH67" s="48"/>
      <c r="AI67" s="48"/>
      <c r="AJ67" s="47"/>
      <c r="AK67" s="36"/>
      <c r="AL67" s="49"/>
      <c r="AM67" s="53"/>
      <c r="AN67" s="36"/>
      <c r="AO67" s="52"/>
      <c r="AP67" s="47"/>
    </row>
    <row r="68" spans="1:43" ht="12.75" customHeight="1" x14ac:dyDescent="0.3">
      <c r="A68" s="7" t="s">
        <v>23</v>
      </c>
      <c r="B68" s="235" t="s">
        <v>76</v>
      </c>
      <c r="C68" s="6" t="s">
        <v>8</v>
      </c>
      <c r="D68" s="34"/>
      <c r="E68" s="33">
        <v>261955.52000000037</v>
      </c>
      <c r="F68" s="123">
        <v>4.0930550000000059</v>
      </c>
      <c r="G68" s="7"/>
      <c r="H68" s="35">
        <v>64000</v>
      </c>
      <c r="I68" s="35">
        <v>17230.76923076923</v>
      </c>
      <c r="J68" s="35">
        <v>17718.05999999995</v>
      </c>
      <c r="K68" s="70">
        <v>1.0282802678571399</v>
      </c>
      <c r="L68" s="36"/>
      <c r="M68" s="35">
        <v>12928</v>
      </c>
      <c r="N68" s="35">
        <v>3480.6153846153848</v>
      </c>
      <c r="O68" s="37">
        <v>0</v>
      </c>
      <c r="P68" s="35">
        <v>3637.6700000000069</v>
      </c>
      <c r="Q68" s="115">
        <v>1.0451226573550232</v>
      </c>
      <c r="R68" s="36"/>
      <c r="S68" s="127">
        <v>0.20200000000000001</v>
      </c>
      <c r="T68" s="127">
        <v>0.20530859473328442</v>
      </c>
      <c r="U68" s="36"/>
      <c r="V68" s="35"/>
      <c r="W68" s="38">
        <v>8.9203332644767954</v>
      </c>
      <c r="X68" s="69" t="s">
        <v>69</v>
      </c>
      <c r="Y68" s="36"/>
      <c r="Z68" s="62"/>
      <c r="AA68" s="33">
        <v>2461.5384615384614</v>
      </c>
      <c r="AB68" s="33">
        <v>1642.3000000000009</v>
      </c>
      <c r="AC68" s="36"/>
      <c r="AD68" s="35">
        <v>497.23076923076923</v>
      </c>
      <c r="AE68" s="35">
        <v>362.33999999999992</v>
      </c>
      <c r="AF68" s="115">
        <v>0.72871596534653449</v>
      </c>
      <c r="AG68" s="36"/>
      <c r="AH68" s="35">
        <v>519.66714285714386</v>
      </c>
      <c r="AI68" s="35">
        <v>13511.345714285741</v>
      </c>
      <c r="AJ68" s="115">
        <v>1.0451226573550232</v>
      </c>
      <c r="AK68" s="36"/>
      <c r="AL68" s="108">
        <v>0.20200000000000001</v>
      </c>
      <c r="AM68" s="108">
        <v>0.22062960482250485</v>
      </c>
      <c r="AN68" s="36"/>
      <c r="AO68" s="38">
        <v>10.611946660171759</v>
      </c>
      <c r="AP68" s="70">
        <v>0</v>
      </c>
    </row>
    <row r="69" spans="1:43" ht="12.75" customHeight="1" x14ac:dyDescent="0.3">
      <c r="A69" s="7" t="s">
        <v>23</v>
      </c>
      <c r="B69" s="211"/>
      <c r="C69" s="6" t="s">
        <v>9</v>
      </c>
      <c r="D69" s="34"/>
      <c r="E69" s="33">
        <v>322945.50000000035</v>
      </c>
      <c r="F69" s="123">
        <v>2.2583601398601423</v>
      </c>
      <c r="G69" s="7"/>
      <c r="H69" s="35">
        <v>143000</v>
      </c>
      <c r="I69" s="35">
        <v>38133.333333333336</v>
      </c>
      <c r="J69" s="35">
        <v>39240.920000000515</v>
      </c>
      <c r="K69" s="70">
        <v>1.0290451048951184</v>
      </c>
      <c r="L69" s="36"/>
      <c r="M69" s="35">
        <v>34694.736930389947</v>
      </c>
      <c r="N69" s="35">
        <v>9251.9298481039859</v>
      </c>
      <c r="O69" s="37">
        <v>0</v>
      </c>
      <c r="P69" s="35">
        <v>8777.8499999999913</v>
      </c>
      <c r="Q69" s="115">
        <v>0.9487588150918429</v>
      </c>
      <c r="R69" s="36"/>
      <c r="S69" s="127">
        <v>0.24262053797475489</v>
      </c>
      <c r="T69" s="127">
        <v>0.22369123863558438</v>
      </c>
      <c r="U69" s="36"/>
      <c r="V69" s="35"/>
      <c r="W69" s="38">
        <v>10.413084096907893</v>
      </c>
      <c r="X69" s="69" t="s">
        <v>69</v>
      </c>
      <c r="Y69" s="36"/>
      <c r="Z69" s="62"/>
      <c r="AA69" s="33">
        <v>4766.666666666667</v>
      </c>
      <c r="AB69" s="33">
        <v>4113.4999999999882</v>
      </c>
      <c r="AC69" s="36"/>
      <c r="AD69" s="35">
        <v>1156.4912310129982</v>
      </c>
      <c r="AE69" s="35">
        <v>932.71000000000083</v>
      </c>
      <c r="AF69" s="115">
        <v>0.80649984624874149</v>
      </c>
      <c r="AG69" s="36"/>
      <c r="AH69" s="35">
        <v>1097.2312499999989</v>
      </c>
      <c r="AI69" s="35">
        <v>32916.937499999971</v>
      </c>
      <c r="AJ69" s="115">
        <v>0.94875881509184301</v>
      </c>
      <c r="AK69" s="36"/>
      <c r="AL69" s="108">
        <v>0.24262053797475489</v>
      </c>
      <c r="AM69" s="108">
        <v>0.2267436489607399</v>
      </c>
      <c r="AN69" s="36"/>
      <c r="AO69" s="38">
        <v>10.741461042907297</v>
      </c>
      <c r="AP69" s="70">
        <v>0</v>
      </c>
    </row>
    <row r="70" spans="1:43" ht="12.75" customHeight="1" x14ac:dyDescent="0.3">
      <c r="A70" s="7" t="s">
        <v>23</v>
      </c>
      <c r="B70" s="211"/>
      <c r="C70" s="6" t="s">
        <v>10</v>
      </c>
      <c r="D70" s="34"/>
      <c r="E70" s="33">
        <v>526579.36000000034</v>
      </c>
      <c r="F70" s="123">
        <v>2.7714703157894753</v>
      </c>
      <c r="G70" s="7"/>
      <c r="H70" s="35">
        <v>190000</v>
      </c>
      <c r="I70" s="35">
        <v>50666.666666666664</v>
      </c>
      <c r="J70" s="35">
        <v>54709.450000000223</v>
      </c>
      <c r="K70" s="70">
        <v>1.0797917763157938</v>
      </c>
      <c r="L70" s="36"/>
      <c r="M70" s="35">
        <v>45410</v>
      </c>
      <c r="N70" s="35">
        <v>12109.333333333334</v>
      </c>
      <c r="O70" s="37">
        <v>0</v>
      </c>
      <c r="P70" s="35">
        <v>12052.610000000032</v>
      </c>
      <c r="Q70" s="115">
        <v>0.99531573441973387</v>
      </c>
      <c r="R70" s="36"/>
      <c r="S70" s="127">
        <v>0.23899999999999999</v>
      </c>
      <c r="T70" s="127">
        <v>0.22030215986452034</v>
      </c>
      <c r="U70" s="36"/>
      <c r="V70" s="35"/>
      <c r="W70" s="38">
        <v>10.236878637968633</v>
      </c>
      <c r="X70" s="69" t="s">
        <v>69</v>
      </c>
      <c r="Y70" s="36"/>
      <c r="Z70" s="62"/>
      <c r="AA70" s="33">
        <v>6333.333333333333</v>
      </c>
      <c r="AB70" s="33">
        <v>5201.3999999999833</v>
      </c>
      <c r="AC70" s="36"/>
      <c r="AD70" s="35">
        <v>1513.6666666666667</v>
      </c>
      <c r="AE70" s="35">
        <v>1145.2499999999995</v>
      </c>
      <c r="AF70" s="115">
        <v>0.75660647434485762</v>
      </c>
      <c r="AG70" s="36"/>
      <c r="AH70" s="35">
        <v>1506.5762500000039</v>
      </c>
      <c r="AI70" s="35">
        <v>45197.287500000115</v>
      </c>
      <c r="AJ70" s="115">
        <v>0.99531573441973387</v>
      </c>
      <c r="AK70" s="36"/>
      <c r="AL70" s="108">
        <v>0.23899999999999999</v>
      </c>
      <c r="AM70" s="108">
        <v>0.22018110508709257</v>
      </c>
      <c r="AN70" s="36"/>
      <c r="AO70" s="38">
        <v>10.332025993001547</v>
      </c>
      <c r="AP70" s="70">
        <v>0</v>
      </c>
    </row>
    <row r="71" spans="1:43" ht="12.75" customHeight="1" x14ac:dyDescent="0.3">
      <c r="A71" s="7" t="s">
        <v>23</v>
      </c>
      <c r="B71" s="211"/>
      <c r="C71" s="6" t="s">
        <v>12</v>
      </c>
      <c r="D71" s="34"/>
      <c r="E71" s="33">
        <v>23724.970000000005</v>
      </c>
      <c r="F71" s="123">
        <v>6.7785628571428589</v>
      </c>
      <c r="G71" s="7"/>
      <c r="H71" s="35">
        <v>3500</v>
      </c>
      <c r="I71" s="35">
        <v>942.30769230769226</v>
      </c>
      <c r="J71" s="35">
        <v>1528.2600000000004</v>
      </c>
      <c r="K71" s="70">
        <v>1.6218269387755107</v>
      </c>
      <c r="L71" s="36"/>
      <c r="M71" s="35">
        <v>840</v>
      </c>
      <c r="N71" s="35">
        <v>226.15384615384613</v>
      </c>
      <c r="O71" s="37">
        <v>0</v>
      </c>
      <c r="P71" s="35">
        <v>422.33000000000015</v>
      </c>
      <c r="Q71" s="115">
        <v>1.8674455782312933</v>
      </c>
      <c r="R71" s="36"/>
      <c r="S71" s="127">
        <v>0.24</v>
      </c>
      <c r="T71" s="127">
        <v>0.27634695666967662</v>
      </c>
      <c r="U71" s="36"/>
      <c r="V71" s="35"/>
      <c r="W71" s="38">
        <v>14.032952508081115</v>
      </c>
      <c r="X71" s="69" t="s">
        <v>69</v>
      </c>
      <c r="Y71" s="36"/>
      <c r="Z71" s="62"/>
      <c r="AA71" s="33">
        <v>134.61538461538461</v>
      </c>
      <c r="AB71" s="33">
        <v>72.749999999999986</v>
      </c>
      <c r="AC71" s="36"/>
      <c r="AD71" s="35">
        <v>32.307692307692307</v>
      </c>
      <c r="AE71" s="35">
        <v>23.419999999999995</v>
      </c>
      <c r="AF71" s="115">
        <v>0.72490476190476172</v>
      </c>
      <c r="AG71" s="36"/>
      <c r="AH71" s="35">
        <v>60.332857142857165</v>
      </c>
      <c r="AI71" s="35">
        <v>1568.6542857142863</v>
      </c>
      <c r="AJ71" s="115">
        <v>1.8674455782312931</v>
      </c>
      <c r="AK71" s="36"/>
      <c r="AL71" s="108">
        <v>0.24</v>
      </c>
      <c r="AM71" s="108">
        <v>0.32192439862542954</v>
      </c>
      <c r="AN71" s="36"/>
      <c r="AO71" s="38">
        <v>20.343642611683819</v>
      </c>
      <c r="AP71" s="70">
        <v>0</v>
      </c>
    </row>
    <row r="72" spans="1:43" s="15" customFormat="1" ht="14.25" customHeight="1" x14ac:dyDescent="0.3">
      <c r="A72" s="26"/>
      <c r="B72" s="211"/>
      <c r="C72" s="9" t="s">
        <v>79</v>
      </c>
      <c r="D72" s="28"/>
      <c r="E72" s="27">
        <v>1135205.350000001</v>
      </c>
      <c r="F72" s="124">
        <v>2.8344702871410763</v>
      </c>
      <c r="G72" s="26"/>
      <c r="H72" s="29">
        <v>400500</v>
      </c>
      <c r="I72" s="29">
        <v>106973.07692307691</v>
      </c>
      <c r="J72" s="29">
        <v>113196.69000000069</v>
      </c>
      <c r="K72" s="31">
        <v>1.0581792471146652</v>
      </c>
      <c r="L72" s="39"/>
      <c r="M72" s="29">
        <v>93872.736930389947</v>
      </c>
      <c r="N72" s="29">
        <v>25068.032412206554</v>
      </c>
      <c r="O72" s="27">
        <v>0</v>
      </c>
      <c r="P72" s="29">
        <v>24890.460000000032</v>
      </c>
      <c r="Q72" s="31">
        <v>0.99291638014158401</v>
      </c>
      <c r="R72" s="39"/>
      <c r="S72" s="128">
        <v>0.23438885625565531</v>
      </c>
      <c r="T72" s="128">
        <v>0.21988681824530276</v>
      </c>
      <c r="U72" s="39"/>
      <c r="V72" s="29"/>
      <c r="W72" s="32">
        <v>10.143141111281997</v>
      </c>
      <c r="X72" s="30" t="s">
        <v>69</v>
      </c>
      <c r="Y72" s="39"/>
      <c r="Z72" s="62"/>
      <c r="AA72" s="27">
        <v>13696.153846153846</v>
      </c>
      <c r="AB72" s="27">
        <v>11029.949999999972</v>
      </c>
      <c r="AC72" s="39"/>
      <c r="AD72" s="29">
        <v>3199.6963592181264</v>
      </c>
      <c r="AE72" s="29">
        <v>2463.7200000000003</v>
      </c>
      <c r="AF72" s="31">
        <v>0.76998556219316749</v>
      </c>
      <c r="AG72" s="39"/>
      <c r="AH72" s="29">
        <v>3183.8075000000044</v>
      </c>
      <c r="AI72" s="29">
        <v>93194.225000000122</v>
      </c>
      <c r="AJ72" s="31">
        <v>0.99277200225990037</v>
      </c>
      <c r="AK72" s="39"/>
      <c r="AL72" s="80">
        <v>0.23438885625565531</v>
      </c>
      <c r="AM72" s="80">
        <v>0.22336637972067022</v>
      </c>
      <c r="AN72" s="39"/>
      <c r="AO72" s="32">
        <v>0</v>
      </c>
      <c r="AP72" s="31">
        <v>0</v>
      </c>
      <c r="AQ72" s="10"/>
    </row>
    <row r="73" spans="1:43" ht="7.75" customHeight="1" x14ac:dyDescent="0.3">
      <c r="B73" s="16"/>
      <c r="D73" s="34"/>
      <c r="E73" s="47"/>
      <c r="F73" s="125"/>
      <c r="G73" s="34"/>
      <c r="H73" s="48"/>
      <c r="I73" s="48"/>
      <c r="J73" s="48"/>
      <c r="K73" s="51"/>
      <c r="L73" s="34"/>
      <c r="M73" s="48"/>
      <c r="N73" s="48"/>
      <c r="O73" s="51"/>
      <c r="P73" s="48"/>
      <c r="Q73" s="47"/>
      <c r="R73" s="34"/>
      <c r="S73" s="51"/>
      <c r="T73" s="51"/>
      <c r="U73" s="34"/>
      <c r="V73" s="48"/>
      <c r="W73" s="52"/>
      <c r="X73" s="48"/>
      <c r="Y73" s="34"/>
      <c r="Z73" s="62"/>
      <c r="AA73" s="47"/>
      <c r="AB73" s="47"/>
      <c r="AC73" s="36"/>
      <c r="AD73" s="48"/>
      <c r="AE73" s="48"/>
      <c r="AF73" s="47"/>
      <c r="AG73" s="36"/>
      <c r="AH73" s="48"/>
      <c r="AI73" s="48"/>
      <c r="AJ73" s="47"/>
      <c r="AK73" s="36"/>
      <c r="AL73" s="49"/>
      <c r="AM73" s="53"/>
      <c r="AN73" s="36"/>
      <c r="AO73" s="52"/>
      <c r="AP73" s="47"/>
    </row>
    <row r="74" spans="1:43" ht="12.75" customHeight="1" x14ac:dyDescent="0.3">
      <c r="A74" s="7" t="s">
        <v>68</v>
      </c>
      <c r="B74" s="211" t="s">
        <v>70</v>
      </c>
      <c r="C74" s="6" t="s">
        <v>8</v>
      </c>
      <c r="D74" s="34"/>
      <c r="E74" s="33">
        <v>36230.22000000003</v>
      </c>
      <c r="F74" s="123">
        <v>0.54894272727272775</v>
      </c>
      <c r="G74" s="7"/>
      <c r="H74" s="35">
        <v>66000</v>
      </c>
      <c r="I74" s="35">
        <v>17769.23076923077</v>
      </c>
      <c r="J74" s="35">
        <v>20503.900000000034</v>
      </c>
      <c r="K74" s="70">
        <v>1.153899134199136</v>
      </c>
      <c r="L74" s="36"/>
      <c r="M74" s="35">
        <v>11550</v>
      </c>
      <c r="N74" s="35">
        <v>3109.6153846153848</v>
      </c>
      <c r="O74" s="37">
        <v>158.76</v>
      </c>
      <c r="P74" s="35">
        <v>2236.84</v>
      </c>
      <c r="Q74" s="115">
        <v>0.71933011750154607</v>
      </c>
      <c r="R74" s="36"/>
      <c r="S74" s="127">
        <v>0.17499999999999999</v>
      </c>
      <c r="T74" s="127">
        <v>0.10909339198884098</v>
      </c>
      <c r="U74" s="36"/>
      <c r="V74" s="35"/>
      <c r="W74" s="38">
        <v>-0.81174800891533394</v>
      </c>
      <c r="X74" s="69" t="s">
        <v>69</v>
      </c>
      <c r="Y74" s="36"/>
      <c r="Z74" s="62"/>
      <c r="AA74" s="33">
        <v>2538.4615384615386</v>
      </c>
      <c r="AB74" s="33">
        <v>2222.3499999999985</v>
      </c>
      <c r="AC74" s="36"/>
      <c r="AD74" s="35">
        <v>444.23076923076923</v>
      </c>
      <c r="AE74" s="35">
        <v>452.68000000000006</v>
      </c>
      <c r="AF74" s="115">
        <v>1.0190199134199136</v>
      </c>
      <c r="AG74" s="36"/>
      <c r="AH74" s="35">
        <v>319.54857142857145</v>
      </c>
      <c r="AI74" s="35">
        <v>8308.2628571428577</v>
      </c>
      <c r="AJ74" s="115">
        <v>0.71933011750154607</v>
      </c>
      <c r="AK74" s="36"/>
      <c r="AL74" s="108">
        <v>0.17499999999999999</v>
      </c>
      <c r="AM74" s="108">
        <v>0.20369428757846439</v>
      </c>
      <c r="AN74" s="36"/>
      <c r="AO74" s="38">
        <v>9.3284136162170093</v>
      </c>
      <c r="AP74" s="70">
        <v>0</v>
      </c>
    </row>
    <row r="75" spans="1:43" ht="12.5" customHeight="1" x14ac:dyDescent="0.3">
      <c r="A75" s="7" t="s">
        <v>68</v>
      </c>
      <c r="B75" s="211"/>
      <c r="C75" s="6" t="s">
        <v>9</v>
      </c>
      <c r="D75" s="34"/>
      <c r="E75" s="33">
        <v>104453.81000000014</v>
      </c>
      <c r="F75" s="123">
        <v>0.68270464052287672</v>
      </c>
      <c r="G75" s="7"/>
      <c r="H75" s="35">
        <v>153000</v>
      </c>
      <c r="I75" s="35">
        <v>40800</v>
      </c>
      <c r="J75" s="35">
        <v>53111.000000000597</v>
      </c>
      <c r="K75" s="70">
        <v>1.301740196078446</v>
      </c>
      <c r="L75" s="36"/>
      <c r="M75" s="35">
        <v>30083.290842020251</v>
      </c>
      <c r="N75" s="35">
        <v>8022.2108912054</v>
      </c>
      <c r="O75" s="37">
        <v>255.66</v>
      </c>
      <c r="P75" s="35">
        <v>7756.3000000000011</v>
      </c>
      <c r="Q75" s="115">
        <v>0.96685316618927186</v>
      </c>
      <c r="R75" s="36"/>
      <c r="S75" s="127">
        <v>0.19662281596091669</v>
      </c>
      <c r="T75" s="127">
        <v>0.14603942686072402</v>
      </c>
      <c r="U75" s="36"/>
      <c r="V75" s="35"/>
      <c r="W75" s="38">
        <v>3.7094010656934526</v>
      </c>
      <c r="X75" s="69" t="s">
        <v>69</v>
      </c>
      <c r="Y75" s="36"/>
      <c r="Z75" s="62"/>
      <c r="AA75" s="33">
        <v>5100</v>
      </c>
      <c r="AB75" s="33">
        <v>6234.4999999999782</v>
      </c>
      <c r="AC75" s="36"/>
      <c r="AD75" s="35">
        <v>1002.776361400675</v>
      </c>
      <c r="AE75" s="35">
        <v>1207.7300000000002</v>
      </c>
      <c r="AF75" s="115">
        <v>1.2043861886742591</v>
      </c>
      <c r="AG75" s="36"/>
      <c r="AH75" s="35">
        <v>969.53750000000014</v>
      </c>
      <c r="AI75" s="35">
        <v>29086.125000000004</v>
      </c>
      <c r="AJ75" s="115">
        <v>0.96685316618927175</v>
      </c>
      <c r="AK75" s="36"/>
      <c r="AL75" s="108">
        <v>0.19662281596091669</v>
      </c>
      <c r="AM75" s="108">
        <v>0.19371721870238262</v>
      </c>
      <c r="AN75" s="36"/>
      <c r="AO75" s="38">
        <v>8.5649210040897739</v>
      </c>
      <c r="AP75" s="70">
        <v>0</v>
      </c>
    </row>
    <row r="76" spans="1:43" ht="12.75" customHeight="1" x14ac:dyDescent="0.3">
      <c r="A76" s="7" t="s">
        <v>68</v>
      </c>
      <c r="B76" s="211"/>
      <c r="C76" s="6" t="s">
        <v>10</v>
      </c>
      <c r="D76" s="34"/>
      <c r="E76" s="33">
        <v>144425.54000000007</v>
      </c>
      <c r="F76" s="123">
        <v>0.63344535087719323</v>
      </c>
      <c r="G76" s="7"/>
      <c r="H76" s="35">
        <v>228000</v>
      </c>
      <c r="I76" s="35">
        <v>60800</v>
      </c>
      <c r="J76" s="35">
        <v>71538.110000000495</v>
      </c>
      <c r="K76" s="70">
        <v>1.1766136513157976</v>
      </c>
      <c r="L76" s="36"/>
      <c r="M76" s="35">
        <v>39900</v>
      </c>
      <c r="N76" s="35">
        <v>10640</v>
      </c>
      <c r="O76" s="37">
        <v>1049.3700000000001</v>
      </c>
      <c r="P76" s="35">
        <v>10414.280000000006</v>
      </c>
      <c r="Q76" s="115">
        <v>0.97878571428571481</v>
      </c>
      <c r="R76" s="36"/>
      <c r="S76" s="127">
        <v>0.17499999999999999</v>
      </c>
      <c r="T76" s="127">
        <v>0.14557667234988364</v>
      </c>
      <c r="U76" s="36"/>
      <c r="V76" s="35"/>
      <c r="W76" s="38">
        <v>2.8686528061765642</v>
      </c>
      <c r="X76" s="69" t="s">
        <v>69</v>
      </c>
      <c r="Y76" s="36"/>
      <c r="Z76" s="62"/>
      <c r="AA76" s="33">
        <v>7600</v>
      </c>
      <c r="AB76" s="33">
        <v>6811.5299999999661</v>
      </c>
      <c r="AC76" s="36"/>
      <c r="AD76" s="35">
        <v>1330</v>
      </c>
      <c r="AE76" s="35">
        <v>1383.3599999999997</v>
      </c>
      <c r="AF76" s="115">
        <v>1.0401203007518796</v>
      </c>
      <c r="AG76" s="36"/>
      <c r="AH76" s="35">
        <v>1301.7850000000008</v>
      </c>
      <c r="AI76" s="35">
        <v>39053.550000000025</v>
      </c>
      <c r="AJ76" s="115">
        <v>0.97878571428571493</v>
      </c>
      <c r="AK76" s="36"/>
      <c r="AL76" s="108">
        <v>0.17499999999999999</v>
      </c>
      <c r="AM76" s="108">
        <v>0.20309093551669105</v>
      </c>
      <c r="AN76" s="36"/>
      <c r="AO76" s="38">
        <v>10.11329319550768</v>
      </c>
      <c r="AP76" s="70">
        <v>0</v>
      </c>
    </row>
    <row r="77" spans="1:43" ht="12.75" customHeight="1" x14ac:dyDescent="0.3">
      <c r="A77" s="7" t="s">
        <v>68</v>
      </c>
      <c r="B77" s="211"/>
      <c r="C77" s="6" t="s">
        <v>12</v>
      </c>
      <c r="D77" s="34"/>
      <c r="E77" s="33">
        <v>6701.7499999999973</v>
      </c>
      <c r="F77" s="123">
        <v>0.95739285714285671</v>
      </c>
      <c r="G77" s="7"/>
      <c r="H77" s="35">
        <v>7000</v>
      </c>
      <c r="I77" s="35">
        <v>1884.6153846153845</v>
      </c>
      <c r="J77" s="35">
        <v>2155.42</v>
      </c>
      <c r="K77" s="70">
        <v>1.1436922448979592</v>
      </c>
      <c r="L77" s="36"/>
      <c r="M77" s="35">
        <v>1104.2494392822834</v>
      </c>
      <c r="N77" s="35">
        <v>297.29792596061475</v>
      </c>
      <c r="O77" s="37">
        <v>700.07</v>
      </c>
      <c r="P77" s="35">
        <v>610.5100000000001</v>
      </c>
      <c r="Q77" s="115">
        <v>2.0535292939812804</v>
      </c>
      <c r="R77" s="36"/>
      <c r="S77" s="127">
        <v>0.15774991989746906</v>
      </c>
      <c r="T77" s="127">
        <v>0.28324410091768659</v>
      </c>
      <c r="U77" s="36"/>
      <c r="V77" s="35"/>
      <c r="W77" s="38">
        <v>-14.150838351690231</v>
      </c>
      <c r="X77" s="69" t="s">
        <v>69</v>
      </c>
      <c r="Y77" s="36"/>
      <c r="Z77" s="62"/>
      <c r="AA77" s="33">
        <v>269.23076923076923</v>
      </c>
      <c r="AB77" s="33">
        <v>127.91999999999999</v>
      </c>
      <c r="AC77" s="36"/>
      <c r="AD77" s="35">
        <v>42.471132280087822</v>
      </c>
      <c r="AE77" s="35">
        <v>30.570000000000004</v>
      </c>
      <c r="AF77" s="115">
        <v>0.71978302340511069</v>
      </c>
      <c r="AG77" s="36"/>
      <c r="AH77" s="35">
        <v>87.215714285714299</v>
      </c>
      <c r="AI77" s="35">
        <v>2267.6085714285718</v>
      </c>
      <c r="AJ77" s="115">
        <v>2.0535292939812799</v>
      </c>
      <c r="AK77" s="36"/>
      <c r="AL77" s="108">
        <v>0.15774991989746906</v>
      </c>
      <c r="AM77" s="108">
        <v>0.23897748592870549</v>
      </c>
      <c r="AN77" s="36"/>
      <c r="AO77" s="38">
        <v>13.289555972482791</v>
      </c>
      <c r="AP77" s="70">
        <v>0</v>
      </c>
    </row>
    <row r="78" spans="1:43" s="15" customFormat="1" ht="14.25" customHeight="1" x14ac:dyDescent="0.3">
      <c r="A78" s="26"/>
      <c r="B78" s="211"/>
      <c r="C78" s="9" t="s">
        <v>80</v>
      </c>
      <c r="D78" s="28"/>
      <c r="E78" s="27">
        <v>291811.32000000024</v>
      </c>
      <c r="F78" s="124">
        <v>0.64275621145374506</v>
      </c>
      <c r="G78" s="26"/>
      <c r="H78" s="29">
        <v>454000</v>
      </c>
      <c r="I78" s="29">
        <v>121253.84615384616</v>
      </c>
      <c r="J78" s="29">
        <v>147308.43000000113</v>
      </c>
      <c r="K78" s="31">
        <v>1.2148763496796389</v>
      </c>
      <c r="L78" s="39"/>
      <c r="M78" s="29">
        <v>82637.540281302528</v>
      </c>
      <c r="N78" s="29">
        <v>22069.1242017814</v>
      </c>
      <c r="O78" s="27">
        <v>2163.86</v>
      </c>
      <c r="P78" s="29">
        <v>21017.930000000004</v>
      </c>
      <c r="Q78" s="31">
        <v>0.95236810522383375</v>
      </c>
      <c r="R78" s="39"/>
      <c r="S78" s="128">
        <v>0.18202101383546812</v>
      </c>
      <c r="T78" s="128">
        <v>0.14267975023561003</v>
      </c>
      <c r="U78" s="39"/>
      <c r="V78" s="29"/>
      <c r="W78" s="32">
        <v>2.4104730462480273</v>
      </c>
      <c r="X78" s="30" t="s">
        <v>69</v>
      </c>
      <c r="Y78" s="39"/>
      <c r="Z78" s="62"/>
      <c r="AA78" s="27">
        <v>15507.692307692309</v>
      </c>
      <c r="AB78" s="27">
        <v>15396.299999999943</v>
      </c>
      <c r="AC78" s="39"/>
      <c r="AD78" s="29">
        <v>2819.4782629115316</v>
      </c>
      <c r="AE78" s="29">
        <v>3074.34</v>
      </c>
      <c r="AF78" s="31">
        <v>1.0903932264493807</v>
      </c>
      <c r="AG78" s="39"/>
      <c r="AH78" s="29">
        <v>2678.0867857142871</v>
      </c>
      <c r="AI78" s="29">
        <v>78715.546428571455</v>
      </c>
      <c r="AJ78" s="31">
        <v>0.95253980407233318</v>
      </c>
      <c r="AK78" s="39"/>
      <c r="AL78" s="80">
        <v>0.18202101383546812</v>
      </c>
      <c r="AM78" s="80">
        <v>0.19968044270376725</v>
      </c>
      <c r="AN78" s="39"/>
      <c r="AO78" s="32">
        <v>0</v>
      </c>
      <c r="AP78" s="31">
        <v>0</v>
      </c>
      <c r="AQ78" s="10"/>
    </row>
    <row r="79" spans="1:43" ht="8" customHeight="1" x14ac:dyDescent="0.3">
      <c r="B79" s="16"/>
      <c r="D79" s="34"/>
      <c r="E79" s="47"/>
      <c r="F79" s="125"/>
      <c r="G79" s="34"/>
      <c r="H79" s="48"/>
      <c r="I79" s="48"/>
      <c r="J79" s="48"/>
      <c r="K79" s="51"/>
      <c r="L79" s="34"/>
      <c r="M79" s="48"/>
      <c r="N79" s="48"/>
      <c r="O79" s="51"/>
      <c r="P79" s="48"/>
      <c r="Q79" s="47"/>
      <c r="R79" s="34"/>
      <c r="S79" s="51"/>
      <c r="T79" s="51"/>
      <c r="U79" s="34"/>
      <c r="V79" s="48"/>
      <c r="W79" s="52"/>
      <c r="X79" s="48"/>
      <c r="Y79" s="34"/>
      <c r="Z79" s="62"/>
      <c r="AA79" s="47"/>
      <c r="AB79" s="47"/>
      <c r="AC79" s="36"/>
      <c r="AD79" s="48"/>
      <c r="AE79" s="48"/>
      <c r="AF79" s="47"/>
      <c r="AG79" s="36"/>
      <c r="AH79" s="48"/>
      <c r="AI79" s="48"/>
      <c r="AJ79" s="47"/>
      <c r="AK79" s="36"/>
      <c r="AL79" s="49"/>
      <c r="AM79" s="53"/>
      <c r="AN79" s="36"/>
      <c r="AO79" s="52"/>
      <c r="AP79" s="47"/>
    </row>
    <row r="80" spans="1:43" ht="12.75" customHeight="1" x14ac:dyDescent="0.3">
      <c r="A80" s="7" t="s">
        <v>29</v>
      </c>
      <c r="B80" s="211" t="s">
        <v>66</v>
      </c>
      <c r="C80" s="6" t="s">
        <v>8</v>
      </c>
      <c r="D80" s="34"/>
      <c r="E80" s="33">
        <v>579569.59000000055</v>
      </c>
      <c r="F80" s="123">
        <v>2.4148732916666691</v>
      </c>
      <c r="G80" s="7"/>
      <c r="H80" s="35">
        <v>240000</v>
      </c>
      <c r="I80" s="130">
        <v>64615.38461538461</v>
      </c>
      <c r="J80" s="35">
        <v>44376.260000000701</v>
      </c>
      <c r="K80" s="70">
        <v>0.68677545238096327</v>
      </c>
      <c r="L80" s="36"/>
      <c r="M80" s="35">
        <v>26400</v>
      </c>
      <c r="N80" s="35">
        <v>7107.6923076923076</v>
      </c>
      <c r="O80" s="37">
        <v>0</v>
      </c>
      <c r="P80" s="130">
        <v>6594.3199999999697</v>
      </c>
      <c r="Q80" s="70">
        <v>0.92777229437229014</v>
      </c>
      <c r="R80" s="36"/>
      <c r="S80" s="127">
        <v>0.11</v>
      </c>
      <c r="T80" s="127">
        <v>0.14860017495840941</v>
      </c>
      <c r="U80" s="36"/>
      <c r="V80" s="35"/>
      <c r="W80" s="38">
        <v>5.0571183781614053</v>
      </c>
      <c r="X80" s="69" t="s">
        <v>69</v>
      </c>
      <c r="Y80" s="36"/>
      <c r="Z80" s="62"/>
      <c r="AA80" s="33">
        <v>9230.7692307692305</v>
      </c>
      <c r="AB80" s="33">
        <v>5955.1099999999751</v>
      </c>
      <c r="AC80" s="36"/>
      <c r="AD80" s="35">
        <v>1015.3846153846154</v>
      </c>
      <c r="AE80" s="35">
        <v>834.90000000000009</v>
      </c>
      <c r="AF80" s="115">
        <v>0.82225000000000015</v>
      </c>
      <c r="AG80" s="36"/>
      <c r="AH80" s="35">
        <v>942.04571428571001</v>
      </c>
      <c r="AI80" s="35">
        <v>24493.188571428462</v>
      </c>
      <c r="AJ80" s="115">
        <v>0.92777229437229025</v>
      </c>
      <c r="AK80" s="36"/>
      <c r="AL80" s="108">
        <v>0.11</v>
      </c>
      <c r="AM80" s="108">
        <v>0.14019892159842615</v>
      </c>
      <c r="AN80" s="36"/>
      <c r="AO80" s="38">
        <v>4.5460117445349306</v>
      </c>
      <c r="AP80" s="70">
        <v>0</v>
      </c>
    </row>
    <row r="81" spans="1:43" ht="12.75" customHeight="1" x14ac:dyDescent="0.3">
      <c r="A81" s="7" t="s">
        <v>29</v>
      </c>
      <c r="B81" s="211"/>
      <c r="C81" s="6" t="s">
        <v>9</v>
      </c>
      <c r="D81" s="34"/>
      <c r="E81" s="33">
        <v>456666.69999999978</v>
      </c>
      <c r="F81" s="123">
        <v>1.3431373529411759</v>
      </c>
      <c r="G81" s="7"/>
      <c r="H81" s="35">
        <v>340000</v>
      </c>
      <c r="I81" s="130">
        <v>90666.666666666672</v>
      </c>
      <c r="J81" s="35">
        <v>83668.800000001254</v>
      </c>
      <c r="K81" s="70">
        <v>0.92281764705883729</v>
      </c>
      <c r="L81" s="36"/>
      <c r="M81" s="35">
        <v>50660</v>
      </c>
      <c r="N81" s="35">
        <v>13509.333333333334</v>
      </c>
      <c r="O81" s="37">
        <v>0</v>
      </c>
      <c r="P81" s="130">
        <v>13149.920000000102</v>
      </c>
      <c r="Q81" s="70">
        <v>0.97339518357679389</v>
      </c>
      <c r="R81" s="36"/>
      <c r="S81" s="127">
        <v>0.14899999999999999</v>
      </c>
      <c r="T81" s="127">
        <v>0.15716635113686231</v>
      </c>
      <c r="U81" s="36"/>
      <c r="V81" s="35"/>
      <c r="W81" s="38">
        <v>5.8478070678687484</v>
      </c>
      <c r="X81" s="69" t="s">
        <v>69</v>
      </c>
      <c r="Y81" s="36"/>
      <c r="Z81" s="62"/>
      <c r="AA81" s="33">
        <v>11333.333333333334</v>
      </c>
      <c r="AB81" s="33">
        <v>9046.6799999999384</v>
      </c>
      <c r="AC81" s="36"/>
      <c r="AD81" s="35">
        <v>1688.6666666666667</v>
      </c>
      <c r="AE81" s="35">
        <v>1519.4799999999993</v>
      </c>
      <c r="AF81" s="115">
        <v>0.89981050138176033</v>
      </c>
      <c r="AG81" s="36"/>
      <c r="AH81" s="35">
        <v>1643.7400000000127</v>
      </c>
      <c r="AI81" s="35">
        <v>49312.200000000383</v>
      </c>
      <c r="AJ81" s="115">
        <v>0.973395183576794</v>
      </c>
      <c r="AK81" s="36"/>
      <c r="AL81" s="108">
        <v>0.14899999999999999</v>
      </c>
      <c r="AM81" s="108">
        <v>0.16795995879151354</v>
      </c>
      <c r="AN81" s="36"/>
      <c r="AO81" s="38">
        <v>7.1144331401126522</v>
      </c>
      <c r="AP81" s="70">
        <v>0</v>
      </c>
    </row>
    <row r="82" spans="1:43" ht="12.75" customHeight="1" x14ac:dyDescent="0.3">
      <c r="A82" s="7" t="s">
        <v>29</v>
      </c>
      <c r="B82" s="211"/>
      <c r="C82" s="6" t="s">
        <v>10</v>
      </c>
      <c r="D82" s="34"/>
      <c r="E82" s="33">
        <v>895470.19999999821</v>
      </c>
      <c r="F82" s="123">
        <v>2.082488837209298</v>
      </c>
      <c r="G82" s="7"/>
      <c r="H82" s="35">
        <v>430000</v>
      </c>
      <c r="I82" s="130">
        <v>114666.66666666667</v>
      </c>
      <c r="J82" s="35">
        <v>105246.45000000276</v>
      </c>
      <c r="K82" s="70">
        <v>0.91784694767444264</v>
      </c>
      <c r="L82" s="36"/>
      <c r="M82" s="35">
        <v>59770.000000000007</v>
      </c>
      <c r="N82" s="35">
        <v>15938.666666666668</v>
      </c>
      <c r="O82" s="37">
        <v>600</v>
      </c>
      <c r="P82" s="130">
        <v>16595.989999999983</v>
      </c>
      <c r="Q82" s="70">
        <v>1.041240798059226</v>
      </c>
      <c r="R82" s="36"/>
      <c r="S82" s="127">
        <v>0.13900000000000001</v>
      </c>
      <c r="T82" s="127">
        <v>0.15768693385857241</v>
      </c>
      <c r="U82" s="36"/>
      <c r="V82" s="35"/>
      <c r="W82" s="38">
        <v>5.2704295489325341</v>
      </c>
      <c r="X82" s="69" t="s">
        <v>69</v>
      </c>
      <c r="Y82" s="36"/>
      <c r="Z82" s="62"/>
      <c r="AA82" s="33">
        <v>14333.333333333334</v>
      </c>
      <c r="AB82" s="33">
        <v>13736.149999999918</v>
      </c>
      <c r="AC82" s="36"/>
      <c r="AD82" s="35">
        <v>1992.3333333333335</v>
      </c>
      <c r="AE82" s="35">
        <v>2129.4699999999989</v>
      </c>
      <c r="AF82" s="115">
        <v>1.0688321900619033</v>
      </c>
      <c r="AG82" s="36"/>
      <c r="AH82" s="35">
        <v>2074.4987499999979</v>
      </c>
      <c r="AI82" s="35">
        <v>62234.962499999936</v>
      </c>
      <c r="AJ82" s="115">
        <v>1.0412407980592258</v>
      </c>
      <c r="AK82" s="36"/>
      <c r="AL82" s="108">
        <v>0.13900000000000001</v>
      </c>
      <c r="AM82" s="108">
        <v>0.15502669962107371</v>
      </c>
      <c r="AN82" s="36"/>
      <c r="AO82" s="38">
        <v>5.6760445976487466</v>
      </c>
      <c r="AP82" s="70">
        <v>0</v>
      </c>
    </row>
    <row r="83" spans="1:43" ht="12.75" customHeight="1" x14ac:dyDescent="0.3">
      <c r="A83" s="7" t="s">
        <v>29</v>
      </c>
      <c r="B83" s="211"/>
      <c r="C83" s="6" t="s">
        <v>12</v>
      </c>
      <c r="D83" s="34"/>
      <c r="E83" s="33">
        <v>19757.140000000003</v>
      </c>
      <c r="F83" s="123">
        <v>1.9757140000000004</v>
      </c>
      <c r="G83" s="7"/>
      <c r="H83" s="35">
        <v>10000</v>
      </c>
      <c r="I83" s="130">
        <v>2692.3076923076924</v>
      </c>
      <c r="J83" s="35">
        <v>1140.5200000000002</v>
      </c>
      <c r="K83" s="70">
        <v>0.42362171428571438</v>
      </c>
      <c r="L83" s="36"/>
      <c r="M83" s="35">
        <v>1560</v>
      </c>
      <c r="N83" s="35">
        <v>420</v>
      </c>
      <c r="O83" s="37">
        <v>0</v>
      </c>
      <c r="P83" s="130">
        <v>271.93</v>
      </c>
      <c r="Q83" s="70">
        <v>0.647452380952381</v>
      </c>
      <c r="R83" s="36"/>
      <c r="S83" s="127">
        <v>0.156</v>
      </c>
      <c r="T83" s="127">
        <v>0.23842633184863041</v>
      </c>
      <c r="U83" s="36"/>
      <c r="V83" s="35"/>
      <c r="W83" s="38">
        <v>13.910321607687706</v>
      </c>
      <c r="X83" s="69" t="s">
        <v>69</v>
      </c>
      <c r="Y83" s="36"/>
      <c r="Z83" s="62"/>
      <c r="AA83" s="33">
        <v>384.61538461538464</v>
      </c>
      <c r="AB83" s="33">
        <v>117.32999999999998</v>
      </c>
      <c r="AC83" s="36"/>
      <c r="AD83" s="35">
        <v>60</v>
      </c>
      <c r="AE83" s="35">
        <v>29.26</v>
      </c>
      <c r="AF83" s="115">
        <v>0.48766666666666669</v>
      </c>
      <c r="AG83" s="36"/>
      <c r="AH83" s="35">
        <v>38.847142857142856</v>
      </c>
      <c r="AI83" s="35">
        <v>1010.0257142857142</v>
      </c>
      <c r="AJ83" s="115">
        <v>0.64745238095238089</v>
      </c>
      <c r="AK83" s="36"/>
      <c r="AL83" s="108">
        <v>0.156</v>
      </c>
      <c r="AM83" s="108">
        <v>0.24938208471831591</v>
      </c>
      <c r="AN83" s="36"/>
      <c r="AO83" s="38">
        <v>16.764680814795856</v>
      </c>
      <c r="AP83" s="70">
        <v>0</v>
      </c>
    </row>
    <row r="84" spans="1:43" s="15" customFormat="1" ht="14.25" customHeight="1" x14ac:dyDescent="0.3">
      <c r="A84" s="26"/>
      <c r="B84" s="211"/>
      <c r="C84" s="9" t="s">
        <v>81</v>
      </c>
      <c r="D84" s="28"/>
      <c r="E84" s="27">
        <v>1951463.6299999983</v>
      </c>
      <c r="F84" s="124">
        <v>1.9131996372549003</v>
      </c>
      <c r="G84" s="26"/>
      <c r="H84" s="29">
        <v>1020000</v>
      </c>
      <c r="I84" s="29">
        <v>272641.02564102563</v>
      </c>
      <c r="J84" s="29">
        <v>234432.03000000471</v>
      </c>
      <c r="K84" s="31">
        <v>0.85985603028309832</v>
      </c>
      <c r="L84" s="39"/>
      <c r="M84" s="29">
        <v>138390</v>
      </c>
      <c r="N84" s="29">
        <v>36975.692307692312</v>
      </c>
      <c r="O84" s="27">
        <v>600</v>
      </c>
      <c r="P84" s="29">
        <v>36612.160000000054</v>
      </c>
      <c r="Q84" s="31">
        <v>0.99016834344392712</v>
      </c>
      <c r="R84" s="39"/>
      <c r="S84" s="128">
        <v>0.13567647058823529</v>
      </c>
      <c r="T84" s="128">
        <v>0.15617388118850192</v>
      </c>
      <c r="U84" s="39"/>
      <c r="V84" s="29"/>
      <c r="W84" s="32">
        <v>5.4781507458704155</v>
      </c>
      <c r="X84" s="30" t="s">
        <v>69</v>
      </c>
      <c r="Y84" s="39"/>
      <c r="Z84" s="62"/>
      <c r="AA84" s="27">
        <v>35282.051282051281</v>
      </c>
      <c r="AB84" s="27">
        <v>28855.269999999833</v>
      </c>
      <c r="AC84" s="39"/>
      <c r="AD84" s="29">
        <v>4756.3846153846152</v>
      </c>
      <c r="AE84" s="29">
        <v>4513.1099999999988</v>
      </c>
      <c r="AF84" s="31">
        <v>0.94885303963902745</v>
      </c>
      <c r="AG84" s="39"/>
      <c r="AH84" s="29">
        <v>4699.1316071428637</v>
      </c>
      <c r="AI84" s="29">
        <v>137050.3767857145</v>
      </c>
      <c r="AJ84" s="31">
        <v>0.99031994208912855</v>
      </c>
      <c r="AK84" s="39"/>
      <c r="AL84" s="80">
        <v>0.13567647058823529</v>
      </c>
      <c r="AM84" s="80">
        <v>0.1564050518328203</v>
      </c>
      <c r="AN84" s="39"/>
      <c r="AO84" s="32">
        <v>0</v>
      </c>
      <c r="AP84" s="31">
        <v>0</v>
      </c>
      <c r="AQ84" s="10"/>
    </row>
    <row r="85" spans="1:43" x14ac:dyDescent="0.3">
      <c r="B85" s="16"/>
      <c r="D85" s="34"/>
      <c r="E85" s="47"/>
      <c r="F85" s="125"/>
      <c r="G85" s="34"/>
      <c r="H85" s="48"/>
      <c r="I85" s="48"/>
      <c r="J85" s="48"/>
      <c r="K85" s="51"/>
      <c r="L85" s="34"/>
      <c r="M85" s="48"/>
      <c r="N85" s="48"/>
      <c r="O85" s="51"/>
      <c r="P85" s="48"/>
      <c r="Q85" s="47"/>
      <c r="R85" s="34"/>
      <c r="S85" s="51"/>
      <c r="T85" s="51"/>
      <c r="U85" s="34"/>
      <c r="V85" s="48"/>
      <c r="W85" s="52"/>
      <c r="X85" s="48"/>
      <c r="Y85" s="34"/>
      <c r="Z85" s="62"/>
      <c r="AA85" s="47"/>
      <c r="AB85" s="47"/>
      <c r="AC85" s="36"/>
      <c r="AD85" s="48"/>
      <c r="AE85" s="48"/>
      <c r="AF85" s="47"/>
      <c r="AG85" s="36"/>
      <c r="AH85" s="48"/>
      <c r="AI85" s="48"/>
      <c r="AJ85" s="47"/>
      <c r="AK85" s="36"/>
      <c r="AL85" s="49"/>
      <c r="AM85" s="53"/>
      <c r="AN85" s="36"/>
      <c r="AO85" s="52"/>
      <c r="AP85" s="47"/>
    </row>
    <row r="86" spans="1:43" x14ac:dyDescent="0.3">
      <c r="A86" s="64" t="s">
        <v>59</v>
      </c>
      <c r="B86" s="211" t="s">
        <v>73</v>
      </c>
      <c r="C86" s="6" t="s">
        <v>8</v>
      </c>
      <c r="D86" s="34"/>
      <c r="E86" s="33">
        <v>465912.19000000024</v>
      </c>
      <c r="F86" s="123">
        <v>1.9413007916666676</v>
      </c>
      <c r="G86" s="7"/>
      <c r="H86" s="35">
        <v>240000</v>
      </c>
      <c r="I86" s="35">
        <v>64615.38461538461</v>
      </c>
      <c r="J86" s="35">
        <v>65369.710000000065</v>
      </c>
      <c r="K86" s="70">
        <v>1.0116740833333344</v>
      </c>
      <c r="L86" s="36"/>
      <c r="M86" s="35">
        <v>31200</v>
      </c>
      <c r="N86" s="35">
        <v>8400</v>
      </c>
      <c r="O86" s="37">
        <v>0</v>
      </c>
      <c r="P86" s="35">
        <v>7911.0478999999914</v>
      </c>
      <c r="Q86" s="115">
        <v>0.94179141666666566</v>
      </c>
      <c r="R86" s="36"/>
      <c r="S86" s="127">
        <v>0.13</v>
      </c>
      <c r="T86" s="127">
        <v>0.1210200856023376</v>
      </c>
      <c r="U86" s="36"/>
      <c r="V86" s="35"/>
      <c r="W86" s="38">
        <v>4.0190753485063366</v>
      </c>
      <c r="X86" s="69" t="s">
        <v>69</v>
      </c>
      <c r="Y86" s="36"/>
      <c r="Z86" s="62"/>
      <c r="AA86" s="33">
        <v>9230.7692307692305</v>
      </c>
      <c r="AB86" s="33">
        <v>7135.4999999999682</v>
      </c>
      <c r="AC86" s="36"/>
      <c r="AD86" s="35">
        <v>1200</v>
      </c>
      <c r="AE86" s="35">
        <v>1056.9199999999996</v>
      </c>
      <c r="AF86" s="115">
        <v>0.88076666666666636</v>
      </c>
      <c r="AG86" s="36"/>
      <c r="AH86" s="35">
        <v>1130.1496999999988</v>
      </c>
      <c r="AI86" s="35">
        <v>29383.892199999969</v>
      </c>
      <c r="AJ86" s="115">
        <v>0.94179141666666566</v>
      </c>
      <c r="AK86" s="36"/>
      <c r="AL86" s="108">
        <v>0.13</v>
      </c>
      <c r="AM86" s="108">
        <v>0.14812136500595674</v>
      </c>
      <c r="AN86" s="36"/>
      <c r="AO86" s="38">
        <v>6.377829164038558</v>
      </c>
      <c r="AP86" s="70">
        <v>0</v>
      </c>
    </row>
    <row r="87" spans="1:43" x14ac:dyDescent="0.3">
      <c r="A87" s="64" t="s">
        <v>59</v>
      </c>
      <c r="B87" s="211"/>
      <c r="C87" s="6" t="s">
        <v>9</v>
      </c>
      <c r="D87" s="34"/>
      <c r="E87" s="33">
        <v>643611.29999999946</v>
      </c>
      <c r="F87" s="123">
        <v>1.8655399999999984</v>
      </c>
      <c r="G87" s="7"/>
      <c r="H87" s="35">
        <v>345000</v>
      </c>
      <c r="I87" s="35">
        <v>92000</v>
      </c>
      <c r="J87" s="35">
        <v>97682.94000000185</v>
      </c>
      <c r="K87" s="70">
        <v>1.0617710869565418</v>
      </c>
      <c r="L87" s="36"/>
      <c r="M87" s="35">
        <v>55890</v>
      </c>
      <c r="N87" s="35">
        <v>14904</v>
      </c>
      <c r="O87" s="37">
        <v>0</v>
      </c>
      <c r="P87" s="35">
        <v>15455.870000000028</v>
      </c>
      <c r="Q87" s="115">
        <v>1.0370283145464323</v>
      </c>
      <c r="R87" s="36"/>
      <c r="S87" s="127">
        <v>0.16200000000000001</v>
      </c>
      <c r="T87" s="127">
        <v>0.15822486505831762</v>
      </c>
      <c r="U87" s="36"/>
      <c r="V87" s="35"/>
      <c r="W87" s="38">
        <v>7.2808107536506741</v>
      </c>
      <c r="X87" s="69" t="s">
        <v>69</v>
      </c>
      <c r="Y87" s="36"/>
      <c r="Z87" s="62"/>
      <c r="AA87" s="33">
        <v>11500</v>
      </c>
      <c r="AB87" s="33">
        <v>10776.159999999963</v>
      </c>
      <c r="AC87" s="36"/>
      <c r="AD87" s="35">
        <v>1863</v>
      </c>
      <c r="AE87" s="35">
        <v>1728.7200000000023</v>
      </c>
      <c r="AF87" s="115">
        <v>0.92792270531401089</v>
      </c>
      <c r="AG87" s="36"/>
      <c r="AH87" s="35">
        <v>1931.9837500000035</v>
      </c>
      <c r="AI87" s="35">
        <v>57959.512500000106</v>
      </c>
      <c r="AJ87" s="115">
        <v>1.0370283145464323</v>
      </c>
      <c r="AK87" s="36"/>
      <c r="AL87" s="108">
        <v>0.16200000000000001</v>
      </c>
      <c r="AM87" s="108">
        <v>0.16042078068625634</v>
      </c>
      <c r="AN87" s="36"/>
      <c r="AO87" s="38">
        <v>7.8016658995408408</v>
      </c>
      <c r="AP87" s="70">
        <v>0</v>
      </c>
    </row>
    <row r="88" spans="1:43" x14ac:dyDescent="0.3">
      <c r="A88" s="64" t="s">
        <v>59</v>
      </c>
      <c r="B88" s="211"/>
      <c r="C88" s="6" t="s">
        <v>10</v>
      </c>
      <c r="D88" s="34"/>
      <c r="E88" s="33">
        <v>1016279.0600000005</v>
      </c>
      <c r="F88" s="123">
        <v>2.1622958723404269</v>
      </c>
      <c r="G88" s="7"/>
      <c r="H88" s="35">
        <v>470000</v>
      </c>
      <c r="I88" s="35">
        <v>125333.33333333333</v>
      </c>
      <c r="J88" s="35">
        <v>128058.58000000233</v>
      </c>
      <c r="K88" s="70">
        <v>1.0217439893617208</v>
      </c>
      <c r="L88" s="36"/>
      <c r="M88" s="35">
        <v>71440</v>
      </c>
      <c r="N88" s="35">
        <v>19050.666666666668</v>
      </c>
      <c r="O88" s="37">
        <v>0</v>
      </c>
      <c r="P88" s="35">
        <v>17835.101250000062</v>
      </c>
      <c r="Q88" s="115">
        <v>0.9361930247410446</v>
      </c>
      <c r="R88" s="36"/>
      <c r="S88" s="127">
        <v>0.152</v>
      </c>
      <c r="T88" s="127">
        <v>0.13927298936158544</v>
      </c>
      <c r="U88" s="36"/>
      <c r="V88" s="35"/>
      <c r="W88" s="38">
        <v>5.485443653991517</v>
      </c>
      <c r="X88" s="69" t="s">
        <v>69</v>
      </c>
      <c r="Y88" s="36"/>
      <c r="Z88" s="62"/>
      <c r="AA88" s="33">
        <v>15666.666666666666</v>
      </c>
      <c r="AB88" s="33">
        <v>12017.129999999932</v>
      </c>
      <c r="AC88" s="36"/>
      <c r="AD88" s="35">
        <v>2381.3333333333335</v>
      </c>
      <c r="AE88" s="35">
        <v>1916.5785999999989</v>
      </c>
      <c r="AF88" s="115">
        <v>0.804834238521836</v>
      </c>
      <c r="AG88" s="36"/>
      <c r="AH88" s="35">
        <v>2229.3876562500077</v>
      </c>
      <c r="AI88" s="35">
        <v>66881.62968750023</v>
      </c>
      <c r="AJ88" s="115">
        <v>0.9361930247410446</v>
      </c>
      <c r="AK88" s="36"/>
      <c r="AL88" s="108">
        <v>0.152</v>
      </c>
      <c r="AM88" s="108">
        <v>0.15948721533344565</v>
      </c>
      <c r="AN88" s="36"/>
      <c r="AO88" s="38">
        <v>7.3486647810246541</v>
      </c>
      <c r="AP88" s="70">
        <v>0</v>
      </c>
    </row>
    <row r="89" spans="1:43" x14ac:dyDescent="0.3">
      <c r="A89" s="64" t="s">
        <v>59</v>
      </c>
      <c r="B89" s="211"/>
      <c r="C89" s="6" t="s">
        <v>12</v>
      </c>
      <c r="D89" s="34"/>
      <c r="E89" s="33">
        <v>14431.540000000005</v>
      </c>
      <c r="F89" s="123">
        <v>2.0616485714285719</v>
      </c>
      <c r="G89" s="7"/>
      <c r="H89" s="35">
        <v>7000</v>
      </c>
      <c r="I89" s="35">
        <v>1884.6153846153845</v>
      </c>
      <c r="J89" s="35">
        <v>2558.3599999999983</v>
      </c>
      <c r="K89" s="70">
        <v>1.3574971428571421</v>
      </c>
      <c r="L89" s="36"/>
      <c r="M89" s="35">
        <v>1680</v>
      </c>
      <c r="N89" s="35">
        <v>452.30769230769226</v>
      </c>
      <c r="O89" s="37">
        <v>456.99</v>
      </c>
      <c r="P89" s="35">
        <v>920.52</v>
      </c>
      <c r="Q89" s="115">
        <v>2.0351632653061227</v>
      </c>
      <c r="R89" s="36"/>
      <c r="S89" s="127">
        <v>0.24</v>
      </c>
      <c r="T89" s="127">
        <v>0.35980862740192959</v>
      </c>
      <c r="U89" s="36"/>
      <c r="V89" s="35"/>
      <c r="W89" s="38">
        <v>11.279100673869113</v>
      </c>
      <c r="X89" s="69" t="s">
        <v>69</v>
      </c>
      <c r="Y89" s="36"/>
      <c r="Z89" s="62"/>
      <c r="AA89" s="33">
        <v>269.23076923076923</v>
      </c>
      <c r="AB89" s="33">
        <v>1067.5899999999999</v>
      </c>
      <c r="AC89" s="36"/>
      <c r="AD89" s="35">
        <v>64.615384615384613</v>
      </c>
      <c r="AE89" s="35">
        <v>214.14999999999998</v>
      </c>
      <c r="AF89" s="115">
        <v>3.31422619047619</v>
      </c>
      <c r="AG89" s="36"/>
      <c r="AH89" s="35">
        <v>131.50285714285715</v>
      </c>
      <c r="AI89" s="35">
        <v>3419.0742857142859</v>
      </c>
      <c r="AJ89" s="115">
        <v>2.0351632653061227</v>
      </c>
      <c r="AK89" s="36"/>
      <c r="AL89" s="108">
        <v>0.24</v>
      </c>
      <c r="AM89" s="108">
        <v>0.20059198756076771</v>
      </c>
      <c r="AN89" s="36"/>
      <c r="AO89" s="38">
        <v>14.384735713148311</v>
      </c>
      <c r="AP89" s="70">
        <v>0</v>
      </c>
    </row>
    <row r="90" spans="1:43" s="15" customFormat="1" x14ac:dyDescent="0.3">
      <c r="A90" s="26"/>
      <c r="B90" s="211"/>
      <c r="C90" s="9" t="s">
        <v>74</v>
      </c>
      <c r="D90" s="28"/>
      <c r="E90" s="27">
        <v>2140234.0900000003</v>
      </c>
      <c r="F90" s="124">
        <v>2.0152863370998118</v>
      </c>
      <c r="G90" s="26"/>
      <c r="H90" s="29">
        <v>1062000</v>
      </c>
      <c r="I90" s="29">
        <v>283833.33333333331</v>
      </c>
      <c r="J90" s="29">
        <v>293669.59000000422</v>
      </c>
      <c r="K90" s="31">
        <v>1.0346550440399445</v>
      </c>
      <c r="L90" s="39"/>
      <c r="M90" s="29">
        <v>160210</v>
      </c>
      <c r="N90" s="29">
        <v>42806.974358974367</v>
      </c>
      <c r="O90" s="27">
        <v>456.99</v>
      </c>
      <c r="P90" s="29">
        <v>42122.539150000077</v>
      </c>
      <c r="Q90" s="31">
        <v>0.98401112857837847</v>
      </c>
      <c r="R90" s="39"/>
      <c r="S90" s="128">
        <v>0.15085687382297552</v>
      </c>
      <c r="T90" s="128">
        <v>0.14343514134371035</v>
      </c>
      <c r="U90" s="39"/>
      <c r="V90" s="29"/>
      <c r="W90" s="32">
        <v>5.8066990014198892</v>
      </c>
      <c r="X90" s="30" t="s">
        <v>69</v>
      </c>
      <c r="Y90" s="39"/>
      <c r="Z90" s="62"/>
      <c r="AA90" s="27">
        <v>36666.666666666664</v>
      </c>
      <c r="AB90" s="27">
        <v>30996.379999999863</v>
      </c>
      <c r="AC90" s="39"/>
      <c r="AD90" s="29">
        <v>5508.9487179487187</v>
      </c>
      <c r="AE90" s="29">
        <v>4916.3686000000007</v>
      </c>
      <c r="AF90" s="31">
        <v>0.89243317585839355</v>
      </c>
      <c r="AG90" s="39"/>
      <c r="AH90" s="29">
        <v>5423.0239633928668</v>
      </c>
      <c r="AI90" s="29">
        <v>157644.10867321459</v>
      </c>
      <c r="AJ90" s="31">
        <v>0.98398419994516317</v>
      </c>
      <c r="AK90" s="39"/>
      <c r="AL90" s="80">
        <v>0.15085687382297552</v>
      </c>
      <c r="AM90" s="80">
        <v>0.15861105716215967</v>
      </c>
      <c r="AN90" s="39"/>
      <c r="AO90" s="32">
        <v>0</v>
      </c>
      <c r="AP90" s="31">
        <v>0</v>
      </c>
      <c r="AQ90" s="10"/>
    </row>
    <row r="91" spans="1:43" x14ac:dyDescent="0.3">
      <c r="B91" s="16"/>
      <c r="D91" s="34"/>
      <c r="E91" s="47"/>
      <c r="F91" s="125"/>
      <c r="G91" s="34"/>
      <c r="H91" s="48"/>
      <c r="I91" s="48"/>
      <c r="J91" s="48"/>
      <c r="K91" s="51"/>
      <c r="L91" s="34"/>
      <c r="M91" s="48"/>
      <c r="N91" s="48"/>
      <c r="O91" s="51"/>
      <c r="P91" s="48"/>
      <c r="Q91" s="47"/>
      <c r="R91" s="34"/>
      <c r="S91" s="51"/>
      <c r="T91" s="51"/>
      <c r="U91" s="34"/>
      <c r="V91" s="50"/>
      <c r="W91" s="52"/>
      <c r="X91" s="48"/>
      <c r="Y91" s="34"/>
      <c r="Z91" s="62"/>
      <c r="AA91" s="47"/>
      <c r="AB91" s="47"/>
      <c r="AC91" s="36"/>
      <c r="AD91" s="48"/>
      <c r="AE91" s="48"/>
      <c r="AF91" s="47"/>
      <c r="AG91" s="36"/>
      <c r="AH91" s="48"/>
      <c r="AI91" s="48"/>
      <c r="AJ91" s="47"/>
      <c r="AK91" s="36"/>
      <c r="AL91" s="49"/>
      <c r="AM91" s="53"/>
      <c r="AN91" s="36"/>
      <c r="AO91" s="52"/>
      <c r="AP91" s="47"/>
    </row>
    <row r="92" spans="1:43" x14ac:dyDescent="0.3">
      <c r="B92" s="233" t="s">
        <v>32</v>
      </c>
      <c r="C92" s="94" t="s">
        <v>8</v>
      </c>
      <c r="D92" s="34"/>
      <c r="E92" s="93">
        <v>4227356.6800000006</v>
      </c>
      <c r="F92" s="126">
        <v>0.77566177614678911</v>
      </c>
      <c r="G92" s="34"/>
      <c r="H92" s="93">
        <v>5450000</v>
      </c>
      <c r="I92" s="93">
        <v>1467307.692307692</v>
      </c>
      <c r="J92" s="93">
        <v>1513345.6600000015</v>
      </c>
      <c r="K92" s="112">
        <v>1.0313758102228059</v>
      </c>
      <c r="L92" s="36"/>
      <c r="M92" s="93">
        <v>543615.38057334628</v>
      </c>
      <c r="N92" s="93">
        <v>146357.98707743938</v>
      </c>
      <c r="O92" s="93">
        <v>158.76</v>
      </c>
      <c r="P92" s="93">
        <v>168417.68798999998</v>
      </c>
      <c r="Q92" s="112">
        <v>1.1507242710361179</v>
      </c>
      <c r="R92" s="96"/>
      <c r="S92" s="129">
        <v>9.9745941389604825E-2</v>
      </c>
      <c r="T92" s="129">
        <v>0.1112883146537717</v>
      </c>
      <c r="U92" s="98"/>
      <c r="V92" s="99">
        <v>0</v>
      </c>
      <c r="W92" s="103">
        <v>-4.5189346900429328</v>
      </c>
      <c r="X92" s="100" t="s">
        <v>69</v>
      </c>
      <c r="Y92" s="98"/>
      <c r="Z92" s="101"/>
      <c r="AA92" s="93">
        <v>209615.38461538457</v>
      </c>
      <c r="AB92" s="93">
        <v>259878.57999999987</v>
      </c>
      <c r="AC92" s="98"/>
      <c r="AD92" s="93">
        <v>20908.283868205628</v>
      </c>
      <c r="AE92" s="93">
        <v>27735.807180000014</v>
      </c>
      <c r="AF92" s="112">
        <v>1.3265463275145561</v>
      </c>
      <c r="AG92" s="98"/>
      <c r="AH92" s="93">
        <v>24059.669712857132</v>
      </c>
      <c r="AI92" s="93">
        <v>625551.41253428557</v>
      </c>
      <c r="AJ92" s="112">
        <v>1.1507242710361176</v>
      </c>
      <c r="AK92" s="98"/>
      <c r="AL92" s="102">
        <v>9.9745941389604825E-2</v>
      </c>
      <c r="AM92" s="97">
        <v>0.10672602251405264</v>
      </c>
      <c r="AN92" s="98"/>
      <c r="AO92" s="103">
        <v>-5.0403318426628809</v>
      </c>
      <c r="AP92" s="95">
        <v>0</v>
      </c>
    </row>
    <row r="93" spans="1:43" ht="12.75" customHeight="1" x14ac:dyDescent="0.3">
      <c r="B93" s="233"/>
      <c r="C93" s="94" t="s">
        <v>9</v>
      </c>
      <c r="D93" s="34"/>
      <c r="E93" s="93">
        <v>5238367.049999998</v>
      </c>
      <c r="F93" s="126">
        <v>1.0126361975642757</v>
      </c>
      <c r="G93" s="34"/>
      <c r="H93" s="93">
        <v>5173000</v>
      </c>
      <c r="I93" s="93">
        <v>1379466.6666666667</v>
      </c>
      <c r="J93" s="93">
        <v>1537140.6800000037</v>
      </c>
      <c r="K93" s="112">
        <v>1.1143007055867027</v>
      </c>
      <c r="L93" s="36"/>
      <c r="M93" s="93">
        <v>796420.87942007312</v>
      </c>
      <c r="N93" s="93">
        <v>212378.90117868621</v>
      </c>
      <c r="O93" s="93">
        <v>900.75</v>
      </c>
      <c r="P93" s="93">
        <v>233566.50000000009</v>
      </c>
      <c r="Q93" s="112">
        <v>1.099763200128282</v>
      </c>
      <c r="R93" s="96"/>
      <c r="S93" s="129">
        <v>0.1539572548656627</v>
      </c>
      <c r="T93" s="129">
        <v>0.15194868175631104</v>
      </c>
      <c r="U93" s="98"/>
      <c r="V93" s="99">
        <v>0</v>
      </c>
      <c r="W93" s="103">
        <v>2.6832540792560811</v>
      </c>
      <c r="X93" s="100" t="s">
        <v>69</v>
      </c>
      <c r="Y93" s="98"/>
      <c r="Z93" s="101"/>
      <c r="AA93" s="93">
        <v>172433.33333333334</v>
      </c>
      <c r="AB93" s="93">
        <v>154497.01999999964</v>
      </c>
      <c r="AC93" s="98"/>
      <c r="AD93" s="93">
        <v>26547.362647335776</v>
      </c>
      <c r="AE93" s="93">
        <v>22487.899999999998</v>
      </c>
      <c r="AF93" s="112">
        <v>0.84708602879830042</v>
      </c>
      <c r="AG93" s="98"/>
      <c r="AH93" s="93">
        <v>29195.812500000011</v>
      </c>
      <c r="AI93" s="93">
        <v>875874.37500000023</v>
      </c>
      <c r="AJ93" s="112">
        <v>1.099763200128282</v>
      </c>
      <c r="AK93" s="98"/>
      <c r="AL93" s="102">
        <v>0.1539572548656627</v>
      </c>
      <c r="AM93" s="97">
        <v>0.1455555582884385</v>
      </c>
      <c r="AN93" s="98"/>
      <c r="AO93" s="103">
        <v>2.9669504304999856</v>
      </c>
      <c r="AP93" s="95">
        <v>0</v>
      </c>
    </row>
    <row r="94" spans="1:43" ht="12.75" customHeight="1" x14ac:dyDescent="0.3">
      <c r="B94" s="233"/>
      <c r="C94" s="94" t="s">
        <v>10</v>
      </c>
      <c r="D94" s="34"/>
      <c r="E94" s="93">
        <v>8187450.1800000025</v>
      </c>
      <c r="F94" s="126">
        <v>1.0288326438803723</v>
      </c>
      <c r="G94" s="34"/>
      <c r="H94" s="93">
        <v>7958000</v>
      </c>
      <c r="I94" s="93">
        <v>2122133.3333333335</v>
      </c>
      <c r="J94" s="93">
        <v>2324577.3099999917</v>
      </c>
      <c r="K94" s="112">
        <v>1.0953964454008505</v>
      </c>
      <c r="L94" s="36"/>
      <c r="M94" s="93">
        <v>1253681.7303163207</v>
      </c>
      <c r="N94" s="93">
        <v>334315.12808435218</v>
      </c>
      <c r="O94" s="93">
        <v>2703.21</v>
      </c>
      <c r="P94" s="93">
        <v>376536.03658999997</v>
      </c>
      <c r="Q94" s="112">
        <v>1.1262907507284412</v>
      </c>
      <c r="R94" s="96"/>
      <c r="S94" s="129">
        <v>0.15753728704653439</v>
      </c>
      <c r="T94" s="129">
        <v>0.16198043187042951</v>
      </c>
      <c r="U94" s="98"/>
      <c r="V94" s="99">
        <v>0</v>
      </c>
      <c r="W94" s="103">
        <v>3.2000960462783281</v>
      </c>
      <c r="X94" s="100" t="s">
        <v>69</v>
      </c>
      <c r="Y94" s="98"/>
      <c r="Z94" s="101"/>
      <c r="AA94" s="93">
        <v>265266.66666666669</v>
      </c>
      <c r="AB94" s="93">
        <v>262143.7699999999</v>
      </c>
      <c r="AC94" s="98"/>
      <c r="AD94" s="93">
        <v>41789.391010544023</v>
      </c>
      <c r="AE94" s="93">
        <v>40024.19769999999</v>
      </c>
      <c r="AF94" s="112">
        <v>0.95775977424273417</v>
      </c>
      <c r="AG94" s="98"/>
      <c r="AH94" s="93">
        <v>47067.004573749997</v>
      </c>
      <c r="AI94" s="93">
        <v>1412010.1372124993</v>
      </c>
      <c r="AJ94" s="112">
        <v>1.1262907507284408</v>
      </c>
      <c r="AK94" s="98"/>
      <c r="AL94" s="102">
        <v>0.15753728704653439</v>
      </c>
      <c r="AM94" s="97">
        <v>0.15268033148375032</v>
      </c>
      <c r="AN94" s="98"/>
      <c r="AO94" s="103">
        <v>2.9167382844917222</v>
      </c>
      <c r="AP94" s="95">
        <v>0</v>
      </c>
    </row>
    <row r="95" spans="1:43" ht="12.75" customHeight="1" x14ac:dyDescent="0.3">
      <c r="B95" s="233"/>
      <c r="C95" s="94" t="s">
        <v>12</v>
      </c>
      <c r="D95" s="34"/>
      <c r="E95" s="93">
        <v>571839.96000000008</v>
      </c>
      <c r="F95" s="126">
        <v>0.17023606323122267</v>
      </c>
      <c r="G95" s="34"/>
      <c r="H95" s="93">
        <v>3359100</v>
      </c>
      <c r="I95" s="93">
        <v>904373.07692307711</v>
      </c>
      <c r="J95" s="93">
        <v>815715.91000000015</v>
      </c>
      <c r="K95" s="112">
        <v>0.90196836992902008</v>
      </c>
      <c r="L95" s="36"/>
      <c r="M95" s="93">
        <v>576608.99760094297</v>
      </c>
      <c r="N95" s="93">
        <v>155240.88396948468</v>
      </c>
      <c r="O95" s="93">
        <v>20708.330000000002</v>
      </c>
      <c r="P95" s="93">
        <v>122787.58999999998</v>
      </c>
      <c r="Q95" s="112">
        <v>0.79094879428885523</v>
      </c>
      <c r="R95" s="96"/>
      <c r="S95" s="129">
        <v>0.17165579994669494</v>
      </c>
      <c r="T95" s="129">
        <v>0.15052739378345575</v>
      </c>
      <c r="U95" s="98"/>
      <c r="V95" s="99">
        <v>0</v>
      </c>
      <c r="W95" s="103">
        <v>-3.9646952576908618</v>
      </c>
      <c r="X95" s="100" t="s">
        <v>69</v>
      </c>
      <c r="Y95" s="98"/>
      <c r="Z95" s="101"/>
      <c r="AA95" s="93">
        <v>129196.15384615386</v>
      </c>
      <c r="AB95" s="93">
        <v>133131.1</v>
      </c>
      <c r="AC95" s="98"/>
      <c r="AD95" s="93">
        <v>22177.269138497806</v>
      </c>
      <c r="AE95" s="93">
        <v>20657.509999999998</v>
      </c>
      <c r="AF95" s="112">
        <v>0.9314722146804072</v>
      </c>
      <c r="AG95" s="98"/>
      <c r="AH95" s="93">
        <v>17541.084285714278</v>
      </c>
      <c r="AI95" s="93">
        <v>456068.19142857136</v>
      </c>
      <c r="AJ95" s="112">
        <v>0.79094879428885545</v>
      </c>
      <c r="AK95" s="98"/>
      <c r="AL95" s="102">
        <v>0.17165579994669494</v>
      </c>
      <c r="AM95" s="97">
        <v>0.15516667405286966</v>
      </c>
      <c r="AN95" s="98"/>
      <c r="AO95" s="103">
        <v>-2.5753636828659876</v>
      </c>
      <c r="AP95" s="95">
        <v>0</v>
      </c>
    </row>
    <row r="96" spans="1:43" ht="4.25" customHeight="1" x14ac:dyDescent="0.3">
      <c r="B96" s="233"/>
      <c r="D96" s="34"/>
      <c r="E96" s="47"/>
      <c r="F96" s="125"/>
      <c r="G96" s="34"/>
      <c r="H96" s="47"/>
      <c r="I96" s="47"/>
      <c r="J96" s="48"/>
      <c r="K96" s="51"/>
      <c r="L96" s="34"/>
      <c r="M96" s="47"/>
      <c r="N96" s="48"/>
      <c r="O96" s="51"/>
      <c r="P96" s="48"/>
      <c r="Q96" s="47"/>
      <c r="R96" s="34"/>
      <c r="S96" s="51"/>
      <c r="T96" s="51"/>
      <c r="U96" s="34"/>
      <c r="V96" s="50"/>
      <c r="W96" s="52"/>
      <c r="X96" s="48"/>
      <c r="Y96" s="34"/>
      <c r="Z96" s="62"/>
      <c r="AA96" s="47"/>
      <c r="AB96" s="47"/>
      <c r="AC96" s="36"/>
      <c r="AD96" s="48"/>
      <c r="AE96" s="48"/>
      <c r="AF96" s="47"/>
      <c r="AG96" s="36"/>
      <c r="AH96" s="48"/>
      <c r="AI96" s="48"/>
      <c r="AJ96" s="47"/>
      <c r="AK96" s="36"/>
      <c r="AL96" s="49"/>
      <c r="AM96" s="53"/>
      <c r="AN96" s="36"/>
      <c r="AO96" s="52"/>
      <c r="AP96" s="47"/>
    </row>
    <row r="97" spans="1:43" s="15" customFormat="1" ht="14.25" customHeight="1" x14ac:dyDescent="0.3">
      <c r="A97" s="26"/>
      <c r="B97" s="233"/>
      <c r="C97" s="94" t="s">
        <v>7</v>
      </c>
      <c r="D97" s="28"/>
      <c r="E97" s="93">
        <v>18225013.870000001</v>
      </c>
      <c r="F97" s="126">
        <v>0.83067141307468972</v>
      </c>
      <c r="G97" s="28"/>
      <c r="H97" s="93">
        <v>21940100</v>
      </c>
      <c r="I97" s="93">
        <v>5873280.769230769</v>
      </c>
      <c r="J97" s="93">
        <v>6190779.5599999968</v>
      </c>
      <c r="K97" s="44">
        <v>1.0540581666779079</v>
      </c>
      <c r="L97" s="39"/>
      <c r="M97" s="93">
        <v>3170326.9879106833</v>
      </c>
      <c r="N97" s="93">
        <v>848292.90030996257</v>
      </c>
      <c r="O97" s="93">
        <v>24471.050000000003</v>
      </c>
      <c r="P97" s="93">
        <v>901307.81458000001</v>
      </c>
      <c r="Q97" s="44">
        <v>1.0624960013819118</v>
      </c>
      <c r="R97" s="39"/>
      <c r="S97" s="129">
        <v>0.14449920410165329</v>
      </c>
      <c r="T97" s="129">
        <v>0.14558874304030306</v>
      </c>
      <c r="U97" s="45"/>
      <c r="V97" s="43">
        <v>0</v>
      </c>
      <c r="W97" s="46">
        <v>0.24078299728699232</v>
      </c>
      <c r="X97" s="81" t="s">
        <v>69</v>
      </c>
      <c r="Y97" s="45"/>
      <c r="Z97" s="62"/>
      <c r="AA97" s="93">
        <v>776511.53846153838</v>
      </c>
      <c r="AB97" s="93">
        <v>809650.46999999939</v>
      </c>
      <c r="AC97" s="98"/>
      <c r="AD97" s="93">
        <v>111422.30666458323</v>
      </c>
      <c r="AE97" s="93">
        <v>110905.41488</v>
      </c>
      <c r="AF97" s="112">
        <v>0.99536096675740848</v>
      </c>
      <c r="AG97" s="98"/>
      <c r="AH97" s="93">
        <v>117863.57107232141</v>
      </c>
      <c r="AI97" s="93">
        <v>3369504.1161753568</v>
      </c>
      <c r="AJ97" s="112">
        <v>1.0628254211708099</v>
      </c>
      <c r="AK97" s="98"/>
      <c r="AL97" s="102">
        <v>0.14449920410165329</v>
      </c>
      <c r="AM97" s="97">
        <v>0.13697937442066832</v>
      </c>
      <c r="AN97" s="98"/>
      <c r="AO97" s="103">
        <v>-0.53077905580670703</v>
      </c>
      <c r="AP97" s="42">
        <v>0</v>
      </c>
      <c r="AQ97" s="10"/>
    </row>
    <row r="98" spans="1:43" ht="14.5" x14ac:dyDescent="0.35">
      <c r="D98" s="55"/>
      <c r="E98" s="54"/>
      <c r="F98" s="118"/>
      <c r="G98" s="55"/>
      <c r="H98" s="56"/>
      <c r="I98" s="48"/>
      <c r="J98" s="56"/>
      <c r="K98" s="51"/>
      <c r="L98" s="34"/>
      <c r="M98" s="56"/>
      <c r="N98" s="48"/>
      <c r="O98" s="48"/>
      <c r="P98" s="48"/>
      <c r="Q98" s="47"/>
      <c r="R98" s="34"/>
      <c r="S98" s="49"/>
      <c r="T98" s="49"/>
      <c r="U98" s="34"/>
      <c r="V98" s="50"/>
      <c r="W98" s="50"/>
      <c r="X98" s="48"/>
      <c r="Y98" s="34"/>
      <c r="Z98" s="63"/>
      <c r="AA98" s="47"/>
      <c r="AB98" s="47"/>
      <c r="AC98" s="36"/>
      <c r="AD98" s="48"/>
      <c r="AE98" s="48"/>
      <c r="AF98" s="47"/>
      <c r="AG98" s="36"/>
      <c r="AH98" s="48"/>
      <c r="AI98" s="48"/>
      <c r="AJ98" s="47"/>
      <c r="AK98" s="36"/>
      <c r="AL98" s="49"/>
      <c r="AM98" s="53"/>
      <c r="AN98" s="36"/>
      <c r="AO98" s="52"/>
      <c r="AP98" s="47"/>
    </row>
    <row r="99" spans="1:43" ht="14.5" x14ac:dyDescent="0.35">
      <c r="D99" s="55"/>
      <c r="E99" s="54"/>
      <c r="F99" s="118"/>
      <c r="G99" s="55"/>
      <c r="H99" s="48"/>
      <c r="I99" s="56"/>
      <c r="J99" s="56"/>
      <c r="K99" s="51"/>
      <c r="L99" s="34"/>
      <c r="M99" s="56"/>
      <c r="N99" s="56"/>
      <c r="O99" s="56"/>
      <c r="P99" s="56"/>
      <c r="Q99" s="47"/>
      <c r="R99" s="34"/>
      <c r="S99" s="49"/>
      <c r="T99" s="49"/>
      <c r="U99" s="34"/>
      <c r="V99" s="50"/>
      <c r="W99" s="50"/>
      <c r="X99" s="48"/>
      <c r="Y99" s="34"/>
      <c r="Z99" s="63"/>
      <c r="AA99" s="59"/>
      <c r="AB99" s="59"/>
      <c r="AC99" s="36"/>
      <c r="AD99" s="56"/>
      <c r="AE99" s="56"/>
      <c r="AF99" s="47"/>
      <c r="AG99" s="36"/>
      <c r="AH99" s="56"/>
      <c r="AI99" s="56"/>
      <c r="AJ99" s="59"/>
      <c r="AK99" s="36"/>
      <c r="AL99" s="49"/>
      <c r="AM99" s="53"/>
      <c r="AN99" s="36"/>
      <c r="AO99" s="52"/>
      <c r="AP99" s="47"/>
    </row>
    <row r="100" spans="1:43" ht="14.5" x14ac:dyDescent="0.35">
      <c r="D100" s="55"/>
      <c r="E100" s="54"/>
      <c r="F100" s="118"/>
      <c r="G100" s="55"/>
      <c r="H100" s="48"/>
      <c r="I100" s="56"/>
      <c r="J100" s="56"/>
      <c r="K100" s="51"/>
      <c r="L100" s="34"/>
      <c r="M100" s="56"/>
      <c r="N100" s="56"/>
      <c r="O100" s="56"/>
      <c r="P100" s="56"/>
      <c r="Q100" s="47"/>
      <c r="R100" s="34"/>
      <c r="S100" s="49"/>
      <c r="T100" s="49"/>
      <c r="U100" s="34"/>
      <c r="V100" s="50"/>
      <c r="W100" s="50"/>
      <c r="X100" s="48"/>
      <c r="Y100" s="34"/>
      <c r="Z100" s="63"/>
      <c r="AA100" s="59"/>
      <c r="AB100" s="59"/>
      <c r="AC100" s="36"/>
      <c r="AD100" s="56"/>
      <c r="AE100" s="56"/>
      <c r="AF100" s="47"/>
      <c r="AG100" s="36"/>
      <c r="AH100" s="56"/>
      <c r="AI100" s="56"/>
      <c r="AJ100" s="59"/>
      <c r="AK100" s="36"/>
      <c r="AL100" s="49"/>
      <c r="AM100" s="53"/>
      <c r="AN100" s="36"/>
      <c r="AO100" s="52"/>
      <c r="AP100" s="47"/>
    </row>
    <row r="101" spans="1:43" ht="14.5" x14ac:dyDescent="0.35">
      <c r="D101" s="55"/>
      <c r="E101" s="54"/>
      <c r="F101" s="118"/>
      <c r="G101" s="55"/>
      <c r="H101" s="48"/>
      <c r="I101" s="48"/>
      <c r="J101" s="56"/>
      <c r="K101" s="51"/>
      <c r="L101" s="34"/>
      <c r="M101" s="56"/>
      <c r="N101" s="56"/>
      <c r="O101" s="56"/>
      <c r="P101" s="56"/>
      <c r="Q101" s="47"/>
      <c r="R101" s="34"/>
      <c r="S101" s="49"/>
      <c r="T101" s="49"/>
      <c r="U101" s="34"/>
      <c r="V101" s="50"/>
      <c r="W101" s="50"/>
      <c r="X101" s="48"/>
      <c r="Y101" s="34"/>
      <c r="Z101" s="63"/>
      <c r="AA101" s="59"/>
      <c r="AB101" s="59"/>
      <c r="AC101" s="36"/>
      <c r="AD101" s="56"/>
      <c r="AE101" s="56"/>
      <c r="AF101" s="47"/>
      <c r="AG101" s="36"/>
      <c r="AH101" s="56"/>
      <c r="AI101" s="56"/>
      <c r="AJ101" s="59"/>
      <c r="AK101" s="36"/>
      <c r="AL101" s="49"/>
      <c r="AM101" s="53"/>
      <c r="AN101" s="36"/>
      <c r="AO101" s="52"/>
      <c r="AP101" s="47"/>
    </row>
    <row r="102" spans="1:43" ht="14.5" x14ac:dyDescent="0.35">
      <c r="D102" s="55"/>
      <c r="E102" s="54"/>
      <c r="F102" s="118"/>
      <c r="G102" s="55"/>
      <c r="H102" s="48"/>
      <c r="I102" s="48"/>
      <c r="J102" s="56"/>
      <c r="K102" s="51"/>
      <c r="L102" s="34"/>
      <c r="M102" s="56"/>
      <c r="N102" s="56"/>
      <c r="O102" s="56"/>
      <c r="P102" s="56"/>
      <c r="Q102" s="47"/>
      <c r="R102" s="34"/>
      <c r="S102" s="49"/>
      <c r="T102" s="49"/>
      <c r="U102" s="34"/>
      <c r="V102" s="50"/>
      <c r="W102" s="50"/>
      <c r="X102" s="48"/>
      <c r="Y102" s="34"/>
      <c r="Z102" s="63"/>
      <c r="AA102" s="59"/>
      <c r="AB102" s="59"/>
      <c r="AC102" s="36"/>
      <c r="AD102" s="56"/>
      <c r="AE102" s="56"/>
      <c r="AF102" s="47"/>
      <c r="AG102" s="36"/>
      <c r="AH102" s="56"/>
      <c r="AI102" s="56"/>
      <c r="AJ102" s="59"/>
      <c r="AK102" s="36"/>
      <c r="AL102" s="49"/>
      <c r="AM102" s="53"/>
      <c r="AN102" s="36"/>
      <c r="AO102" s="52"/>
      <c r="AP102" s="47"/>
    </row>
    <row r="103" spans="1:43" ht="14.5" x14ac:dyDescent="0.35">
      <c r="D103" s="55"/>
      <c r="E103" s="54"/>
      <c r="F103" s="118"/>
      <c r="G103" s="55"/>
      <c r="H103" s="48"/>
      <c r="I103" s="48"/>
      <c r="J103" s="56"/>
      <c r="K103" s="51"/>
      <c r="L103" s="34"/>
      <c r="M103" s="56"/>
      <c r="N103" s="56"/>
      <c r="O103" s="56"/>
      <c r="P103" s="56"/>
      <c r="Q103" s="47"/>
      <c r="R103" s="34"/>
      <c r="S103" s="49"/>
      <c r="T103" s="49"/>
      <c r="U103" s="34"/>
      <c r="V103" s="50"/>
      <c r="W103" s="50"/>
      <c r="X103" s="48"/>
      <c r="Y103" s="34"/>
      <c r="Z103" s="63"/>
      <c r="AA103" s="59"/>
      <c r="AB103" s="59"/>
      <c r="AC103" s="36"/>
      <c r="AD103" s="56"/>
      <c r="AE103" s="56"/>
      <c r="AF103" s="47"/>
      <c r="AG103" s="36"/>
      <c r="AH103" s="56"/>
      <c r="AI103" s="56"/>
      <c r="AJ103" s="59"/>
      <c r="AK103" s="36"/>
      <c r="AL103" s="49"/>
      <c r="AM103" s="53"/>
      <c r="AN103" s="36"/>
      <c r="AO103" s="52"/>
      <c r="AP103" s="47"/>
    </row>
    <row r="104" spans="1:43" ht="14.5" x14ac:dyDescent="0.35">
      <c r="D104" s="55"/>
      <c r="E104" s="54"/>
      <c r="F104" s="118"/>
      <c r="G104" s="55"/>
      <c r="H104" s="48"/>
      <c r="I104" s="48"/>
      <c r="J104" s="56"/>
      <c r="K104" s="51"/>
      <c r="L104" s="34"/>
      <c r="M104" s="56"/>
      <c r="N104" s="56"/>
      <c r="O104" s="56"/>
      <c r="P104" s="56"/>
      <c r="Q104" s="47"/>
      <c r="R104" s="34"/>
      <c r="S104" s="49"/>
      <c r="T104" s="49"/>
      <c r="U104" s="34"/>
      <c r="V104" s="50"/>
      <c r="W104" s="50"/>
      <c r="X104" s="48"/>
      <c r="Y104" s="34"/>
      <c r="Z104" s="63"/>
      <c r="AA104" s="59"/>
      <c r="AB104" s="59"/>
      <c r="AC104" s="36"/>
      <c r="AD104" s="56"/>
      <c r="AE104" s="56"/>
      <c r="AF104" s="47"/>
      <c r="AG104" s="36"/>
      <c r="AH104" s="56"/>
      <c r="AI104" s="56"/>
      <c r="AJ104" s="59"/>
      <c r="AK104" s="36"/>
      <c r="AL104" s="49"/>
      <c r="AM104" s="53"/>
      <c r="AN104" s="36"/>
      <c r="AO104" s="52"/>
      <c r="AP104" s="47"/>
    </row>
    <row r="105" spans="1:43" ht="14.5" x14ac:dyDescent="0.35">
      <c r="D105" s="55"/>
      <c r="E105" s="54"/>
      <c r="F105" s="118"/>
      <c r="G105" s="55"/>
      <c r="H105" s="48"/>
      <c r="I105" s="48"/>
      <c r="J105" s="56"/>
      <c r="K105" s="51"/>
      <c r="L105" s="34"/>
      <c r="M105" s="56"/>
      <c r="N105" s="56"/>
      <c r="O105" s="56"/>
      <c r="P105" s="56"/>
      <c r="Q105" s="47"/>
      <c r="R105" s="34"/>
      <c r="S105" s="49"/>
      <c r="T105" s="49"/>
      <c r="U105" s="34"/>
      <c r="V105" s="50"/>
      <c r="W105" s="50"/>
      <c r="X105" s="48"/>
      <c r="Y105" s="34"/>
      <c r="Z105" s="63"/>
      <c r="AA105" s="59"/>
      <c r="AB105" s="59"/>
      <c r="AC105" s="36"/>
      <c r="AD105" s="56"/>
      <c r="AE105" s="56"/>
      <c r="AF105" s="47"/>
      <c r="AG105" s="36"/>
      <c r="AH105" s="56"/>
      <c r="AI105" s="56"/>
      <c r="AJ105" s="59"/>
      <c r="AK105" s="36"/>
      <c r="AL105" s="49"/>
      <c r="AM105" s="53"/>
      <c r="AN105" s="36"/>
      <c r="AO105" s="52"/>
      <c r="AP105" s="47"/>
    </row>
    <row r="106" spans="1:43" ht="14.5" x14ac:dyDescent="0.35">
      <c r="D106" s="55"/>
      <c r="E106" s="54"/>
      <c r="F106" s="118"/>
      <c r="G106" s="55"/>
      <c r="H106" s="48"/>
      <c r="I106" s="48"/>
      <c r="J106" s="56"/>
      <c r="K106" s="51"/>
      <c r="L106" s="34"/>
      <c r="M106" s="56"/>
      <c r="N106" s="56"/>
      <c r="O106" s="56"/>
      <c r="P106" s="56"/>
      <c r="Q106" s="47"/>
      <c r="R106" s="34"/>
      <c r="S106" s="49"/>
      <c r="T106" s="49"/>
      <c r="U106" s="34"/>
      <c r="V106" s="50"/>
      <c r="W106" s="50"/>
      <c r="X106" s="48"/>
      <c r="Y106" s="34"/>
      <c r="Z106" s="63"/>
      <c r="AA106" s="59"/>
      <c r="AB106" s="59"/>
      <c r="AC106" s="36"/>
      <c r="AD106" s="56"/>
      <c r="AE106" s="56"/>
      <c r="AF106" s="47"/>
      <c r="AG106" s="36"/>
      <c r="AH106" s="56"/>
      <c r="AI106" s="56"/>
      <c r="AJ106" s="59"/>
      <c r="AK106" s="36"/>
      <c r="AL106" s="49"/>
      <c r="AM106" s="53"/>
      <c r="AN106" s="36"/>
      <c r="AO106" s="52"/>
      <c r="AP106" s="47"/>
    </row>
  </sheetData>
  <mergeCells count="29">
    <mergeCell ref="B92:B97"/>
    <mergeCell ref="B20:B24"/>
    <mergeCell ref="B26:B30"/>
    <mergeCell ref="B32:B36"/>
    <mergeCell ref="B38:B42"/>
    <mergeCell ref="B44:B48"/>
    <mergeCell ref="B50:B54"/>
    <mergeCell ref="B56:B60"/>
    <mergeCell ref="B62:B66"/>
    <mergeCell ref="B68:B72"/>
    <mergeCell ref="B80:B84"/>
    <mergeCell ref="B86:B90"/>
    <mergeCell ref="B74:B78"/>
    <mergeCell ref="B8:B12"/>
    <mergeCell ref="B14:B18"/>
    <mergeCell ref="M5:Q5"/>
    <mergeCell ref="V5:X5"/>
    <mergeCell ref="B1:C5"/>
    <mergeCell ref="E5:F5"/>
    <mergeCell ref="H5:K5"/>
    <mergeCell ref="S5:T5"/>
    <mergeCell ref="E2:AP2"/>
    <mergeCell ref="H4:X4"/>
    <mergeCell ref="AL5:AM5"/>
    <mergeCell ref="AO5:AP5"/>
    <mergeCell ref="AA5:AB5"/>
    <mergeCell ref="AA4:AP4"/>
    <mergeCell ref="AD5:AJ5"/>
    <mergeCell ref="E3:F4"/>
  </mergeCells>
  <conditionalFormatting sqref="E98:E106">
    <cfRule type="cellIs" dxfId="134" priority="41" operator="greaterThanOrEqual">
      <formula>0.91</formula>
    </cfRule>
    <cfRule type="cellIs" dxfId="133" priority="42" operator="between">
      <formula>0.71</formula>
      <formula>0.9</formula>
    </cfRule>
    <cfRule type="cellIs" dxfId="132" priority="43" operator="between">
      <formula>0.1</formula>
      <formula>0.79</formula>
    </cfRule>
  </conditionalFormatting>
  <conditionalFormatting sqref="F7">
    <cfRule type="cellIs" dxfId="131" priority="1191" operator="greaterThanOrEqual">
      <formula>0.91</formula>
    </cfRule>
    <cfRule type="cellIs" dxfId="130" priority="1192" operator="between">
      <formula>0.71</formula>
      <formula>0.9</formula>
    </cfRule>
    <cfRule type="cellIs" dxfId="129" priority="1193" operator="between">
      <formula>0.1</formula>
      <formula>0.79</formula>
    </cfRule>
  </conditionalFormatting>
  <conditionalFormatting sqref="F8:F12 F14:F18 F20:F24 F26:F30 F32:F36 F38:F42 F44:F48 F50:F54 F56:F60 F62:F66 F68:F72 F74:F78 F80:F84 F86:F90 F92:F95 F97">
    <cfRule type="cellIs" dxfId="128" priority="1175" operator="greaterThanOrEqual">
      <formula>0.9</formula>
    </cfRule>
    <cfRule type="cellIs" dxfId="127" priority="1176" operator="between">
      <formula>0.79</formula>
      <formula>0.9</formula>
    </cfRule>
    <cfRule type="cellIs" dxfId="126" priority="1177" operator="between">
      <formula>0.0001</formula>
      <formula>0.79</formula>
    </cfRule>
  </conditionalFormatting>
  <conditionalFormatting sqref="F13 F19 F25 F31 F37 F43 F49 F55 F61 F67 F79 F91 F98:F1048576">
    <cfRule type="cellIs" dxfId="125" priority="1198" operator="greaterThanOrEqual">
      <formula>0.91</formula>
    </cfRule>
    <cfRule type="cellIs" dxfId="124" priority="1199" operator="between">
      <formula>0.71</formula>
      <formula>0.9</formula>
    </cfRule>
    <cfRule type="cellIs" dxfId="123" priority="1200" operator="between">
      <formula>0.1</formula>
      <formula>0.79</formula>
    </cfRule>
  </conditionalFormatting>
  <conditionalFormatting sqref="F73">
    <cfRule type="cellIs" dxfId="122" priority="11" operator="greaterThanOrEqual">
      <formula>0.91</formula>
    </cfRule>
    <cfRule type="cellIs" dxfId="121" priority="12" operator="between">
      <formula>0.71</formula>
      <formula>0.9</formula>
    </cfRule>
    <cfRule type="cellIs" dxfId="120" priority="13" operator="between">
      <formula>0.1</formula>
      <formula>0.79</formula>
    </cfRule>
  </conditionalFormatting>
  <conditionalFormatting sqref="F85">
    <cfRule type="cellIs" dxfId="119" priority="221" operator="greaterThanOrEqual">
      <formula>0.91</formula>
    </cfRule>
    <cfRule type="cellIs" dxfId="118" priority="222" operator="between">
      <formula>0.71</formula>
      <formula>0.9</formula>
    </cfRule>
    <cfRule type="cellIs" dxfId="117" priority="223" operator="between">
      <formula>0.1</formula>
      <formula>0.79</formula>
    </cfRule>
  </conditionalFormatting>
  <conditionalFormatting sqref="F96">
    <cfRule type="cellIs" dxfId="116" priority="90" operator="greaterThanOrEqual">
      <formula>0.91</formula>
    </cfRule>
    <cfRule type="cellIs" dxfId="115" priority="91" operator="between">
      <formula>0.71</formula>
      <formula>0.9</formula>
    </cfRule>
    <cfRule type="cellIs" dxfId="114" priority="92" operator="between">
      <formula>0.1</formula>
      <formula>0.79</formula>
    </cfRule>
  </conditionalFormatting>
  <conditionalFormatting sqref="K7">
    <cfRule type="cellIs" dxfId="113" priority="1194" operator="greaterThanOrEqual">
      <formula>1</formula>
    </cfRule>
    <cfRule type="cellIs" dxfId="112" priority="1195" operator="between">
      <formula>0.9001</formula>
      <formula>0.9999</formula>
    </cfRule>
    <cfRule type="cellIs" dxfId="111" priority="1196" operator="lessThan">
      <formula>0.9</formula>
    </cfRule>
  </conditionalFormatting>
  <conditionalFormatting sqref="K8:K12 K14:K18 K20:K24 K26:K30 K32:K36 K38:K42 K44:K48 K50:K54 K56:K60 K62:K66 K68:K72 K74:K78 K80:K84 K86:K90">
    <cfRule type="cellIs" dxfId="110" priority="1189" operator="between">
      <formula>0.86</formula>
      <formula>0.9999</formula>
    </cfRule>
    <cfRule type="cellIs" dxfId="109" priority="1190" operator="greaterThanOrEqual">
      <formula>1</formula>
    </cfRule>
    <cfRule type="cellIs" dxfId="108" priority="1197" operator="lessThanOrEqual">
      <formula>0.86</formula>
    </cfRule>
  </conditionalFormatting>
  <conditionalFormatting sqref="K13 K19 K25 K31 K37 K43 K49 K55 K61 K67 K79 K91 K98:K1048576">
    <cfRule type="cellIs" dxfId="107" priority="1201" operator="greaterThanOrEqual">
      <formula>1</formula>
    </cfRule>
    <cfRule type="cellIs" dxfId="106" priority="1202" operator="between">
      <formula>0.9001</formula>
      <formula>0.9999</formula>
    </cfRule>
    <cfRule type="cellIs" dxfId="105" priority="1203" operator="lessThan">
      <formula>0.9</formula>
    </cfRule>
  </conditionalFormatting>
  <conditionalFormatting sqref="K73">
    <cfRule type="cellIs" dxfId="104" priority="14" operator="greaterThanOrEqual">
      <formula>1</formula>
    </cfRule>
    <cfRule type="cellIs" dxfId="103" priority="15" operator="between">
      <formula>0.9001</formula>
      <formula>0.9999</formula>
    </cfRule>
    <cfRule type="cellIs" dxfId="102" priority="16" operator="lessThan">
      <formula>0.9</formula>
    </cfRule>
  </conditionalFormatting>
  <conditionalFormatting sqref="K85">
    <cfRule type="cellIs" dxfId="101" priority="224" operator="greaterThanOrEqual">
      <formula>1</formula>
    </cfRule>
    <cfRule type="cellIs" dxfId="100" priority="225" operator="between">
      <formula>0.9001</formula>
      <formula>0.9999</formula>
    </cfRule>
    <cfRule type="cellIs" dxfId="99" priority="226" operator="lessThan">
      <formula>0.9</formula>
    </cfRule>
  </conditionalFormatting>
  <conditionalFormatting sqref="K92:K95 K97 X92:X95 X97">
    <cfRule type="cellIs" dxfId="98" priority="787" operator="lessThanOrEqual">
      <formula>0.86</formula>
    </cfRule>
  </conditionalFormatting>
  <conditionalFormatting sqref="K92:K95 K97">
    <cfRule type="cellIs" dxfId="97" priority="786" operator="between">
      <formula>0.86</formula>
      <formula>0.9999</formula>
    </cfRule>
  </conditionalFormatting>
  <conditionalFormatting sqref="K92:K95 X92:X95 K97 X97">
    <cfRule type="cellIs" dxfId="96" priority="784" operator="greaterThanOrEqual">
      <formula>1</formula>
    </cfRule>
  </conditionalFormatting>
  <conditionalFormatting sqref="K96">
    <cfRule type="cellIs" dxfId="95" priority="93" operator="greaterThanOrEqual">
      <formula>1</formula>
    </cfRule>
    <cfRule type="cellIs" dxfId="94" priority="94" operator="between">
      <formula>0.9001</formula>
      <formula>0.9999</formula>
    </cfRule>
    <cfRule type="cellIs" dxfId="93" priority="95" operator="lessThan">
      <formula>0.9</formula>
    </cfRule>
  </conditionalFormatting>
  <conditionalFormatting sqref="Q8:Q12 X8:X12 AF8:AF12 AJ8:AJ12 AP8:AP12 Q14:Q18 X14:X18 AF14:AF18 AJ14:AJ18 AP14:AP18 Q20:Q24 X20:X24 AF20:AF24 AJ20:AJ24 AP20:AP24 Q26:Q30 X26:X30 AF26:AF30 AJ26:AJ30 AP26:AP30 Q32:Q36 X32:X36 AF32:AF36 AJ32:AJ36 AP32:AP36 Q38:Q42 X38:X42 AF38:AF42 AJ38:AJ42 AP38:AP42 Q44:Q48 X44:X48 AF44:AF48 AJ44:AJ48 AP44:AP48 Q50:Q54 X50:X54 AF50:AF54 AJ50:AJ54 AP50:AP54 Q56:Q60 X56:X60 AF56:AF60 AJ56:AJ60 AP56:AP60 Q62:Q66 X62:X66 AF62:AF66 AJ62:AJ66 AP62:AP66 Q68:Q72 X68:X72 AF68:AF72 AJ68:AJ72 AP68:AP72 Q74:Q78 X74:X78 AF74:AF78 AJ74:AJ78 AP74:AP78 Q80:Q84 X80:X84 AF80:AF84 AJ80:AJ84 AP80:AP84 Q86:Q90 X86:X90 AF86:AF90 AJ86:AJ90 AP86:AP90 Q92:Q95 AF92:AF95 AJ92:AJ95 AP92:AP95 Q97 AF97 AJ97 AP97">
    <cfRule type="cellIs" dxfId="92" priority="1068" operator="greaterThanOrEqual">
      <formula>1</formula>
    </cfRule>
    <cfRule type="cellIs" dxfId="91" priority="1073" operator="between">
      <formula>0.86</formula>
      <formula>0.9999</formula>
    </cfRule>
  </conditionalFormatting>
  <conditionalFormatting sqref="S7:T7">
    <cfRule type="cellIs" dxfId="90" priority="1069" operator="greaterThanOrEqual">
      <formula>1</formula>
    </cfRule>
    <cfRule type="cellIs" dxfId="89" priority="1070" operator="between">
      <formula>0.9001</formula>
      <formula>0.9999</formula>
    </cfRule>
    <cfRule type="cellIs" dxfId="88" priority="1071" operator="lessThan">
      <formula>0.9</formula>
    </cfRule>
  </conditionalFormatting>
  <conditionalFormatting sqref="S13:T13 S19:T19 S25:T25 S31:T31 S37:T37 S43:T43 S49:T49 S55:T55 S61:T61 S67:T67 S79:T79 S91:T91 S98:T1048576">
    <cfRule type="cellIs" dxfId="87" priority="1074" operator="greaterThanOrEqual">
      <formula>1</formula>
    </cfRule>
    <cfRule type="cellIs" dxfId="86" priority="1075" operator="between">
      <formula>0.9001</formula>
      <formula>0.9999</formula>
    </cfRule>
    <cfRule type="cellIs" dxfId="85" priority="1076" operator="lessThan">
      <formula>0.9</formula>
    </cfRule>
  </conditionalFormatting>
  <conditionalFormatting sqref="S73:T73">
    <cfRule type="cellIs" dxfId="84" priority="8" operator="greaterThanOrEqual">
      <formula>1</formula>
    </cfRule>
    <cfRule type="cellIs" dxfId="83" priority="9" operator="between">
      <formula>0.9001</formula>
      <formula>0.9999</formula>
    </cfRule>
    <cfRule type="cellIs" dxfId="82" priority="10" operator="lessThan">
      <formula>0.9</formula>
    </cfRule>
  </conditionalFormatting>
  <conditionalFormatting sqref="S85:T85">
    <cfRule type="cellIs" dxfId="81" priority="218" operator="greaterThanOrEqual">
      <formula>1</formula>
    </cfRule>
    <cfRule type="cellIs" dxfId="80" priority="219" operator="between">
      <formula>0.9001</formula>
      <formula>0.9999</formula>
    </cfRule>
    <cfRule type="cellIs" dxfId="79" priority="220" operator="lessThan">
      <formula>0.9</formula>
    </cfRule>
  </conditionalFormatting>
  <conditionalFormatting sqref="S96:T96">
    <cfRule type="cellIs" dxfId="78" priority="87" operator="greaterThanOrEqual">
      <formula>1</formula>
    </cfRule>
    <cfRule type="cellIs" dxfId="77" priority="88" operator="between">
      <formula>0.9001</formula>
      <formula>0.9999</formula>
    </cfRule>
    <cfRule type="cellIs" dxfId="76" priority="89" operator="lessThan">
      <formula>0.9</formula>
    </cfRule>
  </conditionalFormatting>
  <conditionalFormatting sqref="X8:X12 AP92:AP95 AP97 X80:X84 X86:X90 AP8:AP12 AP80:AP84 AP86:AP90 X14:X18 AP14:AP18 X26:X30 AP26:AP30 X32:X36 AP32:AP36 X38:X42 AP38:AP42 X44:X48 AP44:AP48 X56:X60 AP56:AP60 X68:X72 AP68:AP72 X20:X24 AP20:AP24 X50:X54 AP50:AP54 X62:X66 AP62:AP66 X74:X78 AP74:AP78 Q8:Q12 AF8:AF12 AJ8:AJ12 Q14:Q18 AF14:AF18 AJ14:AJ18 Q20:Q24 AF20:AF24 AJ20:AJ24 Q26:Q30 AF26:AF30 AJ26:AJ30 Q32:Q36 AF32:AF36 AJ32:AJ36 Q38:Q42 AF38:AF42 AJ38:AJ42 Q44:Q48 AF44:AF48 AJ44:AJ48 Q50:Q54 AF50:AF54 AJ50:AJ54 Q56:Q60 AF56:AF60 AJ56:AJ60 Q62:Q66 AF62:AF66 AJ62:AJ66 Q68:Q72 AF68:AF72 AJ68:AJ72 Q74:Q78 AF74:AF78 AJ74:AJ78 Q80:Q84 AF80:AF84 AJ80:AJ84 Q86:Q90 AF86:AF90 AJ86:AJ90 Q92:Q95 AF92:AF95 AJ92:AJ95 Q97 AF97 AJ97">
    <cfRule type="cellIs" dxfId="75" priority="1072" operator="lessThanOrEqual">
      <formula>0.86</formula>
    </cfRule>
  </conditionalFormatting>
  <conditionalFormatting sqref="X8:X12">
    <cfRule type="cellIs" dxfId="74" priority="453" operator="lessThanOrEqual">
      <formula>0.85</formula>
    </cfRule>
    <cfRule type="cellIs" dxfId="73" priority="454" operator="between">
      <formula>0.86</formula>
      <formula>0.9999</formula>
    </cfRule>
  </conditionalFormatting>
  <conditionalFormatting sqref="X14:X18">
    <cfRule type="cellIs" dxfId="72" priority="82" operator="lessThanOrEqual">
      <formula>0.85</formula>
    </cfRule>
    <cfRule type="cellIs" dxfId="71" priority="83" operator="between">
      <formula>0.86</formula>
      <formula>0.9999</formula>
    </cfRule>
  </conditionalFormatting>
  <conditionalFormatting sqref="X20:X24">
    <cfRule type="cellIs" dxfId="70" priority="54" operator="lessThanOrEqual">
      <formula>0.85</formula>
    </cfRule>
    <cfRule type="cellIs" dxfId="69" priority="55" operator="between">
      <formula>0.86</formula>
      <formula>0.9999</formula>
    </cfRule>
  </conditionalFormatting>
  <conditionalFormatting sqref="X26:X30">
    <cfRule type="cellIs" dxfId="68" priority="78" operator="lessThanOrEqual">
      <formula>0.85</formula>
    </cfRule>
    <cfRule type="cellIs" dxfId="67" priority="79" operator="between">
      <formula>0.86</formula>
      <formula>0.9999</formula>
    </cfRule>
  </conditionalFormatting>
  <conditionalFormatting sqref="X32:X36">
    <cfRule type="cellIs" dxfId="66" priority="74" operator="lessThanOrEqual">
      <formula>0.85</formula>
    </cfRule>
    <cfRule type="cellIs" dxfId="65" priority="75" operator="between">
      <formula>0.86</formula>
      <formula>0.9999</formula>
    </cfRule>
  </conditionalFormatting>
  <conditionalFormatting sqref="X38:X42">
    <cfRule type="cellIs" dxfId="64" priority="70" operator="lessThanOrEqual">
      <formula>0.85</formula>
    </cfRule>
    <cfRule type="cellIs" dxfId="63" priority="71" operator="between">
      <formula>0.86</formula>
      <formula>0.9999</formula>
    </cfRule>
  </conditionalFormatting>
  <conditionalFormatting sqref="X44:X48">
    <cfRule type="cellIs" dxfId="62" priority="66" operator="lessThanOrEqual">
      <formula>0.85</formula>
    </cfRule>
    <cfRule type="cellIs" dxfId="61" priority="67" operator="between">
      <formula>0.86</formula>
      <formula>0.9999</formula>
    </cfRule>
  </conditionalFormatting>
  <conditionalFormatting sqref="X50:X54">
    <cfRule type="cellIs" dxfId="60" priority="50" operator="lessThanOrEqual">
      <formula>0.85</formula>
    </cfRule>
    <cfRule type="cellIs" dxfId="59" priority="51" operator="between">
      <formula>0.86</formula>
      <formula>0.9999</formula>
    </cfRule>
  </conditionalFormatting>
  <conditionalFormatting sqref="X56:X60">
    <cfRule type="cellIs" dxfId="58" priority="62" operator="lessThanOrEqual">
      <formula>0.85</formula>
    </cfRule>
    <cfRule type="cellIs" dxfId="57" priority="63" operator="between">
      <formula>0.86</formula>
      <formula>0.9999</formula>
    </cfRule>
  </conditionalFormatting>
  <conditionalFormatting sqref="X62:X66">
    <cfRule type="cellIs" dxfId="56" priority="46" operator="lessThanOrEqual">
      <formula>0.85</formula>
    </cfRule>
    <cfRule type="cellIs" dxfId="55" priority="47" operator="between">
      <formula>0.86</formula>
      <formula>0.9999</formula>
    </cfRule>
  </conditionalFormatting>
  <conditionalFormatting sqref="X68:X72">
    <cfRule type="cellIs" dxfId="54" priority="58" operator="lessThanOrEqual">
      <formula>0.85</formula>
    </cfRule>
    <cfRule type="cellIs" dxfId="53" priority="59" operator="between">
      <formula>0.86</formula>
      <formula>0.9999</formula>
    </cfRule>
  </conditionalFormatting>
  <conditionalFormatting sqref="X74:X78">
    <cfRule type="cellIs" dxfId="52" priority="6" operator="lessThanOrEqual">
      <formula>0.85</formula>
    </cfRule>
    <cfRule type="cellIs" dxfId="51" priority="7" operator="between">
      <formula>0.86</formula>
      <formula>0.9999</formula>
    </cfRule>
  </conditionalFormatting>
  <conditionalFormatting sqref="X80:X84 X86:X90">
    <cfRule type="cellIs" dxfId="50" priority="168" operator="lessThanOrEqual">
      <formula>0.85</formula>
    </cfRule>
    <cfRule type="cellIs" dxfId="49" priority="169" operator="between">
      <formula>0.86</formula>
      <formula>0.9999</formula>
    </cfRule>
  </conditionalFormatting>
  <conditionalFormatting sqref="X92:X95 X97">
    <cfRule type="cellIs" dxfId="48" priority="405" operator="between">
      <formula>0.86</formula>
      <formula>0.999999999</formula>
    </cfRule>
  </conditionalFormatting>
  <conditionalFormatting sqref="AL7">
    <cfRule type="cellIs" dxfId="47" priority="391" operator="greaterThanOrEqual">
      <formula>1</formula>
    </cfRule>
    <cfRule type="cellIs" dxfId="46" priority="392" operator="between">
      <formula>0.9001</formula>
      <formula>0.9999</formula>
    </cfRule>
    <cfRule type="cellIs" dxfId="45" priority="393" operator="lessThan">
      <formula>0.9</formula>
    </cfRule>
  </conditionalFormatting>
  <conditionalFormatting sqref="AL13 AL19 AL25 AL31 AL37 AL43 AL49 AL55 AL61 AL67 AL79 AL91">
    <cfRule type="cellIs" dxfId="44" priority="163" operator="greaterThanOrEqual">
      <formula>1</formula>
    </cfRule>
    <cfRule type="cellIs" dxfId="43" priority="164" operator="between">
      <formula>0.9001</formula>
      <formula>0.9999</formula>
    </cfRule>
    <cfRule type="cellIs" dxfId="42" priority="165" operator="lessThan">
      <formula>0.9</formula>
    </cfRule>
  </conditionalFormatting>
  <conditionalFormatting sqref="AL73">
    <cfRule type="cellIs" dxfId="41" priority="3" operator="greaterThanOrEqual">
      <formula>1</formula>
    </cfRule>
    <cfRule type="cellIs" dxfId="40" priority="4" operator="between">
      <formula>0.9001</formula>
      <formula>0.9999</formula>
    </cfRule>
    <cfRule type="cellIs" dxfId="39" priority="5" operator="lessThan">
      <formula>0.9</formula>
    </cfRule>
  </conditionalFormatting>
  <conditionalFormatting sqref="AL85">
    <cfRule type="cellIs" dxfId="38" priority="160" operator="greaterThanOrEqual">
      <formula>1</formula>
    </cfRule>
    <cfRule type="cellIs" dxfId="37" priority="161" operator="between">
      <formula>0.9001</formula>
      <formula>0.9999</formula>
    </cfRule>
    <cfRule type="cellIs" dxfId="36" priority="162" operator="lessThan">
      <formula>0.9</formula>
    </cfRule>
  </conditionalFormatting>
  <conditionalFormatting sqref="AL96">
    <cfRule type="cellIs" dxfId="35" priority="84" operator="greaterThanOrEqual">
      <formula>1</formula>
    </cfRule>
    <cfRule type="cellIs" dxfId="34" priority="85" operator="between">
      <formula>0.9001</formula>
      <formula>0.9999</formula>
    </cfRule>
    <cfRule type="cellIs" dxfId="33" priority="86" operator="lessThan">
      <formula>0.9</formula>
    </cfRule>
  </conditionalFormatting>
  <conditionalFormatting sqref="AL98:AL1048576">
    <cfRule type="cellIs" dxfId="32" priority="396" operator="greaterThanOrEqual">
      <formula>1</formula>
    </cfRule>
    <cfRule type="cellIs" dxfId="31" priority="397" operator="between">
      <formula>0.9001</formula>
      <formula>0.9999</formula>
    </cfRule>
    <cfRule type="cellIs" dxfId="30" priority="398" operator="lessThan">
      <formula>0.9</formula>
    </cfRule>
  </conditionalFormatting>
  <conditionalFormatting sqref="AP8:AP12">
    <cfRule type="cellIs" dxfId="29" priority="158" operator="lessThanOrEqual">
      <formula>0.85</formula>
    </cfRule>
    <cfRule type="cellIs" dxfId="28" priority="159" operator="between">
      <formula>0.86</formula>
      <formula>0.9999</formula>
    </cfRule>
  </conditionalFormatting>
  <conditionalFormatting sqref="AP14:AP18">
    <cfRule type="cellIs" dxfId="27" priority="80" operator="lessThanOrEqual">
      <formula>0.85</formula>
    </cfRule>
    <cfRule type="cellIs" dxfId="26" priority="81" operator="between">
      <formula>0.86</formula>
      <formula>0.9999</formula>
    </cfRule>
  </conditionalFormatting>
  <conditionalFormatting sqref="AP20:AP24">
    <cfRule type="cellIs" dxfId="25" priority="52" operator="lessThanOrEqual">
      <formula>0.85</formula>
    </cfRule>
    <cfRule type="cellIs" dxfId="24" priority="53" operator="between">
      <formula>0.86</formula>
      <formula>0.9999</formula>
    </cfRule>
  </conditionalFormatting>
  <conditionalFormatting sqref="AP26:AP30">
    <cfRule type="cellIs" dxfId="23" priority="76" operator="lessThanOrEqual">
      <formula>0.85</formula>
    </cfRule>
    <cfRule type="cellIs" dxfId="22" priority="77" operator="between">
      <formula>0.86</formula>
      <formula>0.9999</formula>
    </cfRule>
  </conditionalFormatting>
  <conditionalFormatting sqref="AP32:AP36">
    <cfRule type="cellIs" dxfId="21" priority="72" operator="lessThanOrEqual">
      <formula>0.85</formula>
    </cfRule>
    <cfRule type="cellIs" dxfId="20" priority="73" operator="between">
      <formula>0.86</formula>
      <formula>0.9999</formula>
    </cfRule>
  </conditionalFormatting>
  <conditionalFormatting sqref="AP38:AP42">
    <cfRule type="cellIs" dxfId="19" priority="68" operator="lessThanOrEqual">
      <formula>0.85</formula>
    </cfRule>
    <cfRule type="cellIs" dxfId="18" priority="69" operator="between">
      <formula>0.86</formula>
      <formula>0.9999</formula>
    </cfRule>
  </conditionalFormatting>
  <conditionalFormatting sqref="AP44:AP48">
    <cfRule type="cellIs" dxfId="17" priority="64" operator="lessThanOrEqual">
      <formula>0.85</formula>
    </cfRule>
    <cfRule type="cellIs" dxfId="16" priority="65" operator="between">
      <formula>0.86</formula>
      <formula>0.9999</formula>
    </cfRule>
  </conditionalFormatting>
  <conditionalFormatting sqref="AP50:AP54">
    <cfRule type="cellIs" dxfId="15" priority="48" operator="lessThanOrEqual">
      <formula>0.85</formula>
    </cfRule>
    <cfRule type="cellIs" dxfId="14" priority="49" operator="between">
      <formula>0.86</formula>
      <formula>0.9999</formula>
    </cfRule>
  </conditionalFormatting>
  <conditionalFormatting sqref="AP56:AP60">
    <cfRule type="cellIs" dxfId="13" priority="60" operator="lessThanOrEqual">
      <formula>0.85</formula>
    </cfRule>
    <cfRule type="cellIs" dxfId="12" priority="61" operator="between">
      <formula>0.86</formula>
      <formula>0.9999</formula>
    </cfRule>
  </conditionalFormatting>
  <conditionalFormatting sqref="AP62:AP66">
    <cfRule type="cellIs" dxfId="11" priority="44" operator="lessThanOrEqual">
      <formula>0.85</formula>
    </cfRule>
    <cfRule type="cellIs" dxfId="10" priority="45" operator="between">
      <formula>0.86</formula>
      <formula>0.9999</formula>
    </cfRule>
  </conditionalFormatting>
  <conditionalFormatting sqref="AP68:AP72">
    <cfRule type="cellIs" dxfId="9" priority="56" operator="lessThanOrEqual">
      <formula>0.85</formula>
    </cfRule>
    <cfRule type="cellIs" dxfId="8" priority="57" operator="between">
      <formula>0.86</formula>
      <formula>0.9999</formula>
    </cfRule>
  </conditionalFormatting>
  <conditionalFormatting sqref="AP74:AP78">
    <cfRule type="cellIs" dxfId="7" priority="1" operator="lessThanOrEqual">
      <formula>0.85</formula>
    </cfRule>
    <cfRule type="cellIs" dxfId="6" priority="2" operator="between">
      <formula>0.86</formula>
      <formula>0.9999</formula>
    </cfRule>
  </conditionalFormatting>
  <conditionalFormatting sqref="AP80:AP84">
    <cfRule type="cellIs" dxfId="5" priority="102" operator="lessThanOrEqual">
      <formula>0.85</formula>
    </cfRule>
    <cfRule type="cellIs" dxfId="4" priority="103" operator="between">
      <formula>0.86</formula>
      <formula>0.9999</formula>
    </cfRule>
  </conditionalFormatting>
  <conditionalFormatting sqref="AP86:AP90">
    <cfRule type="cellIs" dxfId="3" priority="96" operator="lessThanOrEqual">
      <formula>0.85</formula>
    </cfRule>
    <cfRule type="cellIs" dxfId="2" priority="97" operator="between">
      <formula>0.86</formula>
      <formula>0.9999</formula>
    </cfRule>
  </conditionalFormatting>
  <conditionalFormatting sqref="AP92:AP95 AP97">
    <cfRule type="cellIs" dxfId="1" priority="230" operator="lessThanOrEqual">
      <formula>0.85</formula>
    </cfRule>
    <cfRule type="cellIs" dxfId="0" priority="231" operator="between">
      <formula>0.86</formula>
      <formula>0.9999</formula>
    </cfRule>
  </conditionalFormatting>
  <printOptions horizontalCentered="1"/>
  <pageMargins left="0" right="0" top="0" bottom="0" header="0" footer="0"/>
  <pageSetup paperSize="9" scale="31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PAD - DISTRIBUIÇÃO</vt:lpstr>
      <vt:lpstr>PAD - LOJAS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francislanias</dc:creator>
  <cp:lastModifiedBy>LEONARDO SANTOS DE SOUZA</cp:lastModifiedBy>
  <cp:lastPrinted>2026-09-03T13:29:00Z</cp:lastPrinted>
  <dcterms:created xsi:type="dcterms:W3CDTF">2013-12-24T17:42:15Z</dcterms:created>
  <dcterms:modified xsi:type="dcterms:W3CDTF">2026-09-09T15:02:36Z</dcterms:modified>
</cp:coreProperties>
</file>