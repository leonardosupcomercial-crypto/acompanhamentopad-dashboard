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9. SETEMBR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<sst xmlns="http://schemas.openxmlformats.org/spreadsheetml/2006/main" count="325" uniqueCount="84">
  <si>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</si>
  <si>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</si>
  <si>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</si>
  <si>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</si>
  <si>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</si>
  <si>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</si>
  <si>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</si>
  <si>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</si>
  <si>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</si>
  <si>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</si>
  <si>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</si>
  <si>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</si>
  <si>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</si>
  <si>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</si>
  <si>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</si>
  <si>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</si>
  <si>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</si>
  <si>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</si>
  <si>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</si>
  <si>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</si>
  <si>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</si>
  <si>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</si>
  <si>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</si>
  <si>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</si>
  <si>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</si>
  <si>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</si>
  <si>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</si>
  <si>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</si>
  <si>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</si>
  <si>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</si>
  <si>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</si>
  <si>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</si>
  <si>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</si>
  <si>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</si>
  <si>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</si>
  <si>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</si>
  <si>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</si>
  <si>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</si>
  <si>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</si>
  <si>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</si>
  <si>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</si>
  <si>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</si>
  <si>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</si>
  <si>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</si>
  <si>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</si>
  <si>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</si>
  <si>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</si>
  <si>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</si>
  <si>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</si>
  <si>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</si>
  <si>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</si>
  <si>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</si>
  <si>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</si>
  <si>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</si>
  <si>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</si>
  <si>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</si>
  <si>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</si>
  <si>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</si>
  <si>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</si>
  <si>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</si>
  <si>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</si>
  <si>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</si>
  <si>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</si>
  <si>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</si>
  <si>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</si>
  <si>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</si>
  <si>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</si>
  <si>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</si>
  <si>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</si>
  <si>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</si>
  <si>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</si>
  <si>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</si>
  <si>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</si>
  <si>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</si>
  <si>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</si>
  <si>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</si>
  <si>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</si>
  <si>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</si>
  <si>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</si>
  <si>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</si>
  <si>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</si>
  <si>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</si>
  <si>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SETEMBRO  / 2026</t>
  </si>
  <si>
    <t>PAD LOJAS - SETEMBRO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</si>
</sst>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top" textRotation="255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  <xf numFmtId="0" fontId="12" fillId="3" borderId="1" xfId="0" applyFont="1" applyFill="1" applyBorder="1" applyAlignment="1">
      <alignment horizontal="center" vertical="center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C8" activePane="bottomRight" state="frozen"/>
      <selection sqref="A1:XFD1048576"/>
      <selection pane="topRight" sqref="A1:XFD1048576"/>
      <selection pane="bottomLeft" sqref="A1:XFD1048576"/>
      <selection pane="bottomRight" activeCell="J25" sqref="J25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11</v>
      </c>
      <c r="H3" s="187"/>
      <c r="I3" s="187"/>
      <c r="J3" s="187"/>
      <c r="K3" s="187"/>
      <c r="L3" s="187">
        <v>34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28597517.509999998</v>
      </c>
      <c r="E8" s="120">
        <v>3.6595826359461858</v>
      </c>
      <c r="F8" s="64"/>
      <c r="G8" s="84">
        <v>7814420.4831177704</v>
      </c>
      <c r="H8" s="84">
        <v>5860815.3623383278</v>
      </c>
      <c r="I8" s="85">
        <v>6158976.3200000077</v>
      </c>
      <c r="J8" s="70">
        <v>1.0508736309247457</v>
      </c>
      <c r="K8" s="86"/>
      <c r="L8" s="87">
        <v>2.9</v>
      </c>
      <c r="M8" s="88">
        <v>-3.143471493327417</v>
      </c>
      <c r="N8" s="70">
        <v>-1.0839556873542817</v>
      </c>
      <c r="O8" s="86"/>
      <c r="P8" s="84">
        <v>169963.64550781148</v>
      </c>
      <c r="Q8" s="84">
        <v>-193605.66489998624</v>
      </c>
      <c r="R8" s="83">
        <v>14918.8</v>
      </c>
      <c r="S8" s="85">
        <v>-178686.86489998625</v>
      </c>
      <c r="T8" s="70">
        <v>-1.0513240308897343</v>
      </c>
      <c r="U8" s="69"/>
      <c r="V8" s="83">
        <v>390721.02415588853</v>
      </c>
      <c r="W8" s="89">
        <v>341085.68000000028</v>
      </c>
      <c r="X8" s="90">
        <v>-1.7412674727358575</v>
      </c>
      <c r="Y8" s="70">
        <v>-0.60043705956408877</v>
      </c>
      <c r="Z8" s="91"/>
      <c r="AA8" s="85">
        <v>11330.909700520768</v>
      </c>
      <c r="AB8" s="85">
        <v>-5939.213999999919</v>
      </c>
      <c r="AC8" s="70">
        <v>-0.52416038579205637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1305768.4800000002</v>
      </c>
      <c r="E9" s="120">
        <v>0.77376211722000465</v>
      </c>
      <c r="F9" s="28"/>
      <c r="G9" s="84">
        <v>1687558.0374642839</v>
      </c>
      <c r="H9" s="84">
        <v>1265668.528098213</v>
      </c>
      <c r="I9" s="85">
        <v>1333698.0500000003</v>
      </c>
      <c r="J9" s="70">
        <v>1.0537498724124934</v>
      </c>
      <c r="K9" s="86"/>
      <c r="L9" s="87">
        <v>3.55</v>
      </c>
      <c r="M9" s="88">
        <v>-2.8399354561552297</v>
      </c>
      <c r="N9" s="70">
        <v>-0.79998181863527595</v>
      </c>
      <c r="O9" s="86"/>
      <c r="P9" s="84">
        <v>44931.23274748656</v>
      </c>
      <c r="Q9" s="84">
        <v>-37876.163800000912</v>
      </c>
      <c r="R9" s="83">
        <v>683</v>
      </c>
      <c r="S9" s="85">
        <v>-37193.163800000912</v>
      </c>
      <c r="T9" s="70">
        <v>-0.82777973195230181</v>
      </c>
      <c r="U9" s="69"/>
      <c r="V9" s="83">
        <v>84377.901873214199</v>
      </c>
      <c r="W9" s="89">
        <v>90650.240000000093</v>
      </c>
      <c r="X9" s="90">
        <v>-2.2149097454126117</v>
      </c>
      <c r="Y9" s="70">
        <v>-0.62391823814439773</v>
      </c>
      <c r="Z9" s="91"/>
      <c r="AA9" s="85">
        <v>2995.4155164991039</v>
      </c>
      <c r="AB9" s="85">
        <v>-2007.8209999999235</v>
      </c>
      <c r="AC9" s="70">
        <v>-0.67029799002529278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13042485.339999994</v>
      </c>
      <c r="E10" s="120">
        <v>0.72529594107673956</v>
      </c>
      <c r="F10" s="28"/>
      <c r="G10" s="84">
        <v>17982294.676346522</v>
      </c>
      <c r="H10" s="84">
        <v>13486721.007259892</v>
      </c>
      <c r="I10" s="85">
        <v>13234929.140000604</v>
      </c>
      <c r="J10" s="70">
        <v>0.98133038659851057</v>
      </c>
      <c r="K10" s="86"/>
      <c r="L10" s="87">
        <v>3.7</v>
      </c>
      <c r="M10" s="88">
        <v>0.80070411362770499</v>
      </c>
      <c r="N10" s="70">
        <v>0.21640651719667703</v>
      </c>
      <c r="O10" s="86"/>
      <c r="P10" s="84">
        <v>499008.67726861604</v>
      </c>
      <c r="Q10" s="84">
        <v>105972.62205969667</v>
      </c>
      <c r="R10" s="83">
        <v>0</v>
      </c>
      <c r="S10" s="85">
        <v>105972.62205969667</v>
      </c>
      <c r="T10" s="70">
        <v>0.21236629118305228</v>
      </c>
      <c r="U10" s="69"/>
      <c r="V10" s="83">
        <v>899114.73381732614</v>
      </c>
      <c r="W10" s="89">
        <v>1124893.9800000007</v>
      </c>
      <c r="X10" s="90">
        <v>0.75842036242388888</v>
      </c>
      <c r="Y10" s="70">
        <v>0.20497847633078076</v>
      </c>
      <c r="Z10" s="91"/>
      <c r="AA10" s="85">
        <v>33267.24515124107</v>
      </c>
      <c r="AB10" s="85">
        <v>8531.425000000514</v>
      </c>
      <c r="AC10" s="70">
        <v>0.25645120181170877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5580257.4700000016</v>
      </c>
      <c r="E11" s="120">
        <v>0.63507534172941293</v>
      </c>
      <c r="F11" s="28"/>
      <c r="G11" s="84">
        <v>8786764.5038839914</v>
      </c>
      <c r="H11" s="84">
        <v>6590073.3779129935</v>
      </c>
      <c r="I11" s="85">
        <v>5542529.2900000932</v>
      </c>
      <c r="J11" s="70">
        <v>0.84104212080190122</v>
      </c>
      <c r="K11" s="86"/>
      <c r="L11" s="87">
        <v>3.7</v>
      </c>
      <c r="M11" s="88">
        <v>-1.3924891752786475</v>
      </c>
      <c r="N11" s="70">
        <v>-0.37634842575098576</v>
      </c>
      <c r="O11" s="86"/>
      <c r="P11" s="84">
        <v>243832.71498278077</v>
      </c>
      <c r="Q11" s="84">
        <v>-77179.120399899766</v>
      </c>
      <c r="R11" s="83">
        <v>0</v>
      </c>
      <c r="S11" s="85">
        <v>-77179.120399899766</v>
      </c>
      <c r="T11" s="70">
        <v>-0.31652487815406594</v>
      </c>
      <c r="U11" s="69"/>
      <c r="V11" s="83">
        <v>439338.22519419959</v>
      </c>
      <c r="W11" s="89">
        <v>406330.89000000054</v>
      </c>
      <c r="X11" s="90">
        <v>-1.4056891416743604</v>
      </c>
      <c r="Y11" s="70">
        <v>-0.37991598423631362</v>
      </c>
      <c r="Z11" s="91"/>
      <c r="AA11" s="85">
        <v>16255.514332185385</v>
      </c>
      <c r="AB11" s="85">
        <v>-5711.7491999987969</v>
      </c>
      <c r="AC11" s="70">
        <v>-0.35137302230355894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37989401.780000016</v>
      </c>
      <c r="E12" s="120">
        <v>1.4185647108265576</v>
      </c>
      <c r="F12" s="28"/>
      <c r="G12" s="84">
        <v>26780168.356129956</v>
      </c>
      <c r="H12" s="84">
        <v>20085126.267097466</v>
      </c>
      <c r="I12" s="85">
        <v>16745987.470000001</v>
      </c>
      <c r="J12" s="70">
        <v>0.83375066939123554</v>
      </c>
      <c r="K12" s="86"/>
      <c r="L12" s="87">
        <v>2.95</v>
      </c>
      <c r="M12" s="88">
        <v>-5.0400331925005153</v>
      </c>
      <c r="N12" s="70">
        <v>-1.7084858279662762</v>
      </c>
      <c r="O12" s="86"/>
      <c r="P12" s="84">
        <v>592511.22487937519</v>
      </c>
      <c r="Q12" s="84">
        <v>-844003.32689997728</v>
      </c>
      <c r="R12" s="83">
        <v>1497.05</v>
      </c>
      <c r="S12" s="85">
        <v>-842506.27689997724</v>
      </c>
      <c r="T12" s="70">
        <v>-1.4219245839123076</v>
      </c>
      <c r="U12" s="69"/>
      <c r="V12" s="83">
        <v>1339008.4178064978</v>
      </c>
      <c r="W12" s="89">
        <v>1476998.4200000002</v>
      </c>
      <c r="X12" s="90">
        <v>-4.5884477587998038</v>
      </c>
      <c r="Y12" s="70">
        <v>-1.5554060199321369</v>
      </c>
      <c r="Z12" s="91"/>
      <c r="AA12" s="85">
        <v>39500.748325291686</v>
      </c>
      <c r="AB12" s="85">
        <v>-67771.300899998518</v>
      </c>
      <c r="AC12" s="70">
        <v>-1.7156966329320313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2617020.7100000004</v>
      </c>
      <c r="E13" s="120">
        <v>0.97882713677824351</v>
      </c>
      <c r="F13" s="28"/>
      <c r="G13" s="84">
        <v>2673629.0930937841</v>
      </c>
      <c r="H13" s="84">
        <v>2005221.8198203382</v>
      </c>
      <c r="I13" s="85">
        <v>1944226.5799999966</v>
      </c>
      <c r="J13" s="70">
        <v>0.96958179927156063</v>
      </c>
      <c r="K13" s="86"/>
      <c r="L13" s="87">
        <v>4.05</v>
      </c>
      <c r="M13" s="88">
        <v>-4.1717862019971097</v>
      </c>
      <c r="N13" s="70">
        <v>-1.0300706671597801</v>
      </c>
      <c r="O13" s="86"/>
      <c r="P13" s="84">
        <v>81211.483702723694</v>
      </c>
      <c r="Q13" s="84">
        <v>-81108.976200000165</v>
      </c>
      <c r="R13" s="83">
        <v>155.52000000000001</v>
      </c>
      <c r="S13" s="85">
        <v>-80953.456200000161</v>
      </c>
      <c r="T13" s="70">
        <v>-0.99682277073439451</v>
      </c>
      <c r="U13" s="69"/>
      <c r="V13" s="83">
        <v>133681.45465468921</v>
      </c>
      <c r="W13" s="89">
        <v>79140.500000000015</v>
      </c>
      <c r="X13" s="90">
        <v>-1.1909316974242443</v>
      </c>
      <c r="Y13" s="70">
        <v>-0.29405720924055417</v>
      </c>
      <c r="Z13" s="92"/>
      <c r="AA13" s="85">
        <v>5414.098913514913</v>
      </c>
      <c r="AB13" s="85">
        <v>-942.50930000003427</v>
      </c>
      <c r="AC13" s="70">
        <v>-0.17408424098926248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2066939.4200000006</v>
      </c>
      <c r="E14" s="120">
        <v>1.041228154833362</v>
      </c>
      <c r="F14" s="28"/>
      <c r="G14" s="84">
        <v>1985097.5123994737</v>
      </c>
      <c r="H14" s="84">
        <v>1488823.1342996052</v>
      </c>
      <c r="I14" s="85">
        <v>1352836.44</v>
      </c>
      <c r="J14" s="70">
        <v>0.90866161925702604</v>
      </c>
      <c r="K14" s="86"/>
      <c r="L14" s="87">
        <v>4.05</v>
      </c>
      <c r="M14" s="88">
        <v>-0.47738582500016252</v>
      </c>
      <c r="N14" s="70">
        <v>-0.11787304320991668</v>
      </c>
      <c r="O14" s="86"/>
      <c r="P14" s="84">
        <v>60297.336939134002</v>
      </c>
      <c r="Q14" s="84">
        <v>-6458.2493999968283</v>
      </c>
      <c r="R14" s="83">
        <v>1821.6</v>
      </c>
      <c r="S14" s="85">
        <v>-4636.6493999968279</v>
      </c>
      <c r="T14" s="70">
        <v>-7.6896420892969206E-2</v>
      </c>
      <c r="U14" s="69"/>
      <c r="V14" s="83">
        <v>99254.875619973682</v>
      </c>
      <c r="W14" s="89">
        <v>130495.93999999993</v>
      </c>
      <c r="X14" s="90">
        <v>-1.2202371966515277</v>
      </c>
      <c r="Y14" s="70">
        <v>-0.30129313497568588</v>
      </c>
      <c r="Z14" s="91"/>
      <c r="AA14" s="85">
        <v>4019.8224626089341</v>
      </c>
      <c r="AB14" s="85">
        <v>-1592.3600000000588</v>
      </c>
      <c r="AC14" s="70">
        <v>-0.39612694710069102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9490470.6699999981</v>
      </c>
      <c r="E15" s="120">
        <v>0.59364283539802554</v>
      </c>
      <c r="F15" s="28"/>
      <c r="G15" s="84">
        <v>15986836.030181058</v>
      </c>
      <c r="H15" s="84">
        <v>11990127.022635793</v>
      </c>
      <c r="I15" s="85">
        <v>14004348.510000184</v>
      </c>
      <c r="J15" s="70">
        <v>1.1679900040726678</v>
      </c>
      <c r="K15" s="86"/>
      <c r="L15" s="87">
        <v>2.9</v>
      </c>
      <c r="M15" s="88">
        <v>-7.6158433906306371</v>
      </c>
      <c r="N15" s="70">
        <v>-2.6261528933209095</v>
      </c>
      <c r="O15" s="86"/>
      <c r="P15" s="84">
        <v>347713.68365643802</v>
      </c>
      <c r="Q15" s="84">
        <v>-1066549.2503997292</v>
      </c>
      <c r="R15" s="83">
        <v>0</v>
      </c>
      <c r="S15" s="85">
        <v>-1066549.2503997292</v>
      </c>
      <c r="T15" s="70">
        <v>-3.0673203285653372</v>
      </c>
      <c r="U15" s="69"/>
      <c r="V15" s="83">
        <v>799341.80150905286</v>
      </c>
      <c r="W15" s="89">
        <v>1785443.0299999991</v>
      </c>
      <c r="X15" s="90">
        <v>-13.47250733617631</v>
      </c>
      <c r="Y15" s="70">
        <v>-4.6456921848883832</v>
      </c>
      <c r="Z15" s="91"/>
      <c r="AA15" s="85">
        <v>23180.912243762534</v>
      </c>
      <c r="AB15" s="85">
        <v>-240543.94319999847</v>
      </c>
      <c r="AC15" s="70">
        <v>-10.376810915399737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13794478.109999996</v>
      </c>
      <c r="E16" s="120">
        <v>0.75083303020689529</v>
      </c>
      <c r="F16" s="28"/>
      <c r="G16" s="84">
        <v>18372231.315128569</v>
      </c>
      <c r="H16" s="84">
        <v>13779173.486346425</v>
      </c>
      <c r="I16" s="85">
        <v>12388130.520000251</v>
      </c>
      <c r="J16" s="70">
        <v>0.89904743069498783</v>
      </c>
      <c r="K16" s="86"/>
      <c r="L16" s="87">
        <v>2.5499999999999998</v>
      </c>
      <c r="M16" s="88">
        <v>-4.4762413416978539</v>
      </c>
      <c r="N16" s="70">
        <v>-1.7553887614501389</v>
      </c>
      <c r="O16" s="86"/>
      <c r="P16" s="84">
        <v>351368.92390183383</v>
      </c>
      <c r="Q16" s="84">
        <v>-554522.6197997405</v>
      </c>
      <c r="R16" s="83">
        <v>1014.17</v>
      </c>
      <c r="S16" s="85">
        <v>-553508.44979974045</v>
      </c>
      <c r="T16" s="70">
        <v>-1.575291416364359</v>
      </c>
      <c r="U16" s="69"/>
      <c r="V16" s="83">
        <v>918611.5657564284</v>
      </c>
      <c r="W16" s="89">
        <v>860561.57000000007</v>
      </c>
      <c r="X16" s="90">
        <v>-4.2110061921543744</v>
      </c>
      <c r="Y16" s="70">
        <v>-1.6513749773154411</v>
      </c>
      <c r="Z16" s="91"/>
      <c r="AA16" s="85">
        <v>23424.594926788923</v>
      </c>
      <c r="AB16" s="85">
        <v>-36238.301000000902</v>
      </c>
      <c r="AC16" s="70">
        <v>-1.54701932363227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175.1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3127.73</v>
      </c>
      <c r="E18" s="120"/>
      <c r="F18" s="28"/>
      <c r="G18" s="84"/>
      <c r="H18" s="84"/>
      <c r="I18" s="85">
        <v>3595.54</v>
      </c>
      <c r="J18" s="70" t="s">
        <v>69</v>
      </c>
      <c r="K18" s="86"/>
      <c r="L18" s="87"/>
      <c r="M18" s="88">
        <v>1.8133576597673988</v>
      </c>
      <c r="N18" s="70" t="s">
        <v>69</v>
      </c>
      <c r="O18" s="86"/>
      <c r="P18" s="84">
        <v>0</v>
      </c>
      <c r="Q18" s="84">
        <v>65.200000000000728</v>
      </c>
      <c r="R18" s="83">
        <v>0</v>
      </c>
      <c r="S18" s="85">
        <v>65.200000000000728</v>
      </c>
      <c r="T18" s="70" t="s">
        <v>69</v>
      </c>
      <c r="U18" s="69"/>
      <c r="V18" s="83">
        <v>0</v>
      </c>
      <c r="W18" s="89">
        <v>209.64</v>
      </c>
      <c r="X18" s="90">
        <v>-0.6678114863575817</v>
      </c>
      <c r="Y18" s="70">
        <v>0</v>
      </c>
      <c r="Z18" s="91"/>
      <c r="AA18" s="85">
        <v>0</v>
      </c>
      <c r="AB18" s="85">
        <v>-1.4000000000000341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114487642.32000001</v>
      </c>
      <c r="E22" s="122">
        <v>1.1216690896482988</v>
      </c>
      <c r="F22" s="28"/>
      <c r="G22" s="41">
        <v>102069000.00774541</v>
      </c>
      <c r="H22" s="41">
        <v>76551750.005809054</v>
      </c>
      <c r="I22" s="41">
        <v>72709257.860001147</v>
      </c>
      <c r="J22" s="44">
        <v>0.94980529974146477</v>
      </c>
      <c r="K22" s="45"/>
      <c r="L22" s="43">
        <v>3.1231669078822795</v>
      </c>
      <c r="M22" s="43">
        <v>-3.7894287891712377</v>
      </c>
      <c r="N22" s="44">
        <v>-1.213328938523087</v>
      </c>
      <c r="O22" s="45"/>
      <c r="P22" s="41">
        <v>2390838.9235861995</v>
      </c>
      <c r="Q22" s="41">
        <v>-2755265.5497396342</v>
      </c>
      <c r="R22" s="40">
        <v>20090.139999999996</v>
      </c>
      <c r="S22" s="41">
        <v>-2735175.409739634</v>
      </c>
      <c r="T22" s="44">
        <v>-1.1440232893803395</v>
      </c>
      <c r="U22" s="42"/>
      <c r="V22" s="40">
        <v>5103450.00038727</v>
      </c>
      <c r="W22" s="40">
        <v>6295809.8900000006</v>
      </c>
      <c r="X22" s="46">
        <v>-5.5944696513063876</v>
      </c>
      <c r="Y22" s="44">
        <v>-1.7912810350247403</v>
      </c>
      <c r="Z22" s="45"/>
      <c r="AA22" s="41">
        <v>159389.26157241332</v>
      </c>
      <c r="AB22" s="41">
        <v>-352217.17359999614</v>
      </c>
      <c r="AC22" s="44">
        <v>-2.2097923669718349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AQ3" sqref="AQ3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4" width="8.6640625" customWidth="1"/>
    <col min="45" max="16384" width="9" style="11"/>
  </cols>
  <sheetData>
    <row r="1" spans="1:44" ht="14.5" thickBot="1" x14ac:dyDescent="0.35">
      <c r="A1" s="161"/>
      <c r="B1" s="217"/>
      <c r="C1" s="218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4" s="162" customFormat="1" ht="30.65" customHeight="1" thickBot="1" x14ac:dyDescent="0.4">
      <c r="A2" s="161"/>
      <c r="B2" s="219"/>
      <c r="C2" s="220"/>
      <c r="D2" s="176"/>
      <c r="E2" s="223" t="s">
        <v>83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5"/>
      <c r="AQ2"/>
      <c r="AR2"/>
    </row>
    <row r="3" spans="1:44" s="186" customFormat="1" ht="12" thickBot="1" x14ac:dyDescent="0.3">
      <c r="B3" s="219"/>
      <c r="C3" s="220"/>
      <c r="D3" s="188"/>
      <c r="E3" s="234"/>
      <c r="F3" s="234"/>
      <c r="G3" s="188"/>
      <c r="H3" s="188">
        <v>11</v>
      </c>
      <c r="I3" s="188"/>
      <c r="J3" s="188">
        <v>3</v>
      </c>
      <c r="K3" s="188"/>
      <c r="L3" s="188"/>
      <c r="M3" s="188">
        <v>72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4" s="157" customFormat="1" ht="21.75" customHeight="1" thickBot="1" x14ac:dyDescent="0.3">
      <c r="A4" s="163"/>
      <c r="B4" s="219"/>
      <c r="C4" s="220"/>
      <c r="D4" s="177"/>
      <c r="E4" s="235"/>
      <c r="F4" s="235"/>
      <c r="G4" s="177"/>
      <c r="H4" s="226" t="s">
        <v>35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8"/>
      <c r="Y4" s="178"/>
      <c r="Z4" s="179"/>
      <c r="AA4" s="226" t="s">
        <v>6</v>
      </c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8"/>
    </row>
    <row r="5" spans="1:44" s="57" customFormat="1" ht="23.5" customHeight="1" thickBot="1" x14ac:dyDescent="0.35">
      <c r="A5" s="164"/>
      <c r="B5" s="219"/>
      <c r="C5" s="220"/>
      <c r="D5" s="180"/>
      <c r="E5" s="221" t="s">
        <v>5</v>
      </c>
      <c r="F5" s="221"/>
      <c r="G5" s="180"/>
      <c r="H5" s="215" t="s">
        <v>36</v>
      </c>
      <c r="I5" s="215"/>
      <c r="J5" s="215"/>
      <c r="K5" s="215"/>
      <c r="L5" s="180"/>
      <c r="M5" s="215" t="s">
        <v>41</v>
      </c>
      <c r="N5" s="215"/>
      <c r="O5" s="215"/>
      <c r="P5" s="215"/>
      <c r="Q5" s="215"/>
      <c r="R5" s="180"/>
      <c r="S5" s="222" t="s">
        <v>40</v>
      </c>
      <c r="T5" s="222"/>
      <c r="U5" s="181"/>
      <c r="V5" s="216" t="s">
        <v>42</v>
      </c>
      <c r="W5" s="216"/>
      <c r="X5" s="216"/>
      <c r="Y5" s="180"/>
      <c r="Z5" s="182"/>
      <c r="AA5" s="232" t="s">
        <v>36</v>
      </c>
      <c r="AB5" s="233"/>
      <c r="AC5" s="181"/>
      <c r="AD5" s="215" t="s">
        <v>41</v>
      </c>
      <c r="AE5" s="215"/>
      <c r="AF5" s="215"/>
      <c r="AG5" s="215"/>
      <c r="AH5" s="215"/>
      <c r="AI5" s="215"/>
      <c r="AJ5" s="215"/>
      <c r="AK5" s="165"/>
      <c r="AL5" s="229" t="s">
        <v>40</v>
      </c>
      <c r="AM5" s="230"/>
      <c r="AN5" s="181"/>
      <c r="AO5" s="231" t="s">
        <v>42</v>
      </c>
      <c r="AP5" s="231"/>
      <c r="AQ5"/>
      <c r="AR5"/>
    </row>
    <row r="6" spans="1:44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4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4" ht="12.75" customHeight="1" x14ac:dyDescent="0.3">
      <c r="A8" s="7" t="s">
        <v>4</v>
      </c>
      <c r="B8" s="214" t="s">
        <v>15</v>
      </c>
      <c r="C8" s="6" t="s">
        <v>8</v>
      </c>
      <c r="D8" s="7"/>
      <c r="E8" s="33">
        <v>45308.12</v>
      </c>
      <c r="F8" s="123">
        <v>0.58087333333333335</v>
      </c>
      <c r="G8" s="7"/>
      <c r="H8" s="35">
        <v>78000</v>
      </c>
      <c r="I8" s="35">
        <v>54000</v>
      </c>
      <c r="J8" s="35">
        <v>50697.670000000158</v>
      </c>
      <c r="K8" s="70">
        <v>0.93884574074074367</v>
      </c>
      <c r="L8" s="36"/>
      <c r="M8" s="35">
        <v>15522</v>
      </c>
      <c r="N8" s="35">
        <v>10746</v>
      </c>
      <c r="O8" s="37">
        <v>0</v>
      </c>
      <c r="P8" s="35">
        <v>10680.119999999984</v>
      </c>
      <c r="Q8" s="115">
        <v>0.99386934673366689</v>
      </c>
      <c r="R8" s="36"/>
      <c r="S8" s="127">
        <v>0.19900000000000001</v>
      </c>
      <c r="T8" s="127">
        <v>0.21066293579172279</v>
      </c>
      <c r="U8" s="36"/>
      <c r="V8" s="35"/>
      <c r="W8" s="38">
        <v>4.8556866617342891</v>
      </c>
      <c r="X8" s="69" t="s">
        <v>69</v>
      </c>
      <c r="Y8" s="36"/>
      <c r="Z8" s="62"/>
      <c r="AA8" s="33">
        <v>3000</v>
      </c>
      <c r="AB8" s="33">
        <v>1389.1000000000001</v>
      </c>
      <c r="AC8" s="36"/>
      <c r="AD8" s="35">
        <v>597</v>
      </c>
      <c r="AE8" s="35">
        <v>377.65999999999997</v>
      </c>
      <c r="AF8" s="115">
        <v>0.6325963149078726</v>
      </c>
      <c r="AG8" s="36"/>
      <c r="AH8" s="35">
        <v>593.33999999999912</v>
      </c>
      <c r="AI8" s="35">
        <v>15426.839999999976</v>
      </c>
      <c r="AJ8" s="115">
        <v>0.99386934673366678</v>
      </c>
      <c r="AK8" s="36"/>
      <c r="AL8" s="108">
        <v>0.19900000000000001</v>
      </c>
      <c r="AM8" s="108">
        <v>0.27187387517097394</v>
      </c>
      <c r="AN8" s="36"/>
      <c r="AO8" s="38">
        <v>12.016413505147222</v>
      </c>
      <c r="AP8" s="70">
        <v>0</v>
      </c>
    </row>
    <row r="9" spans="1:44" ht="12.75" customHeight="1" x14ac:dyDescent="0.3">
      <c r="A9" s="7" t="s">
        <v>4</v>
      </c>
      <c r="B9" s="214"/>
      <c r="C9" s="6" t="s">
        <v>9</v>
      </c>
      <c r="D9" s="7"/>
      <c r="E9" s="33">
        <v>91029.540000000008</v>
      </c>
      <c r="F9" s="123">
        <v>0.79156121739130447</v>
      </c>
      <c r="G9" s="7"/>
      <c r="H9" s="35">
        <v>115000</v>
      </c>
      <c r="I9" s="35">
        <v>80500</v>
      </c>
      <c r="J9" s="35">
        <v>82858.020000000048</v>
      </c>
      <c r="K9" s="70">
        <v>1.0292921739130441</v>
      </c>
      <c r="L9" s="36"/>
      <c r="M9" s="35">
        <v>23000</v>
      </c>
      <c r="N9" s="35">
        <v>16100</v>
      </c>
      <c r="O9" s="37">
        <v>0</v>
      </c>
      <c r="P9" s="35">
        <v>18021.419999999991</v>
      </c>
      <c r="Q9" s="115">
        <v>1.1193428571428565</v>
      </c>
      <c r="R9" s="36"/>
      <c r="S9" s="127">
        <v>0.2</v>
      </c>
      <c r="T9" s="127">
        <v>0.21749759407719349</v>
      </c>
      <c r="U9" s="36"/>
      <c r="V9" s="35"/>
      <c r="W9" s="38">
        <v>6.4204527214140796</v>
      </c>
      <c r="X9" s="69" t="s">
        <v>69</v>
      </c>
      <c r="Y9" s="36"/>
      <c r="Z9" s="62"/>
      <c r="AA9" s="33">
        <v>3833.3333333333335</v>
      </c>
      <c r="AB9" s="33">
        <v>2273.6600000000012</v>
      </c>
      <c r="AC9" s="36"/>
      <c r="AD9" s="35">
        <v>766.66666666666663</v>
      </c>
      <c r="AE9" s="35">
        <v>138.78000000000003</v>
      </c>
      <c r="AF9" s="115">
        <v>0.18101739130434788</v>
      </c>
      <c r="AG9" s="36"/>
      <c r="AH9" s="35">
        <v>858.16285714285675</v>
      </c>
      <c r="AI9" s="35">
        <v>25744.885714285701</v>
      </c>
      <c r="AJ9" s="115">
        <v>1.1193428571428565</v>
      </c>
      <c r="AK9" s="36"/>
      <c r="AL9" s="108">
        <v>0.2</v>
      </c>
      <c r="AM9" s="108">
        <v>6.1038149943263266E-2</v>
      </c>
      <c r="AN9" s="36"/>
      <c r="AO9" s="38">
        <v>-8.318306167148922</v>
      </c>
      <c r="AP9" s="70">
        <v>0</v>
      </c>
    </row>
    <row r="10" spans="1:44" ht="12.75" customHeight="1" x14ac:dyDescent="0.3">
      <c r="A10" s="7" t="s">
        <v>4</v>
      </c>
      <c r="B10" s="214"/>
      <c r="C10" s="6" t="s">
        <v>10</v>
      </c>
      <c r="D10" s="7"/>
      <c r="E10" s="33">
        <v>139584.26000000004</v>
      </c>
      <c r="F10" s="123">
        <v>0.69792130000000019</v>
      </c>
      <c r="G10" s="7"/>
      <c r="H10" s="35">
        <v>200000</v>
      </c>
      <c r="I10" s="35">
        <v>140000</v>
      </c>
      <c r="J10" s="35">
        <v>149903.98999999824</v>
      </c>
      <c r="K10" s="70">
        <v>1.0707427857142733</v>
      </c>
      <c r="L10" s="36"/>
      <c r="M10" s="35">
        <v>38400</v>
      </c>
      <c r="N10" s="35">
        <v>26880</v>
      </c>
      <c r="O10" s="37">
        <v>0</v>
      </c>
      <c r="P10" s="35">
        <v>28803.670000000009</v>
      </c>
      <c r="Q10" s="115">
        <v>1.0715651041666669</v>
      </c>
      <c r="R10" s="36"/>
      <c r="S10" s="127">
        <v>0.192</v>
      </c>
      <c r="T10" s="127">
        <v>0.19214745384696127</v>
      </c>
      <c r="U10" s="36"/>
      <c r="V10" s="35"/>
      <c r="W10" s="38">
        <v>3.9724759827928149</v>
      </c>
      <c r="X10" s="69" t="s">
        <v>69</v>
      </c>
      <c r="Y10" s="36"/>
      <c r="Z10" s="62"/>
      <c r="AA10" s="33">
        <v>6666.666666666667</v>
      </c>
      <c r="AB10" s="33">
        <v>3351.1400000000017</v>
      </c>
      <c r="AC10" s="36"/>
      <c r="AD10" s="35">
        <v>1280</v>
      </c>
      <c r="AE10" s="35">
        <v>424.9</v>
      </c>
      <c r="AF10" s="115">
        <v>0.33195312499999996</v>
      </c>
      <c r="AG10" s="36"/>
      <c r="AH10" s="35">
        <v>1371.6033333333337</v>
      </c>
      <c r="AI10" s="35">
        <v>41148.100000000013</v>
      </c>
      <c r="AJ10" s="115">
        <v>1.0715651041666669</v>
      </c>
      <c r="AK10" s="36"/>
      <c r="AL10" s="108">
        <v>0.192</v>
      </c>
      <c r="AM10" s="108">
        <v>0.12679267353796014</v>
      </c>
      <c r="AN10" s="36"/>
      <c r="AO10" s="38">
        <v>-1.5576788794260858</v>
      </c>
      <c r="AP10" s="70">
        <v>0</v>
      </c>
    </row>
    <row r="11" spans="1:44" ht="12.75" customHeight="1" x14ac:dyDescent="0.3">
      <c r="A11" s="7" t="s">
        <v>4</v>
      </c>
      <c r="B11" s="214"/>
      <c r="C11" s="6" t="s">
        <v>12</v>
      </c>
      <c r="D11" s="7"/>
      <c r="E11" s="33">
        <v>29493.160000000011</v>
      </c>
      <c r="F11" s="123">
        <v>0.49155266666666686</v>
      </c>
      <c r="G11" s="7"/>
      <c r="H11" s="35">
        <v>60000</v>
      </c>
      <c r="I11" s="35">
        <v>41538.461538461539</v>
      </c>
      <c r="J11" s="35">
        <v>99006.999999999956</v>
      </c>
      <c r="K11" s="70">
        <v>2.3835018518518507</v>
      </c>
      <c r="L11" s="36"/>
      <c r="M11" s="35">
        <v>8400</v>
      </c>
      <c r="N11" s="35">
        <v>5815.3846153846152</v>
      </c>
      <c r="O11" s="37">
        <v>0</v>
      </c>
      <c r="P11" s="35">
        <v>20280.969999999987</v>
      </c>
      <c r="Q11" s="115">
        <v>3.4874683862433842</v>
      </c>
      <c r="R11" s="36"/>
      <c r="S11" s="127">
        <v>0.14000000000000001</v>
      </c>
      <c r="T11" s="127">
        <v>0.2048437989233084</v>
      </c>
      <c r="U11" s="36"/>
      <c r="V11" s="35"/>
      <c r="W11" s="38">
        <v>3.3434908642823182</v>
      </c>
      <c r="X11" s="69" t="s">
        <v>69</v>
      </c>
      <c r="Y11" s="36"/>
      <c r="Z11" s="62"/>
      <c r="AA11" s="33">
        <v>2307.6923076923076</v>
      </c>
      <c r="AB11" s="33">
        <v>71.47</v>
      </c>
      <c r="AC11" s="36"/>
      <c r="AD11" s="35">
        <v>323.07692307692309</v>
      </c>
      <c r="AE11" s="35">
        <v>20.28</v>
      </c>
      <c r="AF11" s="115">
        <v>6.2771428571428575E-2</v>
      </c>
      <c r="AG11" s="36"/>
      <c r="AH11" s="35">
        <v>1126.7205555555547</v>
      </c>
      <c r="AI11" s="35">
        <v>29294.734444444424</v>
      </c>
      <c r="AJ11" s="115">
        <v>3.4874683862433837</v>
      </c>
      <c r="AK11" s="36"/>
      <c r="AL11" s="108">
        <v>0.14000000000000001</v>
      </c>
      <c r="AM11" s="108">
        <v>0.28375542185532393</v>
      </c>
      <c r="AN11" s="36"/>
      <c r="AO11" s="38">
        <v>14.369665593955499</v>
      </c>
      <c r="AP11" s="70">
        <v>0</v>
      </c>
    </row>
    <row r="12" spans="1:44" s="15" customFormat="1" ht="14.25" customHeight="1" x14ac:dyDescent="0.3">
      <c r="A12" s="26"/>
      <c r="B12" s="214"/>
      <c r="C12" s="9" t="s">
        <v>50</v>
      </c>
      <c r="D12" s="26"/>
      <c r="E12" s="27">
        <v>305415.08000000007</v>
      </c>
      <c r="F12" s="124">
        <v>0.67420547461368674</v>
      </c>
      <c r="G12" s="26"/>
      <c r="H12" s="29">
        <v>453000</v>
      </c>
      <c r="I12" s="29">
        <v>316038.46153846156</v>
      </c>
      <c r="J12" s="29">
        <v>382466.67999999836</v>
      </c>
      <c r="K12" s="31">
        <v>1.2101902981623411</v>
      </c>
      <c r="L12" s="39"/>
      <c r="M12" s="29">
        <v>85322</v>
      </c>
      <c r="N12" s="29">
        <v>59541.384615384617</v>
      </c>
      <c r="O12" s="27">
        <v>0</v>
      </c>
      <c r="P12" s="29">
        <v>77786.179999999964</v>
      </c>
      <c r="Q12" s="31">
        <v>1.3064220878044741</v>
      </c>
      <c r="R12" s="39"/>
      <c r="S12" s="128">
        <v>0.18834878587196469</v>
      </c>
      <c r="T12" s="128">
        <v>0.2033802787735661</v>
      </c>
      <c r="U12" s="39"/>
      <c r="V12" s="29"/>
      <c r="W12" s="32">
        <v>4.4570601548867055</v>
      </c>
      <c r="X12" s="30" t="s">
        <v>69</v>
      </c>
      <c r="Y12" s="39"/>
      <c r="Z12" s="62"/>
      <c r="AA12" s="27">
        <v>15807.692307692309</v>
      </c>
      <c r="AB12" s="27">
        <v>7085.3700000000035</v>
      </c>
      <c r="AC12" s="39"/>
      <c r="AD12" s="29">
        <v>2966.7435897435898</v>
      </c>
      <c r="AE12" s="29">
        <v>961.62</v>
      </c>
      <c r="AF12" s="31">
        <v>0.32413316854359869</v>
      </c>
      <c r="AG12" s="39"/>
      <c r="AH12" s="29">
        <v>3949.8267460317443</v>
      </c>
      <c r="AI12" s="29">
        <v>111614.56015873011</v>
      </c>
      <c r="AJ12" s="31">
        <v>1.3081568664439429</v>
      </c>
      <c r="AK12" s="39"/>
      <c r="AL12" s="80">
        <v>0.18834878587196469</v>
      </c>
      <c r="AM12" s="80">
        <v>0.13571909441567617</v>
      </c>
      <c r="AN12" s="39"/>
      <c r="AO12" s="32">
        <v>0</v>
      </c>
      <c r="AP12" s="31">
        <v>0</v>
      </c>
      <c r="AQ12" s="10"/>
      <c r="AR12" s="10"/>
    </row>
    <row r="13" spans="1:44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4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893016.40999999957</v>
      </c>
      <c r="F14" s="131">
        <v>1.6849366226415086</v>
      </c>
      <c r="G14" s="7"/>
      <c r="H14" s="35">
        <v>530000</v>
      </c>
      <c r="I14" s="35">
        <v>366923.07692307688</v>
      </c>
      <c r="J14" s="35">
        <v>357370.82999999053</v>
      </c>
      <c r="K14" s="70">
        <v>0.9739666226414837</v>
      </c>
      <c r="L14" s="36"/>
      <c r="M14" s="35">
        <v>54060</v>
      </c>
      <c r="N14" s="35">
        <v>37426.153846153844</v>
      </c>
      <c r="O14" s="37">
        <v>0</v>
      </c>
      <c r="P14" s="35">
        <v>39671.632750000063</v>
      </c>
      <c r="Q14" s="115">
        <v>1.0599975865293725</v>
      </c>
      <c r="R14" s="36"/>
      <c r="S14" s="127">
        <v>0.10199999999999999</v>
      </c>
      <c r="T14" s="127">
        <v>0.11100971153689604</v>
      </c>
      <c r="U14" s="36"/>
      <c r="V14" s="35"/>
      <c r="W14" s="38">
        <v>0.78044499322811023</v>
      </c>
      <c r="X14" s="69" t="s">
        <v>69</v>
      </c>
      <c r="Y14" s="36"/>
      <c r="Z14" s="62"/>
      <c r="AA14" s="33">
        <v>20384.615384615383</v>
      </c>
      <c r="AB14" s="33">
        <v>15101.809999999967</v>
      </c>
      <c r="AC14" s="36"/>
      <c r="AD14" s="35">
        <v>2079.2307692307691</v>
      </c>
      <c r="AE14" s="35">
        <v>1679.7718499999996</v>
      </c>
      <c r="AF14" s="115">
        <v>0.80788139289678129</v>
      </c>
      <c r="AG14" s="36"/>
      <c r="AH14" s="35">
        <v>2203.9795972222255</v>
      </c>
      <c r="AI14" s="35">
        <v>57303.469527777866</v>
      </c>
      <c r="AJ14" s="115">
        <v>1.0599975865293723</v>
      </c>
      <c r="AK14" s="36"/>
      <c r="AL14" s="108">
        <v>0.10199999999999999</v>
      </c>
      <c r="AM14" s="108">
        <v>0.11122983602627787</v>
      </c>
      <c r="AN14" s="36"/>
      <c r="AO14" s="38">
        <v>-2.8350906284245066E-3</v>
      </c>
      <c r="AP14" s="70">
        <v>0</v>
      </c>
    </row>
    <row r="15" spans="1:44" ht="12.75" customHeight="1" x14ac:dyDescent="0.3">
      <c r="A15" s="7" t="s">
        <v>24</v>
      </c>
      <c r="B15" s="211"/>
      <c r="C15" s="6" t="s">
        <v>9</v>
      </c>
      <c r="D15" s="34"/>
      <c r="E15" s="33">
        <v>1153418.17</v>
      </c>
      <c r="F15" s="131">
        <v>1.373116869047619</v>
      </c>
      <c r="G15" s="7"/>
      <c r="H15" s="35">
        <v>840000</v>
      </c>
      <c r="I15" s="35">
        <v>588000</v>
      </c>
      <c r="J15" s="35">
        <v>680581.2099999364</v>
      </c>
      <c r="K15" s="70">
        <v>1.1574510374148579</v>
      </c>
      <c r="L15" s="36"/>
      <c r="M15" s="35">
        <v>104160</v>
      </c>
      <c r="N15" s="35">
        <v>72912</v>
      </c>
      <c r="O15" s="37">
        <v>60.25</v>
      </c>
      <c r="P15" s="35">
        <v>89855.470000001369</v>
      </c>
      <c r="Q15" s="115">
        <v>1.2323824610489544</v>
      </c>
      <c r="R15" s="36"/>
      <c r="S15" s="127">
        <v>0.124</v>
      </c>
      <c r="T15" s="127">
        <v>0.13202755039330247</v>
      </c>
      <c r="U15" s="36"/>
      <c r="V15" s="35"/>
      <c r="W15" s="38">
        <v>3.565436371648218</v>
      </c>
      <c r="X15" s="69" t="s">
        <v>69</v>
      </c>
      <c r="Y15" s="36"/>
      <c r="Z15" s="62"/>
      <c r="AA15" s="33">
        <v>28000</v>
      </c>
      <c r="AB15" s="33">
        <v>28716.509999999984</v>
      </c>
      <c r="AC15" s="36"/>
      <c r="AD15" s="35">
        <v>3472</v>
      </c>
      <c r="AE15" s="35">
        <v>3996.5100000000025</v>
      </c>
      <c r="AF15" s="115">
        <v>1.1510685483870975</v>
      </c>
      <c r="AG15" s="36"/>
      <c r="AH15" s="35">
        <v>4278.8319047619698</v>
      </c>
      <c r="AI15" s="35">
        <v>128364.95714285909</v>
      </c>
      <c r="AJ15" s="115">
        <v>1.2323824610489544</v>
      </c>
      <c r="AK15" s="36"/>
      <c r="AL15" s="108">
        <v>0.124</v>
      </c>
      <c r="AM15" s="108">
        <v>0.13917115972658253</v>
      </c>
      <c r="AN15" s="36"/>
      <c r="AO15" s="38">
        <v>3.1916831119100904</v>
      </c>
      <c r="AP15" s="70">
        <v>0</v>
      </c>
    </row>
    <row r="16" spans="1:44" ht="12.75" customHeight="1" x14ac:dyDescent="0.3">
      <c r="A16" s="7" t="s">
        <v>24</v>
      </c>
      <c r="B16" s="211"/>
      <c r="C16" s="6" t="s">
        <v>10</v>
      </c>
      <c r="D16" s="34"/>
      <c r="E16" s="33">
        <v>1870286.1800000027</v>
      </c>
      <c r="F16" s="131">
        <v>1.5205578699187015</v>
      </c>
      <c r="G16" s="7"/>
      <c r="H16" s="35">
        <v>1230000</v>
      </c>
      <c r="I16" s="35">
        <v>861000</v>
      </c>
      <c r="J16" s="35">
        <v>920062.87999991758</v>
      </c>
      <c r="K16" s="70">
        <v>1.0685980023227846</v>
      </c>
      <c r="L16" s="36"/>
      <c r="M16" s="35">
        <v>170891.33832238274</v>
      </c>
      <c r="N16" s="35">
        <v>119623.93682566793</v>
      </c>
      <c r="O16" s="37">
        <v>915.17</v>
      </c>
      <c r="P16" s="35">
        <v>121144.46518000102</v>
      </c>
      <c r="Q16" s="115">
        <v>1.0127109038097368</v>
      </c>
      <c r="R16" s="36"/>
      <c r="S16" s="127">
        <v>0.13893604741657134</v>
      </c>
      <c r="T16" s="127">
        <v>0.13166976715766629</v>
      </c>
      <c r="U16" s="36"/>
      <c r="V16" s="35"/>
      <c r="W16" s="38">
        <v>3.342652534782347</v>
      </c>
      <c r="X16" s="69" t="s">
        <v>69</v>
      </c>
      <c r="Y16" s="36"/>
      <c r="Z16" s="62"/>
      <c r="AA16" s="33">
        <v>41000</v>
      </c>
      <c r="AB16" s="33">
        <v>28793.889999999981</v>
      </c>
      <c r="AC16" s="36"/>
      <c r="AD16" s="35">
        <v>5696.3779440794251</v>
      </c>
      <c r="AE16" s="35">
        <v>3346.4111500000004</v>
      </c>
      <c r="AF16" s="115">
        <v>0.58746297785211377</v>
      </c>
      <c r="AG16" s="36"/>
      <c r="AH16" s="35">
        <v>5768.784056190525</v>
      </c>
      <c r="AI16" s="35">
        <v>173063.52168571576</v>
      </c>
      <c r="AJ16" s="115">
        <v>1.0127109038097371</v>
      </c>
      <c r="AK16" s="36"/>
      <c r="AL16" s="108">
        <v>0.13893604741657134</v>
      </c>
      <c r="AM16" s="108">
        <v>0.1162194878844089</v>
      </c>
      <c r="AN16" s="36"/>
      <c r="AO16" s="38">
        <v>1.2285632472721257</v>
      </c>
      <c r="AP16" s="70">
        <v>0</v>
      </c>
    </row>
    <row r="17" spans="1:44" ht="12.75" customHeight="1" x14ac:dyDescent="0.3">
      <c r="A17" s="7" t="s">
        <v>24</v>
      </c>
      <c r="B17" s="211"/>
      <c r="C17" s="6" t="s">
        <v>12</v>
      </c>
      <c r="D17" s="34"/>
      <c r="E17" s="33">
        <v>53478.439999999966</v>
      </c>
      <c r="F17" s="131">
        <v>1.2732961904761897</v>
      </c>
      <c r="G17" s="7"/>
      <c r="H17" s="35">
        <v>42000</v>
      </c>
      <c r="I17" s="35">
        <v>29076.923076923078</v>
      </c>
      <c r="J17" s="35">
        <v>24948.760000000155</v>
      </c>
      <c r="K17" s="70">
        <v>0.85802613756614288</v>
      </c>
      <c r="L17" s="36"/>
      <c r="M17" s="35">
        <v>5995.3598738795354</v>
      </c>
      <c r="N17" s="35">
        <v>4150.6337588396782</v>
      </c>
      <c r="O17" s="37">
        <v>500</v>
      </c>
      <c r="P17" s="35">
        <v>4571.1400000000031</v>
      </c>
      <c r="Q17" s="115">
        <v>1.1013113335438871</v>
      </c>
      <c r="R17" s="36"/>
      <c r="S17" s="127">
        <v>0.14274666366379846</v>
      </c>
      <c r="T17" s="127">
        <v>0.18322113002810458</v>
      </c>
      <c r="U17" s="36"/>
      <c r="V17" s="35"/>
      <c r="W17" s="38">
        <v>5.827423888001185</v>
      </c>
      <c r="X17" s="69" t="s">
        <v>69</v>
      </c>
      <c r="Y17" s="36"/>
      <c r="Z17" s="62"/>
      <c r="AA17" s="33">
        <v>1615.3846153846155</v>
      </c>
      <c r="AB17" s="33">
        <v>780.6600000000002</v>
      </c>
      <c r="AC17" s="36"/>
      <c r="AD17" s="35">
        <v>230.59076437998212</v>
      </c>
      <c r="AE17" s="35">
        <v>156.26000000000002</v>
      </c>
      <c r="AF17" s="115">
        <v>0.67765073080943028</v>
      </c>
      <c r="AG17" s="36"/>
      <c r="AH17" s="35">
        <v>253.95222222222239</v>
      </c>
      <c r="AI17" s="35">
        <v>6602.7577777777824</v>
      </c>
      <c r="AJ17" s="115">
        <v>1.1013113335438871</v>
      </c>
      <c r="AK17" s="36"/>
      <c r="AL17" s="108">
        <v>0.14274666366379846</v>
      </c>
      <c r="AM17" s="108">
        <v>0.20016396382548099</v>
      </c>
      <c r="AN17" s="36"/>
      <c r="AO17" s="38">
        <v>10.648681884559274</v>
      </c>
      <c r="AP17" s="70">
        <v>0</v>
      </c>
    </row>
    <row r="18" spans="1:44" s="15" customFormat="1" ht="14.25" customHeight="1" x14ac:dyDescent="0.3">
      <c r="A18" s="26"/>
      <c r="B18" s="211"/>
      <c r="C18" s="9" t="s">
        <v>26</v>
      </c>
      <c r="D18" s="28"/>
      <c r="E18" s="27">
        <v>3970199.2000000025</v>
      </c>
      <c r="F18" s="124">
        <v>1.5027249053747171</v>
      </c>
      <c r="G18" s="26"/>
      <c r="H18" s="29">
        <v>2642000</v>
      </c>
      <c r="I18" s="29">
        <v>1845000</v>
      </c>
      <c r="J18" s="29">
        <v>1982963.6799998446</v>
      </c>
      <c r="K18" s="31">
        <v>1.074777062330539</v>
      </c>
      <c r="L18" s="39"/>
      <c r="M18" s="29">
        <v>335106.6981962623</v>
      </c>
      <c r="N18" s="29">
        <v>234112.72443066147</v>
      </c>
      <c r="O18" s="27">
        <v>1475.42</v>
      </c>
      <c r="P18" s="29">
        <v>255242.70793000248</v>
      </c>
      <c r="Q18" s="31">
        <v>1.0902555961053675</v>
      </c>
      <c r="R18" s="39"/>
      <c r="S18" s="128">
        <v>0.12683826578208263</v>
      </c>
      <c r="T18" s="128">
        <v>0.12871779271823197</v>
      </c>
      <c r="U18" s="39"/>
      <c r="V18" s="29"/>
      <c r="W18" s="32">
        <v>2.9886148963579289</v>
      </c>
      <c r="X18" s="30" t="s">
        <v>69</v>
      </c>
      <c r="Y18" s="39"/>
      <c r="Z18" s="62"/>
      <c r="AA18" s="27">
        <v>90999.999999999985</v>
      </c>
      <c r="AB18" s="27">
        <v>73392.869999999937</v>
      </c>
      <c r="AC18" s="39"/>
      <c r="AD18" s="29">
        <v>11478.199477690176</v>
      </c>
      <c r="AE18" s="29">
        <v>9178.9530000000032</v>
      </c>
      <c r="AF18" s="31">
        <v>0.79968578851072003</v>
      </c>
      <c r="AG18" s="39"/>
      <c r="AH18" s="29">
        <v>12505.547780396942</v>
      </c>
      <c r="AI18" s="29">
        <v>365334.70613413054</v>
      </c>
      <c r="AJ18" s="31">
        <v>1.0902041293133584</v>
      </c>
      <c r="AK18" s="39"/>
      <c r="AL18" s="80">
        <v>0.12683826578208263</v>
      </c>
      <c r="AM18" s="80">
        <v>0.12506600436799939</v>
      </c>
      <c r="AN18" s="39"/>
      <c r="AO18" s="32">
        <v>0</v>
      </c>
      <c r="AP18" s="31">
        <v>0</v>
      </c>
      <c r="AQ18" s="10"/>
      <c r="AR18" s="10"/>
    </row>
    <row r="19" spans="1:44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4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86853.840000000011</v>
      </c>
      <c r="F20" s="123">
        <v>0.49630765714285718</v>
      </c>
      <c r="G20" s="7"/>
      <c r="H20" s="35">
        <v>175000</v>
      </c>
      <c r="I20" s="35">
        <v>121153.84615384616</v>
      </c>
      <c r="J20" s="35">
        <v>136635.29000000027</v>
      </c>
      <c r="K20" s="70">
        <v>1.1277833460317483</v>
      </c>
      <c r="L20" s="36"/>
      <c r="M20" s="35">
        <v>31586.694747374659</v>
      </c>
      <c r="N20" s="35">
        <v>21867.711748182457</v>
      </c>
      <c r="O20" s="37">
        <v>0</v>
      </c>
      <c r="P20" s="35">
        <v>19322.940060000019</v>
      </c>
      <c r="Q20" s="115">
        <v>0.88362880773778496</v>
      </c>
      <c r="R20" s="36"/>
      <c r="S20" s="127">
        <v>0.18049539855642663</v>
      </c>
      <c r="T20" s="127">
        <v>0.14141983421706047</v>
      </c>
      <c r="U20" s="36"/>
      <c r="V20" s="35"/>
      <c r="W20" s="38">
        <v>-2.1090012250857262</v>
      </c>
      <c r="X20" s="69" t="s">
        <v>69</v>
      </c>
      <c r="Y20" s="36"/>
      <c r="Z20" s="62"/>
      <c r="AA20" s="33">
        <v>6730.7692307692305</v>
      </c>
      <c r="AB20" s="33">
        <v>8432.2000000000007</v>
      </c>
      <c r="AC20" s="36"/>
      <c r="AD20" s="35">
        <v>1214.8728748990254</v>
      </c>
      <c r="AE20" s="35">
        <v>1513.8782000000001</v>
      </c>
      <c r="AF20" s="115">
        <v>1.2461206693135087</v>
      </c>
      <c r="AG20" s="36"/>
      <c r="AH20" s="35">
        <v>1073.4966700000011</v>
      </c>
      <c r="AI20" s="35">
        <v>27910.91342000003</v>
      </c>
      <c r="AJ20" s="115">
        <v>0.88362880773778518</v>
      </c>
      <c r="AK20" s="36"/>
      <c r="AL20" s="108">
        <v>0.18049539855642663</v>
      </c>
      <c r="AM20" s="108">
        <v>0.17953537629562866</v>
      </c>
      <c r="AN20" s="36"/>
      <c r="AO20" s="38">
        <v>2.4113303764142424</v>
      </c>
      <c r="AP20" s="70">
        <v>0</v>
      </c>
    </row>
    <row r="21" spans="1:44" ht="12.75" customHeight="1" x14ac:dyDescent="0.3">
      <c r="A21" s="7" t="s">
        <v>14</v>
      </c>
      <c r="B21" s="211"/>
      <c r="C21" s="6" t="s">
        <v>9</v>
      </c>
      <c r="D21" s="34"/>
      <c r="E21" s="33">
        <v>79745.10000000002</v>
      </c>
      <c r="F21" s="123">
        <v>0.4636343023255815</v>
      </c>
      <c r="G21" s="7"/>
      <c r="H21" s="35">
        <v>172000</v>
      </c>
      <c r="I21" s="35">
        <v>120400</v>
      </c>
      <c r="J21" s="35">
        <v>105702.97000000138</v>
      </c>
      <c r="K21" s="70">
        <v>0.87793164451828387</v>
      </c>
      <c r="L21" s="36"/>
      <c r="M21" s="35">
        <v>41280</v>
      </c>
      <c r="N21" s="35">
        <v>28896</v>
      </c>
      <c r="O21" s="37">
        <v>0</v>
      </c>
      <c r="P21" s="35">
        <v>19293.270000000037</v>
      </c>
      <c r="Q21" s="115">
        <v>0.66767960963455275</v>
      </c>
      <c r="R21" s="36"/>
      <c r="S21" s="127">
        <v>0.24</v>
      </c>
      <c r="T21" s="127">
        <v>0.18252344281338342</v>
      </c>
      <c r="U21" s="36"/>
      <c r="V21" s="35"/>
      <c r="W21" s="38">
        <v>2.3153843264767966</v>
      </c>
      <c r="X21" s="69" t="s">
        <v>69</v>
      </c>
      <c r="Y21" s="36"/>
      <c r="Z21" s="62"/>
      <c r="AA21" s="33">
        <v>5733.333333333333</v>
      </c>
      <c r="AB21" s="33">
        <v>2477.0199999999991</v>
      </c>
      <c r="AC21" s="36"/>
      <c r="AD21" s="35">
        <v>1376</v>
      </c>
      <c r="AE21" s="35">
        <v>530.9599999999997</v>
      </c>
      <c r="AF21" s="115">
        <v>0.38587209302325559</v>
      </c>
      <c r="AG21" s="36"/>
      <c r="AH21" s="35">
        <v>918.7271428571446</v>
      </c>
      <c r="AI21" s="35">
        <v>27561.814285714339</v>
      </c>
      <c r="AJ21" s="115">
        <v>0.66767960963455275</v>
      </c>
      <c r="AK21" s="36"/>
      <c r="AL21" s="108">
        <v>0.24</v>
      </c>
      <c r="AM21" s="108">
        <v>0.21435434514053173</v>
      </c>
      <c r="AN21" s="36"/>
      <c r="AO21" s="38">
        <v>5.6390340005328934</v>
      </c>
      <c r="AP21" s="70">
        <v>0</v>
      </c>
    </row>
    <row r="22" spans="1:44" ht="12.75" customHeight="1" x14ac:dyDescent="0.3">
      <c r="A22" s="7" t="s">
        <v>14</v>
      </c>
      <c r="B22" s="211"/>
      <c r="C22" s="6" t="s">
        <v>10</v>
      </c>
      <c r="D22" s="34"/>
      <c r="E22" s="33">
        <v>151911.56999999995</v>
      </c>
      <c r="F22" s="123">
        <v>0.54254132142857125</v>
      </c>
      <c r="G22" s="7"/>
      <c r="H22" s="35">
        <v>280000</v>
      </c>
      <c r="I22" s="35">
        <v>196000</v>
      </c>
      <c r="J22" s="35">
        <v>200080.84999999517</v>
      </c>
      <c r="K22" s="70">
        <v>1.0208206632652814</v>
      </c>
      <c r="L22" s="36"/>
      <c r="M22" s="35">
        <v>68733.380989284502</v>
      </c>
      <c r="N22" s="35">
        <v>48113.366692499148</v>
      </c>
      <c r="O22" s="37">
        <v>0</v>
      </c>
      <c r="P22" s="35">
        <v>45267.401839999984</v>
      </c>
      <c r="Q22" s="115">
        <v>0.94084876931002936</v>
      </c>
      <c r="R22" s="36"/>
      <c r="S22" s="127">
        <v>0.24547636067601608</v>
      </c>
      <c r="T22" s="127">
        <v>0.22624554943664563</v>
      </c>
      <c r="U22" s="36"/>
      <c r="V22" s="35"/>
      <c r="W22" s="38">
        <v>6.7436448015863144</v>
      </c>
      <c r="X22" s="69" t="s">
        <v>69</v>
      </c>
      <c r="Y22" s="36"/>
      <c r="Z22" s="62"/>
      <c r="AA22" s="33">
        <v>9333.3333333333339</v>
      </c>
      <c r="AB22" s="33">
        <v>4990.4499999999935</v>
      </c>
      <c r="AC22" s="36"/>
      <c r="AD22" s="35">
        <v>2291.1126996428166</v>
      </c>
      <c r="AE22" s="35">
        <v>1315.2800000000007</v>
      </c>
      <c r="AF22" s="115">
        <v>0.5740791363973724</v>
      </c>
      <c r="AG22" s="36"/>
      <c r="AH22" s="35">
        <v>2155.5905638095232</v>
      </c>
      <c r="AI22" s="35">
        <v>64667.716914285695</v>
      </c>
      <c r="AJ22" s="115">
        <v>0.94084876931002936</v>
      </c>
      <c r="AK22" s="36"/>
      <c r="AL22" s="108">
        <v>0.24547636067601608</v>
      </c>
      <c r="AM22" s="108">
        <v>0.26355939845104198</v>
      </c>
      <c r="AN22" s="36"/>
      <c r="AO22" s="38">
        <v>10.824274364035199</v>
      </c>
      <c r="AP22" s="70">
        <v>0</v>
      </c>
    </row>
    <row r="23" spans="1:44" ht="12.75" customHeight="1" x14ac:dyDescent="0.3">
      <c r="A23" s="7" t="s">
        <v>14</v>
      </c>
      <c r="B23" s="211"/>
      <c r="C23" s="6" t="s">
        <v>12</v>
      </c>
      <c r="D23" s="34"/>
      <c r="E23" s="33">
        <v>61308.560000000005</v>
      </c>
      <c r="F23" s="123">
        <v>6.8120622222222232E-2</v>
      </c>
      <c r="G23" s="7"/>
      <c r="H23" s="35">
        <v>900000</v>
      </c>
      <c r="I23" s="35">
        <v>623076.92307692312</v>
      </c>
      <c r="J23" s="35">
        <v>656634.90999999945</v>
      </c>
      <c r="K23" s="70">
        <v>1.0538584975308631</v>
      </c>
      <c r="L23" s="36"/>
      <c r="M23" s="35">
        <v>230888.65095804792</v>
      </c>
      <c r="N23" s="35">
        <v>159845.98912480241</v>
      </c>
      <c r="O23" s="37">
        <v>16939.95</v>
      </c>
      <c r="P23" s="35">
        <v>99001.929999999978</v>
      </c>
      <c r="Q23" s="115">
        <v>0.61935823690078695</v>
      </c>
      <c r="R23" s="36"/>
      <c r="S23" s="127">
        <v>0.25654294550894213</v>
      </c>
      <c r="T23" s="127">
        <v>0.15077165178439883</v>
      </c>
      <c r="U23" s="36"/>
      <c r="V23" s="35"/>
      <c r="W23" s="38">
        <v>-3.7057411400806215</v>
      </c>
      <c r="X23" s="69" t="s">
        <v>69</v>
      </c>
      <c r="Y23" s="36"/>
      <c r="Z23" s="62"/>
      <c r="AA23" s="33">
        <v>34615.384615384617</v>
      </c>
      <c r="AB23" s="33">
        <v>18069.84</v>
      </c>
      <c r="AC23" s="36"/>
      <c r="AD23" s="35">
        <v>8880.3327291556889</v>
      </c>
      <c r="AE23" s="35">
        <v>2392.1099999999997</v>
      </c>
      <c r="AF23" s="115">
        <v>0.26937166353534064</v>
      </c>
      <c r="AG23" s="36"/>
      <c r="AH23" s="35">
        <v>5500.107222222221</v>
      </c>
      <c r="AI23" s="35">
        <v>143002.78777777776</v>
      </c>
      <c r="AJ23" s="115">
        <v>0.61935823690078695</v>
      </c>
      <c r="AK23" s="36"/>
      <c r="AL23" s="108">
        <v>0.25654294550894213</v>
      </c>
      <c r="AM23" s="108">
        <v>0.1323813603219508</v>
      </c>
      <c r="AN23" s="36"/>
      <c r="AO23" s="38">
        <v>-3.5143089258123066</v>
      </c>
      <c r="AP23" s="70">
        <v>0</v>
      </c>
    </row>
    <row r="24" spans="1:44" s="15" customFormat="1" ht="14.25" customHeight="1" x14ac:dyDescent="0.3">
      <c r="A24" s="26"/>
      <c r="B24" s="211"/>
      <c r="C24" s="9" t="s">
        <v>34</v>
      </c>
      <c r="D24" s="28"/>
      <c r="E24" s="27">
        <v>379819.07</v>
      </c>
      <c r="F24" s="124">
        <v>0.24873547478716437</v>
      </c>
      <c r="G24" s="26"/>
      <c r="H24" s="29">
        <v>1527000</v>
      </c>
      <c r="I24" s="29">
        <v>1060630.7692307692</v>
      </c>
      <c r="J24" s="29">
        <v>1099054.0199999963</v>
      </c>
      <c r="K24" s="31">
        <v>1.0362267924747213</v>
      </c>
      <c r="L24" s="39"/>
      <c r="M24" s="29">
        <v>372488.72669470706</v>
      </c>
      <c r="N24" s="29">
        <v>258723.067565484</v>
      </c>
      <c r="O24" s="27">
        <v>16939.95</v>
      </c>
      <c r="P24" s="29">
        <v>182885.54190000001</v>
      </c>
      <c r="Q24" s="31">
        <v>0.70687760322612458</v>
      </c>
      <c r="R24" s="39"/>
      <c r="S24" s="128">
        <v>0.24393498801225086</v>
      </c>
      <c r="T24" s="128">
        <v>0.16640268683062606</v>
      </c>
      <c r="U24" s="39"/>
      <c r="V24" s="29"/>
      <c r="W24" s="32">
        <v>-1.0258511315036118</v>
      </c>
      <c r="X24" s="30" t="s">
        <v>69</v>
      </c>
      <c r="Y24" s="39"/>
      <c r="Z24" s="62"/>
      <c r="AA24" s="27">
        <v>56412.820512820515</v>
      </c>
      <c r="AB24" s="27">
        <v>33969.509999999995</v>
      </c>
      <c r="AC24" s="39"/>
      <c r="AD24" s="29">
        <v>13762.318303697532</v>
      </c>
      <c r="AE24" s="29">
        <v>5752.2281999999996</v>
      </c>
      <c r="AF24" s="31">
        <v>0.41796942005436283</v>
      </c>
      <c r="AG24" s="39"/>
      <c r="AH24" s="29">
        <v>9647.92159888889</v>
      </c>
      <c r="AI24" s="29">
        <v>263143.23239777784</v>
      </c>
      <c r="AJ24" s="31">
        <v>0.70644616478138644</v>
      </c>
      <c r="AK24" s="39"/>
      <c r="AL24" s="80">
        <v>0.24393498801225086</v>
      </c>
      <c r="AM24" s="80">
        <v>0.16933503603672825</v>
      </c>
      <c r="AN24" s="39"/>
      <c r="AO24" s="32">
        <v>0</v>
      </c>
      <c r="AP24" s="31">
        <v>0</v>
      </c>
      <c r="AQ24" s="10"/>
      <c r="AR24" s="10"/>
    </row>
    <row r="25" spans="1:44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4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226039.55000000005</v>
      </c>
      <c r="F26" s="123">
        <v>0.68496833333333351</v>
      </c>
      <c r="G26" s="7"/>
      <c r="H26" s="35">
        <v>330000</v>
      </c>
      <c r="I26" s="35">
        <v>228461.53846153844</v>
      </c>
      <c r="J26" s="35">
        <v>243651.71999999753</v>
      </c>
      <c r="K26" s="70">
        <v>1.0664890101009994</v>
      </c>
      <c r="L26" s="36"/>
      <c r="M26" s="35">
        <v>45867.685825971581</v>
      </c>
      <c r="N26" s="35">
        <v>31754.551725672634</v>
      </c>
      <c r="O26" s="37">
        <v>0</v>
      </c>
      <c r="P26" s="35">
        <v>25492.19089999998</v>
      </c>
      <c r="Q26" s="115">
        <v>0.80278856147070976</v>
      </c>
      <c r="R26" s="36"/>
      <c r="S26" s="127">
        <v>0.13899298735142904</v>
      </c>
      <c r="T26" s="127">
        <v>0.10462553229667428</v>
      </c>
      <c r="U26" s="36"/>
      <c r="V26" s="35"/>
      <c r="W26" s="38">
        <v>-3.6952003047635746</v>
      </c>
      <c r="X26" s="69" t="s">
        <v>69</v>
      </c>
      <c r="Y26" s="36"/>
      <c r="Z26" s="62"/>
      <c r="AA26" s="33">
        <v>12692.307692307691</v>
      </c>
      <c r="AB26" s="33">
        <v>16105.169999999989</v>
      </c>
      <c r="AC26" s="36"/>
      <c r="AD26" s="35">
        <v>1764.1417625373685</v>
      </c>
      <c r="AE26" s="35">
        <v>1658.1016499999998</v>
      </c>
      <c r="AF26" s="115">
        <v>0.93989138810202477</v>
      </c>
      <c r="AG26" s="36"/>
      <c r="AH26" s="35">
        <v>1416.2328277777767</v>
      </c>
      <c r="AI26" s="35">
        <v>36822.053522222195</v>
      </c>
      <c r="AJ26" s="115">
        <v>0.80278856147070987</v>
      </c>
      <c r="AK26" s="36"/>
      <c r="AL26" s="108">
        <v>0.13899298735142904</v>
      </c>
      <c r="AM26" s="108">
        <v>0.10295461954142682</v>
      </c>
      <c r="AN26" s="36"/>
      <c r="AO26" s="38">
        <v>-3.9363033733888448</v>
      </c>
      <c r="AP26" s="70">
        <v>0</v>
      </c>
    </row>
    <row r="27" spans="1:44" ht="12.75" customHeight="1" x14ac:dyDescent="0.3">
      <c r="A27" s="7" t="s">
        <v>18</v>
      </c>
      <c r="B27" s="211"/>
      <c r="C27" s="6" t="s">
        <v>9</v>
      </c>
      <c r="D27" s="34"/>
      <c r="E27" s="33">
        <v>190291.44999999998</v>
      </c>
      <c r="F27" s="123">
        <v>0.65617741379310335</v>
      </c>
      <c r="G27" s="7"/>
      <c r="H27" s="35">
        <v>290000</v>
      </c>
      <c r="I27" s="35">
        <v>203000</v>
      </c>
      <c r="J27" s="35">
        <v>177501.71999999875</v>
      </c>
      <c r="K27" s="70">
        <v>0.87439270935959978</v>
      </c>
      <c r="L27" s="36"/>
      <c r="M27" s="35">
        <v>49010</v>
      </c>
      <c r="N27" s="35">
        <v>34307</v>
      </c>
      <c r="O27" s="37">
        <v>0</v>
      </c>
      <c r="P27" s="35">
        <v>27776.43999999989</v>
      </c>
      <c r="Q27" s="115">
        <v>0.80964351298568482</v>
      </c>
      <c r="R27" s="36"/>
      <c r="S27" s="127">
        <v>0.16900000000000001</v>
      </c>
      <c r="T27" s="127">
        <v>0.1564854695492533</v>
      </c>
      <c r="U27" s="36"/>
      <c r="V27" s="35"/>
      <c r="W27" s="38">
        <v>2.0027580577806088</v>
      </c>
      <c r="X27" s="69" t="s">
        <v>69</v>
      </c>
      <c r="Y27" s="36"/>
      <c r="Z27" s="62"/>
      <c r="AA27" s="33">
        <v>9666.6666666666661</v>
      </c>
      <c r="AB27" s="33">
        <v>5478.3799999999856</v>
      </c>
      <c r="AC27" s="36"/>
      <c r="AD27" s="35">
        <v>1633.6666666666667</v>
      </c>
      <c r="AE27" s="35">
        <v>789.91000000000076</v>
      </c>
      <c r="AF27" s="115">
        <v>0.48351968985921284</v>
      </c>
      <c r="AG27" s="36"/>
      <c r="AH27" s="35">
        <v>1322.6876190476137</v>
      </c>
      <c r="AI27" s="35">
        <v>39680.628571428409</v>
      </c>
      <c r="AJ27" s="115">
        <v>0.80964351298568471</v>
      </c>
      <c r="AK27" s="36"/>
      <c r="AL27" s="108">
        <v>0.16900000000000001</v>
      </c>
      <c r="AM27" s="108">
        <v>0.14418678514451405</v>
      </c>
      <c r="AN27" s="36"/>
      <c r="AO27" s="38">
        <v>0.44520460428058561</v>
      </c>
      <c r="AP27" s="70">
        <v>0</v>
      </c>
    </row>
    <row r="28" spans="1:44" ht="12.75" customHeight="1" x14ac:dyDescent="0.3">
      <c r="A28" s="7" t="s">
        <v>18</v>
      </c>
      <c r="B28" s="211"/>
      <c r="C28" s="6" t="s">
        <v>10</v>
      </c>
      <c r="D28" s="34"/>
      <c r="E28" s="33">
        <v>450765.02</v>
      </c>
      <c r="F28" s="123">
        <v>1.0732500476190476</v>
      </c>
      <c r="G28" s="7"/>
      <c r="H28" s="35">
        <v>420000</v>
      </c>
      <c r="I28" s="35">
        <v>294000</v>
      </c>
      <c r="J28" s="35">
        <v>292765.20999998698</v>
      </c>
      <c r="K28" s="70">
        <v>0.99580003401356121</v>
      </c>
      <c r="L28" s="36"/>
      <c r="M28" s="35">
        <v>79380</v>
      </c>
      <c r="N28" s="35">
        <v>55566</v>
      </c>
      <c r="O28" s="37">
        <v>459</v>
      </c>
      <c r="P28" s="35">
        <v>48889.210739999668</v>
      </c>
      <c r="Q28" s="115">
        <v>0.87984038332792835</v>
      </c>
      <c r="R28" s="36"/>
      <c r="S28" s="127">
        <v>0.189</v>
      </c>
      <c r="T28" s="127">
        <v>0.16699118976603075</v>
      </c>
      <c r="U28" s="36"/>
      <c r="V28" s="35"/>
      <c r="W28" s="38">
        <v>2.7939661068296742</v>
      </c>
      <c r="X28" s="69" t="s">
        <v>69</v>
      </c>
      <c r="Y28" s="36"/>
      <c r="Z28" s="62"/>
      <c r="AA28" s="33">
        <v>14000</v>
      </c>
      <c r="AB28" s="33">
        <v>9915.7199999999721</v>
      </c>
      <c r="AC28" s="36"/>
      <c r="AD28" s="35">
        <v>2646</v>
      </c>
      <c r="AE28" s="35">
        <v>1452.320849999998</v>
      </c>
      <c r="AF28" s="115">
        <v>0.54887409297052081</v>
      </c>
      <c r="AG28" s="36"/>
      <c r="AH28" s="35">
        <v>2328.0576542856984</v>
      </c>
      <c r="AI28" s="35">
        <v>69841.729628570945</v>
      </c>
      <c r="AJ28" s="115">
        <v>0.87984038332792824</v>
      </c>
      <c r="AK28" s="36"/>
      <c r="AL28" s="108">
        <v>0.189</v>
      </c>
      <c r="AM28" s="108">
        <v>0.14646650470162551</v>
      </c>
      <c r="AN28" s="36"/>
      <c r="AO28" s="38">
        <v>0.79369778493106646</v>
      </c>
      <c r="AP28" s="70">
        <v>0</v>
      </c>
    </row>
    <row r="29" spans="1:44" ht="12.75" customHeight="1" x14ac:dyDescent="0.3">
      <c r="A29" s="7" t="s">
        <v>18</v>
      </c>
      <c r="B29" s="211"/>
      <c r="C29" s="6" t="s">
        <v>12</v>
      </c>
      <c r="D29" s="34"/>
      <c r="E29" s="33">
        <v>19732.919999999998</v>
      </c>
      <c r="F29" s="123">
        <v>3.7231924528301881E-2</v>
      </c>
      <c r="G29" s="7"/>
      <c r="H29" s="35">
        <v>530000</v>
      </c>
      <c r="I29" s="35">
        <v>366923.07692307688</v>
      </c>
      <c r="J29" s="35">
        <v>396586.66999999917</v>
      </c>
      <c r="K29" s="70">
        <v>1.0808441740041907</v>
      </c>
      <c r="L29" s="36"/>
      <c r="M29" s="35">
        <v>116600</v>
      </c>
      <c r="N29" s="35">
        <v>80723.076923076922</v>
      </c>
      <c r="O29" s="37">
        <v>1080</v>
      </c>
      <c r="P29" s="35">
        <v>69238.050000000032</v>
      </c>
      <c r="Q29" s="115">
        <v>0.85772312750142976</v>
      </c>
      <c r="R29" s="36"/>
      <c r="S29" s="127">
        <v>0.22</v>
      </c>
      <c r="T29" s="127">
        <v>0.17458491481824182</v>
      </c>
      <c r="U29" s="36"/>
      <c r="V29" s="35"/>
      <c r="W29" s="38">
        <v>3.0520541701514063</v>
      </c>
      <c r="X29" s="69" t="s">
        <v>69</v>
      </c>
      <c r="Y29" s="36"/>
      <c r="Z29" s="62"/>
      <c r="AA29" s="33">
        <v>20384.615384615383</v>
      </c>
      <c r="AB29" s="33">
        <v>34120.880000000005</v>
      </c>
      <c r="AC29" s="36"/>
      <c r="AD29" s="35">
        <v>4484.6153846153848</v>
      </c>
      <c r="AE29" s="35">
        <v>6983.7300000000005</v>
      </c>
      <c r="AF29" s="115">
        <v>1.5572639794168097</v>
      </c>
      <c r="AG29" s="36"/>
      <c r="AH29" s="35">
        <v>3846.5583333333352</v>
      </c>
      <c r="AI29" s="35">
        <v>100010.51666666672</v>
      </c>
      <c r="AJ29" s="115">
        <v>0.85772312750142987</v>
      </c>
      <c r="AK29" s="36"/>
      <c r="AL29" s="108">
        <v>0.22</v>
      </c>
      <c r="AM29" s="108">
        <v>0.20467613965407691</v>
      </c>
      <c r="AN29" s="36"/>
      <c r="AO29" s="38">
        <v>5.7451624928782685</v>
      </c>
      <c r="AP29" s="70">
        <v>0</v>
      </c>
    </row>
    <row r="30" spans="1:44" s="15" customFormat="1" ht="14.25" customHeight="1" x14ac:dyDescent="0.3">
      <c r="A30" s="26"/>
      <c r="B30" s="211"/>
      <c r="C30" s="9" t="s">
        <v>54</v>
      </c>
      <c r="D30" s="28"/>
      <c r="E30" s="27">
        <v>886828.94000000006</v>
      </c>
      <c r="F30" s="124">
        <v>0.56485919745222934</v>
      </c>
      <c r="G30" s="26"/>
      <c r="H30" s="29">
        <v>1570000</v>
      </c>
      <c r="I30" s="29">
        <v>1092384.6153846155</v>
      </c>
      <c r="J30" s="29">
        <v>1110505.3199999824</v>
      </c>
      <c r="K30" s="31">
        <v>1.0165882092810203</v>
      </c>
      <c r="L30" s="39"/>
      <c r="M30" s="29">
        <v>290857.6858259716</v>
      </c>
      <c r="N30" s="29">
        <v>202350.62864874955</v>
      </c>
      <c r="O30" s="27">
        <v>1539</v>
      </c>
      <c r="P30" s="29">
        <v>171395.89163999958</v>
      </c>
      <c r="Q30" s="31">
        <v>0.84702426073267723</v>
      </c>
      <c r="R30" s="39"/>
      <c r="S30" s="128">
        <v>0.18525967250061884</v>
      </c>
      <c r="T30" s="128">
        <v>0.15434045074183192</v>
      </c>
      <c r="U30" s="39"/>
      <c r="V30" s="29"/>
      <c r="W30" s="32">
        <v>1.3359063997987612</v>
      </c>
      <c r="X30" s="30" t="s">
        <v>69</v>
      </c>
      <c r="Y30" s="39"/>
      <c r="Z30" s="62"/>
      <c r="AA30" s="27">
        <v>56743.589743589742</v>
      </c>
      <c r="AB30" s="27">
        <v>65620.149999999951</v>
      </c>
      <c r="AC30" s="39"/>
      <c r="AD30" s="29">
        <v>10528.42381381942</v>
      </c>
      <c r="AE30" s="29">
        <v>10884.0625</v>
      </c>
      <c r="AF30" s="31">
        <v>1.0337789105444042</v>
      </c>
      <c r="AG30" s="39"/>
      <c r="AH30" s="29">
        <v>8913.5364344444242</v>
      </c>
      <c r="AI30" s="29">
        <v>246354.92838888825</v>
      </c>
      <c r="AJ30" s="31">
        <v>0.84699473451868623</v>
      </c>
      <c r="AK30" s="39"/>
      <c r="AL30" s="80">
        <v>0.18525967250061884</v>
      </c>
      <c r="AM30" s="80">
        <v>0.16586463913904506</v>
      </c>
      <c r="AN30" s="39"/>
      <c r="AO30" s="32">
        <v>0</v>
      </c>
      <c r="AP30" s="31">
        <v>0</v>
      </c>
      <c r="AQ30" s="10"/>
      <c r="AR30" s="10"/>
    </row>
    <row r="31" spans="1:44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4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450569.23999999987</v>
      </c>
      <c r="F32" s="123">
        <v>0.28698677707006359</v>
      </c>
      <c r="G32" s="7"/>
      <c r="H32" s="35">
        <v>1570000</v>
      </c>
      <c r="I32" s="35">
        <v>1086923.076923077</v>
      </c>
      <c r="J32" s="35">
        <v>1143926.8899999997</v>
      </c>
      <c r="K32" s="70">
        <v>1.052445121726822</v>
      </c>
      <c r="L32" s="36"/>
      <c r="M32" s="35">
        <v>109900.00000000001</v>
      </c>
      <c r="N32" s="35">
        <v>76084.61538461539</v>
      </c>
      <c r="O32" s="37">
        <v>0</v>
      </c>
      <c r="P32" s="35">
        <v>101426.86839999993</v>
      </c>
      <c r="Q32" s="115">
        <v>1.3330798596704065</v>
      </c>
      <c r="R32" s="36"/>
      <c r="S32" s="127">
        <v>7.0000000000000007E-2</v>
      </c>
      <c r="T32" s="127">
        <v>8.8665516377537001E-2</v>
      </c>
      <c r="U32" s="36"/>
      <c r="V32" s="35"/>
      <c r="W32" s="38">
        <v>-7.4445161088922536</v>
      </c>
      <c r="X32" s="69" t="s">
        <v>69</v>
      </c>
      <c r="Y32" s="36"/>
      <c r="Z32" s="62"/>
      <c r="AA32" s="33">
        <v>60384.615384615383</v>
      </c>
      <c r="AB32" s="33">
        <v>36624.629999999997</v>
      </c>
      <c r="AC32" s="36"/>
      <c r="AD32" s="35">
        <v>4226.9230769230771</v>
      </c>
      <c r="AE32" s="35">
        <v>2591.7492000000007</v>
      </c>
      <c r="AF32" s="115">
        <v>0.61315267697907205</v>
      </c>
      <c r="AG32" s="36"/>
      <c r="AH32" s="35">
        <v>5634.8260222222189</v>
      </c>
      <c r="AI32" s="35">
        <v>146505.47657777768</v>
      </c>
      <c r="AJ32" s="115">
        <v>1.3330798596704063</v>
      </c>
      <c r="AK32" s="36"/>
      <c r="AL32" s="108">
        <v>7.0000000000000007E-2</v>
      </c>
      <c r="AM32" s="108">
        <v>7.0765198174015706E-2</v>
      </c>
      <c r="AN32" s="36"/>
      <c r="AO32" s="38">
        <v>-8.1018178204121405</v>
      </c>
      <c r="AP32" s="70">
        <v>0</v>
      </c>
    </row>
    <row r="33" spans="1:44" ht="12.75" customHeight="1" x14ac:dyDescent="0.3">
      <c r="A33" s="7" t="s">
        <v>16</v>
      </c>
      <c r="B33" s="211"/>
      <c r="C33" s="6" t="s">
        <v>9</v>
      </c>
      <c r="D33" s="34"/>
      <c r="E33" s="33">
        <v>259097.98999999987</v>
      </c>
      <c r="F33" s="123">
        <v>0.41789998387096755</v>
      </c>
      <c r="G33" s="7"/>
      <c r="H33" s="35">
        <v>620000</v>
      </c>
      <c r="I33" s="35">
        <v>434000</v>
      </c>
      <c r="J33" s="35">
        <v>433840.30999999854</v>
      </c>
      <c r="K33" s="70">
        <v>0.99963205069124084</v>
      </c>
      <c r="L33" s="36"/>
      <c r="M33" s="35">
        <v>92380</v>
      </c>
      <c r="N33" s="35">
        <v>64666</v>
      </c>
      <c r="O33" s="37">
        <v>0</v>
      </c>
      <c r="P33" s="35">
        <v>48830.910000000018</v>
      </c>
      <c r="Q33" s="115">
        <v>0.75512494974175015</v>
      </c>
      <c r="R33" s="36"/>
      <c r="S33" s="127">
        <v>0.14899999999999999</v>
      </c>
      <c r="T33" s="127">
        <v>0.11255503205776379</v>
      </c>
      <c r="U33" s="36"/>
      <c r="V33" s="35"/>
      <c r="W33" s="38">
        <v>-3.542951091843737</v>
      </c>
      <c r="X33" s="69" t="s">
        <v>69</v>
      </c>
      <c r="Y33" s="36"/>
      <c r="Z33" s="62"/>
      <c r="AA33" s="33">
        <v>20666.666666666668</v>
      </c>
      <c r="AB33" s="33">
        <v>16619.659999999996</v>
      </c>
      <c r="AC33" s="36"/>
      <c r="AD33" s="35">
        <v>3079.3333333333335</v>
      </c>
      <c r="AE33" s="35">
        <v>1682.2199999999989</v>
      </c>
      <c r="AF33" s="115">
        <v>0.54629357003680412</v>
      </c>
      <c r="AG33" s="36"/>
      <c r="AH33" s="35">
        <v>2325.2814285714294</v>
      </c>
      <c r="AI33" s="35">
        <v>69758.442857142887</v>
      </c>
      <c r="AJ33" s="115">
        <v>0.75512494974175026</v>
      </c>
      <c r="AK33" s="36"/>
      <c r="AL33" s="108">
        <v>0.14899999999999999</v>
      </c>
      <c r="AM33" s="108">
        <v>0.10121867715705371</v>
      </c>
      <c r="AN33" s="36"/>
      <c r="AO33" s="38">
        <v>-4.1411196137586561</v>
      </c>
      <c r="AP33" s="70">
        <v>0</v>
      </c>
    </row>
    <row r="34" spans="1:44" ht="12.75" customHeight="1" x14ac:dyDescent="0.3">
      <c r="A34" s="7" t="s">
        <v>16</v>
      </c>
      <c r="B34" s="211"/>
      <c r="C34" s="6" t="s">
        <v>10</v>
      </c>
      <c r="D34" s="34"/>
      <c r="E34" s="33">
        <v>585586.56999999972</v>
      </c>
      <c r="F34" s="123">
        <v>0.35276299397590344</v>
      </c>
      <c r="G34" s="7"/>
      <c r="H34" s="35">
        <v>1660000</v>
      </c>
      <c r="I34" s="35">
        <v>1162000</v>
      </c>
      <c r="J34" s="35">
        <v>1131829.2299999963</v>
      </c>
      <c r="K34" s="70">
        <v>0.97403548192770761</v>
      </c>
      <c r="L34" s="36"/>
      <c r="M34" s="35">
        <v>224100.00000000003</v>
      </c>
      <c r="N34" s="35">
        <v>156870.00000000003</v>
      </c>
      <c r="O34" s="37">
        <v>0</v>
      </c>
      <c r="P34" s="35">
        <v>158647.91560000036</v>
      </c>
      <c r="Q34" s="115">
        <v>1.0113336877669428</v>
      </c>
      <c r="R34" s="36"/>
      <c r="S34" s="127">
        <v>0.13500000000000001</v>
      </c>
      <c r="T34" s="127">
        <v>0.14016948086771083</v>
      </c>
      <c r="U34" s="36"/>
      <c r="V34" s="35"/>
      <c r="W34" s="38">
        <v>-1.9423075334433506</v>
      </c>
      <c r="X34" s="69" t="s">
        <v>69</v>
      </c>
      <c r="Y34" s="36"/>
      <c r="Z34" s="62"/>
      <c r="AA34" s="33">
        <v>55333.333333333336</v>
      </c>
      <c r="AB34" s="33">
        <v>31058.959999999985</v>
      </c>
      <c r="AC34" s="36"/>
      <c r="AD34" s="35">
        <v>7470.0000000000009</v>
      </c>
      <c r="AE34" s="35">
        <v>3699.1355999999992</v>
      </c>
      <c r="AF34" s="115">
        <v>0.49519887550200786</v>
      </c>
      <c r="AG34" s="36"/>
      <c r="AH34" s="35">
        <v>7554.662647619065</v>
      </c>
      <c r="AI34" s="35">
        <v>226639.87942857196</v>
      </c>
      <c r="AJ34" s="115">
        <v>1.011333687766943</v>
      </c>
      <c r="AK34" s="36"/>
      <c r="AL34" s="108">
        <v>0.13500000000000001</v>
      </c>
      <c r="AM34" s="108">
        <v>0.11910043349809527</v>
      </c>
      <c r="AN34" s="36"/>
      <c r="AO34" s="38">
        <v>-1.5138124393090142</v>
      </c>
      <c r="AP34" s="70">
        <v>0</v>
      </c>
    </row>
    <row r="35" spans="1:44" ht="12.75" customHeight="1" x14ac:dyDescent="0.3">
      <c r="A35" s="7" t="s">
        <v>16</v>
      </c>
      <c r="B35" s="211"/>
      <c r="C35" s="6" t="s">
        <v>12</v>
      </c>
      <c r="D35" s="34"/>
      <c r="E35" s="33">
        <v>157950.19000000003</v>
      </c>
      <c r="F35" s="123">
        <v>0.2723279137931035</v>
      </c>
      <c r="G35" s="7"/>
      <c r="H35" s="35">
        <v>580000</v>
      </c>
      <c r="I35" s="35">
        <v>401538.46153846156</v>
      </c>
      <c r="J35" s="35">
        <v>269358.79000000004</v>
      </c>
      <c r="K35" s="70">
        <v>0.67081690996168586</v>
      </c>
      <c r="L35" s="36"/>
      <c r="M35" s="35">
        <v>34800</v>
      </c>
      <c r="N35" s="35">
        <v>24092.307692307695</v>
      </c>
      <c r="O35" s="37">
        <v>642.34</v>
      </c>
      <c r="P35" s="35">
        <v>35151.209999999992</v>
      </c>
      <c r="Q35" s="115">
        <v>1.4590221264367811</v>
      </c>
      <c r="R35" s="36"/>
      <c r="S35" s="127">
        <v>0.06</v>
      </c>
      <c r="T35" s="127">
        <v>0.13049958384502688</v>
      </c>
      <c r="U35" s="36"/>
      <c r="V35" s="35"/>
      <c r="W35" s="38">
        <v>-3.2366569511245036</v>
      </c>
      <c r="X35" s="69" t="s">
        <v>69</v>
      </c>
      <c r="Y35" s="36"/>
      <c r="Z35" s="62"/>
      <c r="AA35" s="33">
        <v>22307.692307692309</v>
      </c>
      <c r="AB35" s="33">
        <v>35392.67</v>
      </c>
      <c r="AC35" s="36"/>
      <c r="AD35" s="35">
        <v>1338.4615384615386</v>
      </c>
      <c r="AE35" s="35">
        <v>3530.5</v>
      </c>
      <c r="AF35" s="115">
        <v>2.6377298850574711</v>
      </c>
      <c r="AG35" s="36"/>
      <c r="AH35" s="35">
        <v>1952.8449999999996</v>
      </c>
      <c r="AI35" s="35">
        <v>50773.969999999987</v>
      </c>
      <c r="AJ35" s="115">
        <v>1.4590221264367813</v>
      </c>
      <c r="AK35" s="36"/>
      <c r="AL35" s="108">
        <v>0.06</v>
      </c>
      <c r="AM35" s="108">
        <v>9.9752293342095982E-2</v>
      </c>
      <c r="AN35" s="36"/>
      <c r="AO35" s="38">
        <v>-3.5284424712800839</v>
      </c>
      <c r="AP35" s="70">
        <v>0</v>
      </c>
    </row>
    <row r="36" spans="1:44" s="15" customFormat="1" ht="17" customHeight="1" x14ac:dyDescent="0.3">
      <c r="A36" s="26"/>
      <c r="B36" s="211"/>
      <c r="C36" s="9" t="s">
        <v>58</v>
      </c>
      <c r="D36" s="28"/>
      <c r="E36" s="27">
        <v>1453203.9899999993</v>
      </c>
      <c r="F36" s="124">
        <v>0.32803701805869057</v>
      </c>
      <c r="G36" s="26"/>
      <c r="H36" s="29">
        <v>4430000</v>
      </c>
      <c r="I36" s="29">
        <v>3084461.5384615385</v>
      </c>
      <c r="J36" s="29">
        <v>2978955.2199999946</v>
      </c>
      <c r="K36" s="31">
        <v>0.96579425058606239</v>
      </c>
      <c r="L36" s="39"/>
      <c r="M36" s="29">
        <v>461180</v>
      </c>
      <c r="N36" s="29">
        <v>321712.92307692306</v>
      </c>
      <c r="O36" s="27">
        <v>642.34</v>
      </c>
      <c r="P36" s="29">
        <v>344056.90400000033</v>
      </c>
      <c r="Q36" s="31">
        <v>1.0694531656029707</v>
      </c>
      <c r="R36" s="39"/>
      <c r="S36" s="128">
        <v>0.1041038374717833</v>
      </c>
      <c r="T36" s="128">
        <v>0.11549582944049792</v>
      </c>
      <c r="U36" s="39"/>
      <c r="V36" s="29"/>
      <c r="W36" s="32">
        <v>-4.4053161698753982</v>
      </c>
      <c r="X36" s="30" t="s">
        <v>69</v>
      </c>
      <c r="Y36" s="39"/>
      <c r="Z36" s="62"/>
      <c r="AA36" s="27">
        <v>158692.30769230769</v>
      </c>
      <c r="AB36" s="27">
        <v>119695.91999999997</v>
      </c>
      <c r="AC36" s="39"/>
      <c r="AD36" s="29">
        <v>16114.717948717949</v>
      </c>
      <c r="AE36" s="29">
        <v>11503.604799999999</v>
      </c>
      <c r="AF36" s="31">
        <v>0.71385703656794064</v>
      </c>
      <c r="AG36" s="39"/>
      <c r="AH36" s="29">
        <v>17467.615098412713</v>
      </c>
      <c r="AI36" s="29">
        <v>493677.76886349253</v>
      </c>
      <c r="AJ36" s="31">
        <v>1.0704665615670508</v>
      </c>
      <c r="AK36" s="39"/>
      <c r="AL36" s="80">
        <v>0.1041038374717833</v>
      </c>
      <c r="AM36" s="80">
        <v>9.610690823881049E-2</v>
      </c>
      <c r="AN36" s="39"/>
      <c r="AO36" s="32">
        <v>0</v>
      </c>
      <c r="AP36" s="31">
        <v>0</v>
      </c>
      <c r="AQ36" s="10"/>
      <c r="AR36" s="10"/>
    </row>
    <row r="37" spans="1:44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4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118323.71000000006</v>
      </c>
      <c r="F38" s="123">
        <v>0.49507828451882874</v>
      </c>
      <c r="G38" s="7"/>
      <c r="H38" s="35">
        <v>239000</v>
      </c>
      <c r="I38" s="35">
        <v>165461.53846153844</v>
      </c>
      <c r="J38" s="35">
        <v>196622.80999999869</v>
      </c>
      <c r="K38" s="70">
        <v>1.1883293956299319</v>
      </c>
      <c r="L38" s="36"/>
      <c r="M38" s="35">
        <v>25095</v>
      </c>
      <c r="N38" s="35">
        <v>17373.461538461539</v>
      </c>
      <c r="O38" s="37">
        <v>114.32</v>
      </c>
      <c r="P38" s="35">
        <v>18825.799600000071</v>
      </c>
      <c r="Q38" s="115">
        <v>1.083595204002572</v>
      </c>
      <c r="R38" s="36"/>
      <c r="S38" s="127">
        <v>0.105</v>
      </c>
      <c r="T38" s="127">
        <v>9.5745756049362724E-2</v>
      </c>
      <c r="U38" s="36"/>
      <c r="V38" s="35"/>
      <c r="W38" s="38">
        <v>-3.385604345702109</v>
      </c>
      <c r="X38" s="69" t="s">
        <v>69</v>
      </c>
      <c r="Y38" s="36"/>
      <c r="Z38" s="62"/>
      <c r="AA38" s="33">
        <v>9192.3076923076915</v>
      </c>
      <c r="AB38" s="33">
        <v>8818.6899999999932</v>
      </c>
      <c r="AC38" s="36"/>
      <c r="AD38" s="35">
        <v>965.19230769230774</v>
      </c>
      <c r="AE38" s="35">
        <v>1216.6620000000007</v>
      </c>
      <c r="AF38" s="115">
        <v>1.2605384339509869</v>
      </c>
      <c r="AG38" s="36"/>
      <c r="AH38" s="35">
        <v>1045.8777555555596</v>
      </c>
      <c r="AI38" s="35">
        <v>27192.82164444455</v>
      </c>
      <c r="AJ38" s="115">
        <v>1.0835952040025723</v>
      </c>
      <c r="AK38" s="36"/>
      <c r="AL38" s="108">
        <v>0.105</v>
      </c>
      <c r="AM38" s="108">
        <v>0.13796402867092522</v>
      </c>
      <c r="AN38" s="36"/>
      <c r="AO38" s="38">
        <v>0.68878711010353377</v>
      </c>
      <c r="AP38" s="70">
        <v>0</v>
      </c>
    </row>
    <row r="39" spans="1:44" ht="12.75" customHeight="1" x14ac:dyDescent="0.3">
      <c r="A39" s="7" t="s">
        <v>19</v>
      </c>
      <c r="B39" s="211"/>
      <c r="C39" s="6" t="s">
        <v>9</v>
      </c>
      <c r="D39" s="34"/>
      <c r="E39" s="33">
        <v>188897.67999999993</v>
      </c>
      <c r="F39" s="123">
        <v>0.33139943859649112</v>
      </c>
      <c r="G39" s="7"/>
      <c r="H39" s="35">
        <v>570000</v>
      </c>
      <c r="I39" s="35">
        <v>399000</v>
      </c>
      <c r="J39" s="35">
        <v>384839.76999997086</v>
      </c>
      <c r="K39" s="70">
        <v>0.96451070175431297</v>
      </c>
      <c r="L39" s="36"/>
      <c r="M39" s="35">
        <v>91142.999999999985</v>
      </c>
      <c r="N39" s="35">
        <v>63800.099999999991</v>
      </c>
      <c r="O39" s="37">
        <v>767.43999999999994</v>
      </c>
      <c r="P39" s="35">
        <v>53682.950000000455</v>
      </c>
      <c r="Q39" s="115">
        <v>0.8414242297425939</v>
      </c>
      <c r="R39" s="36"/>
      <c r="S39" s="127">
        <v>0.15989999999999999</v>
      </c>
      <c r="T39" s="127">
        <v>0.13949428875296468</v>
      </c>
      <c r="U39" s="36"/>
      <c r="V39" s="35"/>
      <c r="W39" s="38">
        <v>3.2476035415913396</v>
      </c>
      <c r="X39" s="69" t="s">
        <v>69</v>
      </c>
      <c r="Y39" s="36"/>
      <c r="Z39" s="62"/>
      <c r="AA39" s="33">
        <v>19000</v>
      </c>
      <c r="AB39" s="33">
        <v>15144.009999999951</v>
      </c>
      <c r="AC39" s="36"/>
      <c r="AD39" s="35">
        <v>3038.0999999999995</v>
      </c>
      <c r="AE39" s="35">
        <v>1840.4100000000003</v>
      </c>
      <c r="AF39" s="115">
        <v>0.60577663671373572</v>
      </c>
      <c r="AG39" s="36"/>
      <c r="AH39" s="35">
        <v>2556.3309523809739</v>
      </c>
      <c r="AI39" s="35">
        <v>76689.92857142922</v>
      </c>
      <c r="AJ39" s="115">
        <v>0.8414242297425939</v>
      </c>
      <c r="AK39" s="36"/>
      <c r="AL39" s="108">
        <v>0.15989999999999999</v>
      </c>
      <c r="AM39" s="108">
        <v>0.12152725731163716</v>
      </c>
      <c r="AN39" s="36"/>
      <c r="AO39" s="38">
        <v>1.9163352374962657</v>
      </c>
      <c r="AP39" s="70">
        <v>0</v>
      </c>
    </row>
    <row r="40" spans="1:44" ht="12.75" customHeight="1" x14ac:dyDescent="0.3">
      <c r="A40" s="7" t="s">
        <v>19</v>
      </c>
      <c r="B40" s="211"/>
      <c r="C40" s="6" t="s">
        <v>10</v>
      </c>
      <c r="D40" s="34"/>
      <c r="E40" s="33">
        <v>330079.05999999988</v>
      </c>
      <c r="F40" s="123">
        <v>0.35878158695652163</v>
      </c>
      <c r="G40" s="7"/>
      <c r="H40" s="35">
        <v>920000</v>
      </c>
      <c r="I40" s="35">
        <v>644000</v>
      </c>
      <c r="J40" s="35">
        <v>665986.25999992876</v>
      </c>
      <c r="K40" s="70">
        <v>1.0341401552793925</v>
      </c>
      <c r="L40" s="36"/>
      <c r="M40" s="35">
        <v>158240</v>
      </c>
      <c r="N40" s="35">
        <v>110768</v>
      </c>
      <c r="O40" s="37">
        <v>2305.75</v>
      </c>
      <c r="P40" s="35">
        <v>104940.63720000158</v>
      </c>
      <c r="Q40" s="115">
        <v>0.94739127906978171</v>
      </c>
      <c r="R40" s="36"/>
      <c r="S40" s="127">
        <v>0.17199999999999999</v>
      </c>
      <c r="T40" s="127">
        <v>0.15757177512943407</v>
      </c>
      <c r="U40" s="36"/>
      <c r="V40" s="35"/>
      <c r="W40" s="38">
        <v>4.741643949220073</v>
      </c>
      <c r="X40" s="69" t="s">
        <v>69</v>
      </c>
      <c r="Y40" s="36"/>
      <c r="Z40" s="62"/>
      <c r="AA40" s="33">
        <v>30666.666666666668</v>
      </c>
      <c r="AB40" s="33">
        <v>28874.380000000208</v>
      </c>
      <c r="AC40" s="36"/>
      <c r="AD40" s="35">
        <v>5274.666666666667</v>
      </c>
      <c r="AE40" s="35">
        <v>4140.209200000003</v>
      </c>
      <c r="AF40" s="115">
        <v>0.78492338220424718</v>
      </c>
      <c r="AG40" s="36"/>
      <c r="AH40" s="35">
        <v>4997.1732000000757</v>
      </c>
      <c r="AI40" s="35">
        <v>149915.19600000227</v>
      </c>
      <c r="AJ40" s="115">
        <v>0.94739127906978171</v>
      </c>
      <c r="AK40" s="36"/>
      <c r="AL40" s="108">
        <v>0.17199999999999999</v>
      </c>
      <c r="AM40" s="108">
        <v>0.14338694718293424</v>
      </c>
      <c r="AN40" s="36"/>
      <c r="AO40" s="38">
        <v>3.7177567102746361</v>
      </c>
      <c r="AP40" s="70">
        <v>0</v>
      </c>
    </row>
    <row r="41" spans="1:44" ht="12.75" customHeight="1" x14ac:dyDescent="0.3">
      <c r="A41" s="7" t="s">
        <v>19</v>
      </c>
      <c r="B41" s="211"/>
      <c r="C41" s="6" t="s">
        <v>12</v>
      </c>
      <c r="D41" s="34"/>
      <c r="E41" s="33">
        <v>16695.589999999993</v>
      </c>
      <c r="F41" s="123">
        <v>0.25685523076923067</v>
      </c>
      <c r="G41" s="7"/>
      <c r="H41" s="35">
        <v>65000</v>
      </c>
      <c r="I41" s="35">
        <v>45000</v>
      </c>
      <c r="J41" s="35">
        <v>45409.870000000024</v>
      </c>
      <c r="K41" s="70">
        <v>1.0091082222222227</v>
      </c>
      <c r="L41" s="36"/>
      <c r="M41" s="35">
        <v>10543.019453627085</v>
      </c>
      <c r="N41" s="35">
        <v>7299.0134678956747</v>
      </c>
      <c r="O41" s="37">
        <v>4317.59</v>
      </c>
      <c r="P41" s="35">
        <v>10810.899999999994</v>
      </c>
      <c r="Q41" s="115">
        <v>1.4811453695148209</v>
      </c>
      <c r="R41" s="36"/>
      <c r="S41" s="127">
        <v>0.16220029928657054</v>
      </c>
      <c r="T41" s="127">
        <v>0.23807379320839253</v>
      </c>
      <c r="U41" s="36"/>
      <c r="V41" s="35"/>
      <c r="W41" s="38">
        <v>2.2921228358505035</v>
      </c>
      <c r="X41" s="69" t="s">
        <v>69</v>
      </c>
      <c r="Y41" s="36"/>
      <c r="Z41" s="62"/>
      <c r="AA41" s="33">
        <v>2500</v>
      </c>
      <c r="AB41" s="33">
        <v>1374.31</v>
      </c>
      <c r="AC41" s="36"/>
      <c r="AD41" s="35">
        <v>405.50074821642636</v>
      </c>
      <c r="AE41" s="35">
        <v>293.25999999999988</v>
      </c>
      <c r="AF41" s="115">
        <v>0.72320458418360145</v>
      </c>
      <c r="AG41" s="36"/>
      <c r="AH41" s="35">
        <v>600.60555555555527</v>
      </c>
      <c r="AI41" s="35">
        <v>15615.744444444437</v>
      </c>
      <c r="AJ41" s="115">
        <v>1.4811453695148213</v>
      </c>
      <c r="AK41" s="36"/>
      <c r="AL41" s="108">
        <v>0.16220029928657054</v>
      </c>
      <c r="AM41" s="108">
        <v>0.2133870815172704</v>
      </c>
      <c r="AN41" s="36"/>
      <c r="AO41" s="38">
        <v>6.9445758235041621</v>
      </c>
      <c r="AP41" s="70">
        <v>0</v>
      </c>
    </row>
    <row r="42" spans="1:44" s="15" customFormat="1" ht="14.25" customHeight="1" x14ac:dyDescent="0.3">
      <c r="A42" s="26"/>
      <c r="B42" s="211"/>
      <c r="C42" s="9" t="s">
        <v>30</v>
      </c>
      <c r="D42" s="28"/>
      <c r="E42" s="27">
        <v>653996.03999999992</v>
      </c>
      <c r="F42" s="124">
        <v>0.36454628762541802</v>
      </c>
      <c r="G42" s="26"/>
      <c r="H42" s="29">
        <v>1794000</v>
      </c>
      <c r="I42" s="29">
        <v>1253461.5384615385</v>
      </c>
      <c r="J42" s="29">
        <v>1292858.7099998984</v>
      </c>
      <c r="K42" s="31">
        <v>1.0314306983736532</v>
      </c>
      <c r="L42" s="39"/>
      <c r="M42" s="29">
        <v>285021.01945362706</v>
      </c>
      <c r="N42" s="29">
        <v>199240.57500635722</v>
      </c>
      <c r="O42" s="27">
        <v>7505.1</v>
      </c>
      <c r="P42" s="29">
        <v>188260.28680000213</v>
      </c>
      <c r="Q42" s="31">
        <v>0.94488929674086342</v>
      </c>
      <c r="R42" s="39"/>
      <c r="S42" s="128">
        <v>0.15887459278351565</v>
      </c>
      <c r="T42" s="128">
        <v>0.14561551493899663</v>
      </c>
      <c r="U42" s="39"/>
      <c r="V42" s="29"/>
      <c r="W42" s="32">
        <v>2.974860787370663</v>
      </c>
      <c r="X42" s="30" t="s">
        <v>69</v>
      </c>
      <c r="Y42" s="39"/>
      <c r="Z42" s="62"/>
      <c r="AA42" s="27">
        <v>61358.974358974359</v>
      </c>
      <c r="AB42" s="27">
        <v>54211.390000000152</v>
      </c>
      <c r="AC42" s="39"/>
      <c r="AD42" s="29">
        <v>9683.4597225754005</v>
      </c>
      <c r="AE42" s="29">
        <v>7490.5412000000042</v>
      </c>
      <c r="AF42" s="31">
        <v>0.77353976931788482</v>
      </c>
      <c r="AG42" s="39"/>
      <c r="AH42" s="29">
        <v>9199.9874634921653</v>
      </c>
      <c r="AI42" s="29">
        <v>269413.69066032046</v>
      </c>
      <c r="AJ42" s="31">
        <v>0.94524148140644093</v>
      </c>
      <c r="AK42" s="39"/>
      <c r="AL42" s="80">
        <v>0.15887459278351565</v>
      </c>
      <c r="AM42" s="80">
        <v>0.13817283046975889</v>
      </c>
      <c r="AN42" s="39"/>
      <c r="AO42" s="32">
        <v>0</v>
      </c>
      <c r="AP42" s="31">
        <v>0</v>
      </c>
      <c r="AQ42" s="10"/>
      <c r="AR42" s="10"/>
    </row>
    <row r="43" spans="1:44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4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572522.53999999957</v>
      </c>
      <c r="F44" s="123">
        <v>3.1115355434782583</v>
      </c>
      <c r="G44" s="7"/>
      <c r="H44" s="35">
        <v>184000</v>
      </c>
      <c r="I44" s="35">
        <v>127384.61538461539</v>
      </c>
      <c r="J44" s="35">
        <v>126482.59000000199</v>
      </c>
      <c r="K44" s="70">
        <v>0.99291888285025709</v>
      </c>
      <c r="L44" s="36"/>
      <c r="M44" s="35">
        <v>22080</v>
      </c>
      <c r="N44" s="35">
        <v>15286.153846153848</v>
      </c>
      <c r="O44" s="37">
        <v>0</v>
      </c>
      <c r="P44" s="35">
        <v>16211.857600000092</v>
      </c>
      <c r="Q44" s="115">
        <v>1.0605583172302797</v>
      </c>
      <c r="R44" s="36"/>
      <c r="S44" s="127">
        <v>0.12</v>
      </c>
      <c r="T44" s="127">
        <v>0.12817461755012952</v>
      </c>
      <c r="U44" s="36"/>
      <c r="V44" s="35"/>
      <c r="W44" s="38">
        <v>2.5004529081847067</v>
      </c>
      <c r="X44" s="69" t="s">
        <v>69</v>
      </c>
      <c r="Y44" s="36"/>
      <c r="Z44" s="62"/>
      <c r="AA44" s="33">
        <v>7076.9230769230771</v>
      </c>
      <c r="AB44" s="33">
        <v>4617.939999999985</v>
      </c>
      <c r="AC44" s="36"/>
      <c r="AD44" s="35">
        <v>849.23076923076928</v>
      </c>
      <c r="AE44" s="35">
        <v>751.75775000000033</v>
      </c>
      <c r="AF44" s="115">
        <v>0.88522198822463805</v>
      </c>
      <c r="AG44" s="36"/>
      <c r="AH44" s="35">
        <v>900.65875555556067</v>
      </c>
      <c r="AI44" s="35">
        <v>23417.127644444576</v>
      </c>
      <c r="AJ44" s="115">
        <v>1.0605583172302797</v>
      </c>
      <c r="AK44" s="36"/>
      <c r="AL44" s="108">
        <v>0.12</v>
      </c>
      <c r="AM44" s="108">
        <v>0.16279071404132639</v>
      </c>
      <c r="AN44" s="36"/>
      <c r="AO44" s="38">
        <v>5.6059141088881335</v>
      </c>
      <c r="AP44" s="70">
        <v>0</v>
      </c>
    </row>
    <row r="45" spans="1:44" ht="12.75" customHeight="1" x14ac:dyDescent="0.3">
      <c r="A45" s="7" t="s">
        <v>20</v>
      </c>
      <c r="B45" s="211"/>
      <c r="C45" s="6" t="s">
        <v>9</v>
      </c>
      <c r="D45" s="34"/>
      <c r="E45" s="33">
        <v>933159.24000000081</v>
      </c>
      <c r="F45" s="123">
        <v>2.1956688000000018</v>
      </c>
      <c r="G45" s="7"/>
      <c r="H45" s="35">
        <v>425000</v>
      </c>
      <c r="I45" s="35">
        <v>297500</v>
      </c>
      <c r="J45" s="35">
        <v>275516.26999997627</v>
      </c>
      <c r="K45" s="70">
        <v>0.92610510924361766</v>
      </c>
      <c r="L45" s="36"/>
      <c r="M45" s="35">
        <v>67649.851647662959</v>
      </c>
      <c r="N45" s="35">
        <v>47354.896153364069</v>
      </c>
      <c r="O45" s="37">
        <v>558.22</v>
      </c>
      <c r="P45" s="35">
        <v>51052.169999999387</v>
      </c>
      <c r="Q45" s="115">
        <v>1.078075851642907</v>
      </c>
      <c r="R45" s="36"/>
      <c r="S45" s="127">
        <v>0.15917612152391283</v>
      </c>
      <c r="T45" s="127">
        <v>0.18529638921143854</v>
      </c>
      <c r="U45" s="36"/>
      <c r="V45" s="35"/>
      <c r="W45" s="38">
        <v>7.8933342121598411</v>
      </c>
      <c r="X45" s="69" t="s">
        <v>69</v>
      </c>
      <c r="Y45" s="36"/>
      <c r="Z45" s="62"/>
      <c r="AA45" s="33">
        <v>14166.666666666666</v>
      </c>
      <c r="AB45" s="33">
        <v>9801.1699999999128</v>
      </c>
      <c r="AC45" s="36"/>
      <c r="AD45" s="35">
        <v>2254.9950549220985</v>
      </c>
      <c r="AE45" s="35">
        <v>1909.1500000000008</v>
      </c>
      <c r="AF45" s="115">
        <v>0.84663156836321962</v>
      </c>
      <c r="AG45" s="36"/>
      <c r="AH45" s="35">
        <v>2431.0557142856851</v>
      </c>
      <c r="AI45" s="35">
        <v>72931.671428570553</v>
      </c>
      <c r="AJ45" s="115">
        <v>1.078075851642907</v>
      </c>
      <c r="AK45" s="36"/>
      <c r="AL45" s="108">
        <v>0.15917612152391283</v>
      </c>
      <c r="AM45" s="108">
        <v>0.19478796919143507</v>
      </c>
      <c r="AN45" s="36"/>
      <c r="AO45" s="38">
        <v>9.1481935319959469</v>
      </c>
      <c r="AP45" s="70">
        <v>0</v>
      </c>
    </row>
    <row r="46" spans="1:44" ht="12.75" customHeight="1" x14ac:dyDescent="0.3">
      <c r="A46" s="7" t="s">
        <v>20</v>
      </c>
      <c r="B46" s="211"/>
      <c r="C46" s="6" t="s">
        <v>10</v>
      </c>
      <c r="D46" s="34"/>
      <c r="E46" s="33">
        <v>1380104.7699999982</v>
      </c>
      <c r="F46" s="123">
        <v>2.421236438596488</v>
      </c>
      <c r="G46" s="7"/>
      <c r="H46" s="35">
        <v>570000</v>
      </c>
      <c r="I46" s="35">
        <v>399000</v>
      </c>
      <c r="J46" s="35">
        <v>374933.28999993106</v>
      </c>
      <c r="K46" s="70">
        <v>0.93968243107752147</v>
      </c>
      <c r="L46" s="36"/>
      <c r="M46" s="35">
        <v>95190</v>
      </c>
      <c r="N46" s="35">
        <v>66633</v>
      </c>
      <c r="O46" s="37">
        <v>196.65</v>
      </c>
      <c r="P46" s="35">
        <v>61061.275119999249</v>
      </c>
      <c r="Q46" s="115">
        <v>0.91638189965931671</v>
      </c>
      <c r="R46" s="36"/>
      <c r="S46" s="127">
        <v>0.16700000000000001</v>
      </c>
      <c r="T46" s="127">
        <v>0.16285903852392108</v>
      </c>
      <c r="U46" s="36"/>
      <c r="V46" s="35"/>
      <c r="W46" s="38">
        <v>5.7150126946401176</v>
      </c>
      <c r="X46" s="69" t="s">
        <v>69</v>
      </c>
      <c r="Y46" s="36"/>
      <c r="Z46" s="62"/>
      <c r="AA46" s="33">
        <v>19000</v>
      </c>
      <c r="AB46" s="33">
        <v>12796.599999999893</v>
      </c>
      <c r="AC46" s="36"/>
      <c r="AD46" s="35">
        <v>3173</v>
      </c>
      <c r="AE46" s="35">
        <v>1889.6007499999987</v>
      </c>
      <c r="AF46" s="115">
        <v>0.5955249763630629</v>
      </c>
      <c r="AG46" s="36"/>
      <c r="AH46" s="35">
        <v>2907.6797676190117</v>
      </c>
      <c r="AI46" s="35">
        <v>87230.393028570354</v>
      </c>
      <c r="AJ46" s="115">
        <v>0.91638189965931671</v>
      </c>
      <c r="AK46" s="36"/>
      <c r="AL46" s="108">
        <v>0.16700000000000001</v>
      </c>
      <c r="AM46" s="108">
        <v>0.14766428191863576</v>
      </c>
      <c r="AN46" s="36"/>
      <c r="AO46" s="38">
        <v>4.8061262366558113</v>
      </c>
      <c r="AP46" s="70">
        <v>0</v>
      </c>
    </row>
    <row r="47" spans="1:44" ht="12.75" customHeight="1" x14ac:dyDescent="0.3">
      <c r="A47" s="7" t="s">
        <v>20</v>
      </c>
      <c r="B47" s="211"/>
      <c r="C47" s="6" t="s">
        <v>12</v>
      </c>
      <c r="D47" s="34"/>
      <c r="E47" s="33">
        <v>44907.899999999958</v>
      </c>
      <c r="F47" s="123">
        <v>1.8711624999999983</v>
      </c>
      <c r="G47" s="7"/>
      <c r="H47" s="35">
        <v>24000</v>
      </c>
      <c r="I47" s="35">
        <v>16615.384615384617</v>
      </c>
      <c r="J47" s="35">
        <v>14547.819999999878</v>
      </c>
      <c r="K47" s="70">
        <v>0.87556324074073333</v>
      </c>
      <c r="L47" s="36"/>
      <c r="M47" s="35">
        <v>4080.0000000000005</v>
      </c>
      <c r="N47" s="35">
        <v>2824.6153846153848</v>
      </c>
      <c r="O47" s="37">
        <v>631.63</v>
      </c>
      <c r="P47" s="35">
        <v>2974.5999999999985</v>
      </c>
      <c r="Q47" s="115">
        <v>1.0530991285403044</v>
      </c>
      <c r="R47" s="36"/>
      <c r="S47" s="127">
        <v>0.17</v>
      </c>
      <c r="T47" s="127">
        <v>0.20447049798526676</v>
      </c>
      <c r="U47" s="36"/>
      <c r="V47" s="35"/>
      <c r="W47" s="38">
        <v>5.3054684481927818</v>
      </c>
      <c r="X47" s="69" t="s">
        <v>69</v>
      </c>
      <c r="Y47" s="36"/>
      <c r="Z47" s="62"/>
      <c r="AA47" s="33">
        <v>923.07692307692309</v>
      </c>
      <c r="AB47" s="33">
        <v>634.53999999999974</v>
      </c>
      <c r="AC47" s="36"/>
      <c r="AD47" s="35">
        <v>156.92307692307693</v>
      </c>
      <c r="AE47" s="35">
        <v>153.50000000000006</v>
      </c>
      <c r="AF47" s="115">
        <v>0.97818627450980422</v>
      </c>
      <c r="AG47" s="36"/>
      <c r="AH47" s="35">
        <v>165.25555555555547</v>
      </c>
      <c r="AI47" s="35">
        <v>4296.6444444444423</v>
      </c>
      <c r="AJ47" s="115">
        <v>1.0530991285403044</v>
      </c>
      <c r="AK47" s="36"/>
      <c r="AL47" s="108">
        <v>0.17</v>
      </c>
      <c r="AM47" s="108">
        <v>0.24190752356037462</v>
      </c>
      <c r="AN47" s="36"/>
      <c r="AO47" s="38">
        <v>14.221325684747942</v>
      </c>
      <c r="AP47" s="70">
        <v>0</v>
      </c>
    </row>
    <row r="48" spans="1:44" s="15" customFormat="1" ht="14.25" customHeight="1" x14ac:dyDescent="0.3">
      <c r="A48" s="26"/>
      <c r="B48" s="211"/>
      <c r="C48" s="9" t="s">
        <v>28</v>
      </c>
      <c r="D48" s="28"/>
      <c r="E48" s="27">
        <v>2930694.4499999983</v>
      </c>
      <c r="F48" s="124">
        <v>2.4361549875311708</v>
      </c>
      <c r="G48" s="26"/>
      <c r="H48" s="29">
        <v>1203000</v>
      </c>
      <c r="I48" s="29">
        <v>840500</v>
      </c>
      <c r="J48" s="29">
        <v>791479.96999990917</v>
      </c>
      <c r="K48" s="31">
        <v>0.9416775371801418</v>
      </c>
      <c r="L48" s="39"/>
      <c r="M48" s="29">
        <v>188999.85164766296</v>
      </c>
      <c r="N48" s="29">
        <v>132098.66538413329</v>
      </c>
      <c r="O48" s="27">
        <v>1386.5</v>
      </c>
      <c r="P48" s="29">
        <v>131299.90271999873</v>
      </c>
      <c r="Q48" s="31">
        <v>0.99395328740217159</v>
      </c>
      <c r="R48" s="39"/>
      <c r="S48" s="128">
        <v>0.15710710860154858</v>
      </c>
      <c r="T48" s="128">
        <v>0.1658916304856253</v>
      </c>
      <c r="U48" s="39"/>
      <c r="V48" s="29"/>
      <c r="W48" s="32">
        <v>5.9520612656704861</v>
      </c>
      <c r="X48" s="30" t="s">
        <v>69</v>
      </c>
      <c r="Y48" s="39"/>
      <c r="Z48" s="62"/>
      <c r="AA48" s="27">
        <v>41166.666666666664</v>
      </c>
      <c r="AB48" s="27">
        <v>27850.249999999793</v>
      </c>
      <c r="AC48" s="39"/>
      <c r="AD48" s="29">
        <v>6434.1489010759451</v>
      </c>
      <c r="AE48" s="29">
        <v>4704.0084999999999</v>
      </c>
      <c r="AF48" s="31">
        <v>0.73110034789735379</v>
      </c>
      <c r="AG48" s="39"/>
      <c r="AH48" s="29">
        <v>6404.649793015813</v>
      </c>
      <c r="AI48" s="29">
        <v>187875.83654602995</v>
      </c>
      <c r="AJ48" s="31">
        <v>0.99405282548195639</v>
      </c>
      <c r="AK48" s="39"/>
      <c r="AL48" s="80">
        <v>0.15710710860154858</v>
      </c>
      <c r="AM48" s="80">
        <v>0.16890363641260078</v>
      </c>
      <c r="AN48" s="39"/>
      <c r="AO48" s="32">
        <v>0</v>
      </c>
      <c r="AP48" s="31">
        <v>0</v>
      </c>
      <c r="AQ48" s="10"/>
      <c r="AR48" s="10"/>
    </row>
    <row r="49" spans="1:44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4" ht="12.75" customHeight="1" x14ac:dyDescent="0.3">
      <c r="A50" s="7" t="s">
        <v>17</v>
      </c>
      <c r="B50" s="212" t="s">
        <v>67</v>
      </c>
      <c r="C50" s="6" t="s">
        <v>8</v>
      </c>
      <c r="D50" s="34"/>
      <c r="E50" s="33">
        <v>159980.04000000004</v>
      </c>
      <c r="F50" s="123">
        <v>0.27582765517241387</v>
      </c>
      <c r="G50" s="7"/>
      <c r="H50" s="35">
        <v>580000</v>
      </c>
      <c r="I50" s="35">
        <v>401538.46153846156</v>
      </c>
      <c r="J50" s="35">
        <v>380053.04999999772</v>
      </c>
      <c r="K50" s="70">
        <v>0.94649227011493675</v>
      </c>
      <c r="L50" s="36"/>
      <c r="M50" s="35">
        <v>98020</v>
      </c>
      <c r="N50" s="35">
        <v>67860</v>
      </c>
      <c r="O50" s="37">
        <v>0</v>
      </c>
      <c r="P50" s="35">
        <v>66844.590550000081</v>
      </c>
      <c r="Q50" s="115">
        <v>0.98503670129678866</v>
      </c>
      <c r="R50" s="36"/>
      <c r="S50" s="127">
        <v>0.16900000000000001</v>
      </c>
      <c r="T50" s="127">
        <v>0.17588226314721189</v>
      </c>
      <c r="U50" s="36"/>
      <c r="V50" s="35"/>
      <c r="W50" s="38">
        <v>-8.9944836516907944</v>
      </c>
      <c r="X50" s="69" t="s">
        <v>69</v>
      </c>
      <c r="Y50" s="36"/>
      <c r="Z50" s="62"/>
      <c r="AA50" s="33">
        <v>22307.692307692309</v>
      </c>
      <c r="AB50" s="33">
        <v>21828.5</v>
      </c>
      <c r="AC50" s="36"/>
      <c r="AD50" s="35">
        <v>3770</v>
      </c>
      <c r="AE50" s="35">
        <v>4206.1437999999998</v>
      </c>
      <c r="AF50" s="115">
        <v>1.1156880106100795</v>
      </c>
      <c r="AG50" s="36"/>
      <c r="AH50" s="35">
        <v>3713.5883638888936</v>
      </c>
      <c r="AI50" s="35">
        <v>96553.297461111229</v>
      </c>
      <c r="AJ50" s="115">
        <v>0.98503670129678866</v>
      </c>
      <c r="AK50" s="36"/>
      <c r="AL50" s="108">
        <v>0.16900000000000001</v>
      </c>
      <c r="AM50" s="108">
        <v>0.19269046430125752</v>
      </c>
      <c r="AN50" s="36"/>
      <c r="AO50" s="38">
        <v>-6.7234404562842434</v>
      </c>
      <c r="AP50" s="70">
        <v>0</v>
      </c>
    </row>
    <row r="51" spans="1:44" ht="12.75" customHeight="1" x14ac:dyDescent="0.3">
      <c r="A51" s="7" t="s">
        <v>17</v>
      </c>
      <c r="B51" s="212"/>
      <c r="C51" s="6" t="s">
        <v>9</v>
      </c>
      <c r="D51" s="34"/>
      <c r="E51" s="33">
        <v>79651.780000000042</v>
      </c>
      <c r="F51" s="123">
        <v>0.34631208695652194</v>
      </c>
      <c r="G51" s="7"/>
      <c r="H51" s="35">
        <v>230000</v>
      </c>
      <c r="I51" s="35">
        <v>161000</v>
      </c>
      <c r="J51" s="35">
        <v>240795.59999999765</v>
      </c>
      <c r="K51" s="70">
        <v>1.4956248447204823</v>
      </c>
      <c r="L51" s="36"/>
      <c r="M51" s="35">
        <v>45770</v>
      </c>
      <c r="N51" s="35">
        <v>32039</v>
      </c>
      <c r="O51" s="37">
        <v>330.74</v>
      </c>
      <c r="P51" s="35">
        <v>30552.850000000028</v>
      </c>
      <c r="Q51" s="115">
        <v>0.95361434501701137</v>
      </c>
      <c r="R51" s="36"/>
      <c r="S51" s="127">
        <v>0.19900000000000001</v>
      </c>
      <c r="T51" s="127">
        <v>0.12688292477105198</v>
      </c>
      <c r="U51" s="36"/>
      <c r="V51" s="35"/>
      <c r="W51" s="38">
        <v>-10.429928952191272</v>
      </c>
      <c r="X51" s="69" t="s">
        <v>69</v>
      </c>
      <c r="Y51" s="36"/>
      <c r="Z51" s="62"/>
      <c r="AA51" s="33">
        <v>7666.666666666667</v>
      </c>
      <c r="AB51" s="33">
        <v>10537.379999999997</v>
      </c>
      <c r="AC51" s="36"/>
      <c r="AD51" s="35">
        <v>1525.6666666666667</v>
      </c>
      <c r="AE51" s="35">
        <v>829.16000000000054</v>
      </c>
      <c r="AF51" s="115">
        <v>0.54347389119510625</v>
      </c>
      <c r="AG51" s="36"/>
      <c r="AH51" s="35">
        <v>1454.8976190476203</v>
      </c>
      <c r="AI51" s="35">
        <v>43646.928571428609</v>
      </c>
      <c r="AJ51" s="115">
        <v>0.95361434501701137</v>
      </c>
      <c r="AK51" s="36"/>
      <c r="AL51" s="108">
        <v>0.19900000000000001</v>
      </c>
      <c r="AM51" s="108">
        <v>7.8687491577602853E-2</v>
      </c>
      <c r="AN51" s="36"/>
      <c r="AO51" s="38">
        <v>-15.3969013170257</v>
      </c>
      <c r="AP51" s="70">
        <v>0</v>
      </c>
    </row>
    <row r="52" spans="1:44" ht="12.75" customHeight="1" x14ac:dyDescent="0.3">
      <c r="A52" s="7" t="s">
        <v>17</v>
      </c>
      <c r="B52" s="212"/>
      <c r="C52" s="6" t="s">
        <v>10</v>
      </c>
      <c r="D52" s="34"/>
      <c r="E52" s="33">
        <v>137463.21999999994</v>
      </c>
      <c r="F52" s="123">
        <v>0.35246979487179475</v>
      </c>
      <c r="G52" s="7"/>
      <c r="H52" s="35">
        <v>390000</v>
      </c>
      <c r="I52" s="35">
        <v>273000</v>
      </c>
      <c r="J52" s="35">
        <v>290853.41999999771</v>
      </c>
      <c r="K52" s="70">
        <v>1.0653971428571345</v>
      </c>
      <c r="L52" s="36"/>
      <c r="M52" s="35">
        <v>80997.011004653381</v>
      </c>
      <c r="N52" s="35">
        <v>56697.907703257362</v>
      </c>
      <c r="O52" s="37">
        <v>330.74</v>
      </c>
      <c r="P52" s="35">
        <v>60666.108749999847</v>
      </c>
      <c r="Q52" s="115">
        <v>1.0699884917713551</v>
      </c>
      <c r="R52" s="36"/>
      <c r="S52" s="127">
        <v>0.20768464360167532</v>
      </c>
      <c r="T52" s="127">
        <v>0.2085796644577888</v>
      </c>
      <c r="U52" s="36"/>
      <c r="V52" s="35"/>
      <c r="W52" s="38">
        <v>-0.85390477787809416</v>
      </c>
      <c r="X52" s="69" t="s">
        <v>69</v>
      </c>
      <c r="Y52" s="36"/>
      <c r="Z52" s="62"/>
      <c r="AA52" s="33">
        <v>13000</v>
      </c>
      <c r="AB52" s="33">
        <v>7672.9899999999989</v>
      </c>
      <c r="AC52" s="36"/>
      <c r="AD52" s="35">
        <v>2699.9003668217792</v>
      </c>
      <c r="AE52" s="35">
        <v>1682.7937000000002</v>
      </c>
      <c r="AF52" s="115">
        <v>0.62327992568885837</v>
      </c>
      <c r="AG52" s="36"/>
      <c r="AH52" s="35">
        <v>2888.862321428564</v>
      </c>
      <c r="AI52" s="35">
        <v>86665.869642856924</v>
      </c>
      <c r="AJ52" s="115">
        <v>1.0699884917713551</v>
      </c>
      <c r="AK52" s="36"/>
      <c r="AL52" s="108">
        <v>0.20768464360167532</v>
      </c>
      <c r="AM52" s="108">
        <v>0.21931394410783805</v>
      </c>
      <c r="AN52" s="36"/>
      <c r="AO52" s="38">
        <v>2.3884261546020698</v>
      </c>
      <c r="AP52" s="70">
        <v>0</v>
      </c>
    </row>
    <row r="53" spans="1:44" ht="12.75" customHeight="1" x14ac:dyDescent="0.3">
      <c r="A53" s="7" t="s">
        <v>17</v>
      </c>
      <c r="B53" s="212"/>
      <c r="C53" s="6" t="s">
        <v>12</v>
      </c>
      <c r="D53" s="34"/>
      <c r="E53" s="33">
        <v>117326.45999999999</v>
      </c>
      <c r="F53" s="123">
        <v>0.26665104545454543</v>
      </c>
      <c r="G53" s="7"/>
      <c r="H53" s="35">
        <v>440000</v>
      </c>
      <c r="I53" s="35">
        <v>304615.38461538462</v>
      </c>
      <c r="J53" s="35">
        <v>431575.79999999946</v>
      </c>
      <c r="K53" s="70">
        <v>1.4167892424242405</v>
      </c>
      <c r="L53" s="36"/>
      <c r="M53" s="35">
        <v>94600</v>
      </c>
      <c r="N53" s="35">
        <v>65492.307692307695</v>
      </c>
      <c r="O53" s="37">
        <v>6796.7699999999995</v>
      </c>
      <c r="P53" s="35">
        <v>101775.50000000004</v>
      </c>
      <c r="Q53" s="115">
        <v>1.5540069297627443</v>
      </c>
      <c r="R53" s="36"/>
      <c r="S53" s="127">
        <v>0.215</v>
      </c>
      <c r="T53" s="127">
        <v>0.23582300027017308</v>
      </c>
      <c r="U53" s="36"/>
      <c r="V53" s="35"/>
      <c r="W53" s="38">
        <v>-2.3978476086936404</v>
      </c>
      <c r="X53" s="69" t="s">
        <v>69</v>
      </c>
      <c r="Y53" s="36"/>
      <c r="Z53" s="62"/>
      <c r="AA53" s="33">
        <v>16923.076923076922</v>
      </c>
      <c r="AB53" s="33">
        <v>18405.2</v>
      </c>
      <c r="AC53" s="36"/>
      <c r="AD53" s="35">
        <v>3638.4615384615386</v>
      </c>
      <c r="AE53" s="35">
        <v>4365.46</v>
      </c>
      <c r="AF53" s="115">
        <v>1.1998093023255814</v>
      </c>
      <c r="AG53" s="36"/>
      <c r="AH53" s="35">
        <v>5654.1944444444471</v>
      </c>
      <c r="AI53" s="35">
        <v>147009.05555555562</v>
      </c>
      <c r="AJ53" s="115">
        <v>1.5540069297627443</v>
      </c>
      <c r="AK53" s="36"/>
      <c r="AL53" s="108">
        <v>0.215</v>
      </c>
      <c r="AM53" s="108">
        <v>0.23718622997848435</v>
      </c>
      <c r="AN53" s="36"/>
      <c r="AO53" s="38">
        <v>8.7147653923891131</v>
      </c>
      <c r="AP53" s="70">
        <v>0</v>
      </c>
    </row>
    <row r="54" spans="1:44" s="15" customFormat="1" ht="14.25" customHeight="1" x14ac:dyDescent="0.3">
      <c r="A54" s="26"/>
      <c r="B54" s="212"/>
      <c r="C54" s="9" t="s">
        <v>71</v>
      </c>
      <c r="D54" s="28"/>
      <c r="E54" s="27">
        <v>494421.5</v>
      </c>
      <c r="F54" s="124">
        <v>0.30147652439024392</v>
      </c>
      <c r="G54" s="26"/>
      <c r="H54" s="29">
        <v>1640000</v>
      </c>
      <c r="I54" s="29">
        <v>1140153.846153846</v>
      </c>
      <c r="J54" s="29">
        <v>1343277.8699999927</v>
      </c>
      <c r="K54" s="31">
        <v>1.1781549257859876</v>
      </c>
      <c r="L54" s="39"/>
      <c r="M54" s="29">
        <v>319387.01100465341</v>
      </c>
      <c r="N54" s="29">
        <v>222089.21539556506</v>
      </c>
      <c r="O54" s="27">
        <v>7458.25</v>
      </c>
      <c r="P54" s="29">
        <v>259839.04930000001</v>
      </c>
      <c r="Q54" s="31">
        <v>1.1699759884206822</v>
      </c>
      <c r="R54" s="39"/>
      <c r="S54" s="128">
        <v>0.19474817744186185</v>
      </c>
      <c r="T54" s="128">
        <v>0.19343655925784101</v>
      </c>
      <c r="U54" s="39"/>
      <c r="V54" s="29"/>
      <c r="W54" s="32">
        <v>-5.3697572416649084</v>
      </c>
      <c r="X54" s="30" t="s">
        <v>69</v>
      </c>
      <c r="Y54" s="39"/>
      <c r="Z54" s="62"/>
      <c r="AA54" s="27">
        <v>59897.435897435898</v>
      </c>
      <c r="AB54" s="27">
        <v>58444.069999999992</v>
      </c>
      <c r="AC54" s="39"/>
      <c r="AD54" s="29">
        <v>11634.028571949984</v>
      </c>
      <c r="AE54" s="29">
        <v>11083.557500000001</v>
      </c>
      <c r="AF54" s="31">
        <v>0.95268439745135347</v>
      </c>
      <c r="AG54" s="39"/>
      <c r="AH54" s="29">
        <v>13711.542748809525</v>
      </c>
      <c r="AI54" s="29">
        <v>373875.15123095241</v>
      </c>
      <c r="AJ54" s="31">
        <v>1.1706022422605817</v>
      </c>
      <c r="AK54" s="39"/>
      <c r="AL54" s="80">
        <v>0.19474817744186185</v>
      </c>
      <c r="AM54" s="80">
        <v>0.18964383383977199</v>
      </c>
      <c r="AN54" s="39"/>
      <c r="AO54" s="32">
        <v>0</v>
      </c>
      <c r="AP54" s="31">
        <v>0</v>
      </c>
      <c r="AQ54" s="10"/>
      <c r="AR54" s="10"/>
    </row>
    <row r="55" spans="1:44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4" ht="12.75" customHeight="1" x14ac:dyDescent="0.3">
      <c r="A56" s="7" t="s">
        <v>21</v>
      </c>
      <c r="B56" s="212" t="s">
        <v>75</v>
      </c>
      <c r="C56" s="6" t="s">
        <v>8</v>
      </c>
      <c r="D56" s="34"/>
      <c r="E56" s="33">
        <v>347302.26000000013</v>
      </c>
      <c r="F56" s="123">
        <v>4.6932737837837859</v>
      </c>
      <c r="G56" s="7"/>
      <c r="H56" s="35">
        <v>74000</v>
      </c>
      <c r="I56" s="35">
        <v>51230.769230769234</v>
      </c>
      <c r="J56" s="35">
        <v>51868.430000000226</v>
      </c>
      <c r="K56" s="70">
        <v>1.0124468318318363</v>
      </c>
      <c r="L56" s="36"/>
      <c r="M56" s="35">
        <v>16206</v>
      </c>
      <c r="N56" s="35">
        <v>11219.538461538461</v>
      </c>
      <c r="O56" s="37">
        <v>0</v>
      </c>
      <c r="P56" s="35">
        <v>10703.360000000015</v>
      </c>
      <c r="Q56" s="115">
        <v>0.95399289700659706</v>
      </c>
      <c r="R56" s="36"/>
      <c r="S56" s="127">
        <v>0.219</v>
      </c>
      <c r="T56" s="127">
        <v>0.20635596643276014</v>
      </c>
      <c r="U56" s="36"/>
      <c r="V56" s="35"/>
      <c r="W56" s="38">
        <v>9.0202074749520893</v>
      </c>
      <c r="X56" s="69" t="s">
        <v>69</v>
      </c>
      <c r="Y56" s="36"/>
      <c r="Z56" s="62"/>
      <c r="AA56" s="33">
        <v>2846.1538461538462</v>
      </c>
      <c r="AB56" s="33">
        <v>2140.6800000000021</v>
      </c>
      <c r="AC56" s="36"/>
      <c r="AD56" s="35">
        <v>623.30769230769226</v>
      </c>
      <c r="AE56" s="35">
        <v>424.64</v>
      </c>
      <c r="AF56" s="115">
        <v>0.68126866592620017</v>
      </c>
      <c r="AG56" s="36"/>
      <c r="AH56" s="35">
        <v>594.63111111111198</v>
      </c>
      <c r="AI56" s="35">
        <v>15460.408888888911</v>
      </c>
      <c r="AJ56" s="115">
        <v>0.95399289700659695</v>
      </c>
      <c r="AK56" s="36"/>
      <c r="AL56" s="108">
        <v>0.219</v>
      </c>
      <c r="AM56" s="108">
        <v>0.19836687407739576</v>
      </c>
      <c r="AN56" s="36"/>
      <c r="AO56" s="38">
        <v>7.9871816432163056</v>
      </c>
      <c r="AP56" s="70">
        <v>0</v>
      </c>
    </row>
    <row r="57" spans="1:44" ht="12.75" customHeight="1" x14ac:dyDescent="0.3">
      <c r="A57" s="7" t="s">
        <v>21</v>
      </c>
      <c r="B57" s="212"/>
      <c r="C57" s="6" t="s">
        <v>9</v>
      </c>
      <c r="D57" s="34"/>
      <c r="E57" s="33">
        <v>473542.83000000019</v>
      </c>
      <c r="F57" s="123">
        <v>2.3677141500000007</v>
      </c>
      <c r="G57" s="7"/>
      <c r="H57" s="35">
        <v>200000</v>
      </c>
      <c r="I57" s="35">
        <v>140000</v>
      </c>
      <c r="J57" s="35">
        <v>119357.34000000516</v>
      </c>
      <c r="K57" s="70">
        <v>0.8525524285714654</v>
      </c>
      <c r="L57" s="36"/>
      <c r="M57" s="35">
        <v>45000</v>
      </c>
      <c r="N57" s="35">
        <v>31500</v>
      </c>
      <c r="O57" s="37">
        <v>0</v>
      </c>
      <c r="P57" s="35">
        <v>25444.989999999954</v>
      </c>
      <c r="Q57" s="115">
        <v>0.8077774603174589</v>
      </c>
      <c r="R57" s="36"/>
      <c r="S57" s="127">
        <v>0.22500000000000001</v>
      </c>
      <c r="T57" s="127">
        <v>0.21318328642376627</v>
      </c>
      <c r="U57" s="36"/>
      <c r="V57" s="35"/>
      <c r="W57" s="38">
        <v>9.571401306366683</v>
      </c>
      <c r="X57" s="69" t="s">
        <v>69</v>
      </c>
      <c r="Y57" s="36"/>
      <c r="Z57" s="62"/>
      <c r="AA57" s="33">
        <v>6666.666666666667</v>
      </c>
      <c r="AB57" s="33">
        <v>4195.2999999999874</v>
      </c>
      <c r="AC57" s="36"/>
      <c r="AD57" s="35">
        <v>1500</v>
      </c>
      <c r="AE57" s="35">
        <v>849.18999999999994</v>
      </c>
      <c r="AF57" s="115">
        <v>0.56612666666666667</v>
      </c>
      <c r="AG57" s="36"/>
      <c r="AH57" s="35">
        <v>1211.6661904761884</v>
      </c>
      <c r="AI57" s="35">
        <v>36349.985714285649</v>
      </c>
      <c r="AJ57" s="115">
        <v>0.8077774603174589</v>
      </c>
      <c r="AK57" s="36"/>
      <c r="AL57" s="108">
        <v>0.22500000000000001</v>
      </c>
      <c r="AM57" s="108">
        <v>0.20241460682192036</v>
      </c>
      <c r="AN57" s="36"/>
      <c r="AO57" s="38">
        <v>8.8179629585485433</v>
      </c>
      <c r="AP57" s="70">
        <v>0</v>
      </c>
    </row>
    <row r="58" spans="1:44" ht="12.75" customHeight="1" x14ac:dyDescent="0.3">
      <c r="A58" s="7" t="s">
        <v>21</v>
      </c>
      <c r="B58" s="212"/>
      <c r="C58" s="6" t="s">
        <v>10</v>
      </c>
      <c r="D58" s="34"/>
      <c r="E58" s="33">
        <v>564580.25999999896</v>
      </c>
      <c r="F58" s="123">
        <v>2.6884774285714235</v>
      </c>
      <c r="G58" s="7"/>
      <c r="H58" s="35">
        <v>210000</v>
      </c>
      <c r="I58" s="35">
        <v>147000</v>
      </c>
      <c r="J58" s="35">
        <v>141531.71000000244</v>
      </c>
      <c r="K58" s="70">
        <v>0.96280074829933626</v>
      </c>
      <c r="L58" s="36"/>
      <c r="M58" s="35">
        <v>45990</v>
      </c>
      <c r="N58" s="35">
        <v>32193</v>
      </c>
      <c r="O58" s="37">
        <v>0</v>
      </c>
      <c r="P58" s="35">
        <v>28949.629999999994</v>
      </c>
      <c r="Q58" s="115">
        <v>0.89925232193333937</v>
      </c>
      <c r="R58" s="36"/>
      <c r="S58" s="127">
        <v>0.219</v>
      </c>
      <c r="T58" s="127">
        <v>0.20454518637554436</v>
      </c>
      <c r="U58" s="36"/>
      <c r="V58" s="35"/>
      <c r="W58" s="38">
        <v>8.882631319866098</v>
      </c>
      <c r="X58" s="69" t="s">
        <v>69</v>
      </c>
      <c r="Y58" s="36"/>
      <c r="Z58" s="62"/>
      <c r="AA58" s="33">
        <v>7000</v>
      </c>
      <c r="AB58" s="33">
        <v>5131.7599999999848</v>
      </c>
      <c r="AC58" s="36"/>
      <c r="AD58" s="35">
        <v>1533</v>
      </c>
      <c r="AE58" s="35">
        <v>1002.7399999999999</v>
      </c>
      <c r="AF58" s="115">
        <v>0.65410306588388778</v>
      </c>
      <c r="AG58" s="36"/>
      <c r="AH58" s="35">
        <v>1378.5538095238092</v>
      </c>
      <c r="AI58" s="35">
        <v>41356.614285714277</v>
      </c>
      <c r="AJ58" s="115">
        <v>0.89925232193333937</v>
      </c>
      <c r="AK58" s="36"/>
      <c r="AL58" s="108">
        <v>0.219</v>
      </c>
      <c r="AM58" s="108">
        <v>0.19539884951751502</v>
      </c>
      <c r="AN58" s="36"/>
      <c r="AO58" s="38">
        <v>8.0697460520364839</v>
      </c>
      <c r="AP58" s="70">
        <v>0</v>
      </c>
    </row>
    <row r="59" spans="1:44" ht="12.75" customHeight="1" x14ac:dyDescent="0.3">
      <c r="A59" s="7" t="s">
        <v>21</v>
      </c>
      <c r="B59" s="212"/>
      <c r="C59" s="6" t="s">
        <v>12</v>
      </c>
      <c r="D59" s="34"/>
      <c r="E59" s="33">
        <v>34118.730000000003</v>
      </c>
      <c r="F59" s="123">
        <v>3.9672941860465119</v>
      </c>
      <c r="G59" s="7"/>
      <c r="H59" s="35">
        <v>8600</v>
      </c>
      <c r="I59" s="35">
        <v>5953.8461538461543</v>
      </c>
      <c r="J59" s="35">
        <v>4422.9199999999782</v>
      </c>
      <c r="K59" s="70">
        <v>0.74286770025839421</v>
      </c>
      <c r="L59" s="36"/>
      <c r="M59" s="35">
        <v>688</v>
      </c>
      <c r="N59" s="35">
        <v>476.30769230769226</v>
      </c>
      <c r="O59" s="37">
        <v>0</v>
      </c>
      <c r="P59" s="35">
        <v>852.22999999999956</v>
      </c>
      <c r="Q59" s="115">
        <v>1.7892425710594309</v>
      </c>
      <c r="R59" s="36"/>
      <c r="S59" s="127">
        <v>0.08</v>
      </c>
      <c r="T59" s="127">
        <v>0.19268492308248933</v>
      </c>
      <c r="U59" s="36"/>
      <c r="V59" s="35"/>
      <c r="W59" s="38">
        <v>8.0198149638695906</v>
      </c>
      <c r="X59" s="69" t="s">
        <v>69</v>
      </c>
      <c r="Y59" s="36"/>
      <c r="Z59" s="62"/>
      <c r="AA59" s="33">
        <v>330.76923076923077</v>
      </c>
      <c r="AB59" s="33">
        <v>253.83</v>
      </c>
      <c r="AC59" s="36"/>
      <c r="AD59" s="35">
        <v>26.46153846153846</v>
      </c>
      <c r="AE59" s="35">
        <v>54.929999999999993</v>
      </c>
      <c r="AF59" s="115">
        <v>2.0758430232558136</v>
      </c>
      <c r="AG59" s="36"/>
      <c r="AH59" s="35">
        <v>47.346111111111085</v>
      </c>
      <c r="AI59" s="35">
        <v>1230.9988888888881</v>
      </c>
      <c r="AJ59" s="115">
        <v>1.7892425710594304</v>
      </c>
      <c r="AK59" s="36"/>
      <c r="AL59" s="108">
        <v>0.08</v>
      </c>
      <c r="AM59" s="108">
        <v>0.2164046802978371</v>
      </c>
      <c r="AN59" s="36"/>
      <c r="AO59" s="38">
        <v>10.459756529960989</v>
      </c>
      <c r="AP59" s="70">
        <v>0</v>
      </c>
    </row>
    <row r="60" spans="1:44" s="15" customFormat="1" ht="14.25" customHeight="1" x14ac:dyDescent="0.3">
      <c r="A60" s="26"/>
      <c r="B60" s="212"/>
      <c r="C60" s="9" t="s">
        <v>78</v>
      </c>
      <c r="D60" s="28"/>
      <c r="E60" s="27">
        <v>1419544.0799999991</v>
      </c>
      <c r="F60" s="124">
        <v>2.8817378806333722</v>
      </c>
      <c r="G60" s="26"/>
      <c r="H60" s="29">
        <v>492600</v>
      </c>
      <c r="I60" s="29">
        <v>344184.61538461538</v>
      </c>
      <c r="J60" s="29">
        <v>317180.40000000776</v>
      </c>
      <c r="K60" s="31">
        <v>0.92154148042197859</v>
      </c>
      <c r="L60" s="39"/>
      <c r="M60" s="29">
        <v>107884</v>
      </c>
      <c r="N60" s="29">
        <v>75388.846153846156</v>
      </c>
      <c r="O60" s="27">
        <v>0</v>
      </c>
      <c r="P60" s="29">
        <v>65950.209999999963</v>
      </c>
      <c r="Q60" s="31">
        <v>0.87480062853615304</v>
      </c>
      <c r="R60" s="39"/>
      <c r="S60" s="128">
        <v>0.21900933820544052</v>
      </c>
      <c r="T60" s="128">
        <v>0.20792649861087995</v>
      </c>
      <c r="U60" s="39"/>
      <c r="V60" s="29"/>
      <c r="W60" s="32">
        <v>9.1522868373981723</v>
      </c>
      <c r="X60" s="30" t="s">
        <v>69</v>
      </c>
      <c r="Y60" s="39"/>
      <c r="Z60" s="62"/>
      <c r="AA60" s="27">
        <v>16843.589743589746</v>
      </c>
      <c r="AB60" s="27">
        <v>11721.569999999974</v>
      </c>
      <c r="AC60" s="39"/>
      <c r="AD60" s="29">
        <v>3682.7692307692309</v>
      </c>
      <c r="AE60" s="29">
        <v>2331.4999999999995</v>
      </c>
      <c r="AF60" s="31">
        <v>0.6330833820703482</v>
      </c>
      <c r="AG60" s="39"/>
      <c r="AH60" s="29">
        <v>3232.1972222222203</v>
      </c>
      <c r="AI60" s="29">
        <v>94398.007777777733</v>
      </c>
      <c r="AJ60" s="31">
        <v>0.87499543748635322</v>
      </c>
      <c r="AK60" s="39"/>
      <c r="AL60" s="80">
        <v>0.21900933820544052</v>
      </c>
      <c r="AM60" s="80">
        <v>0.19890680173389783</v>
      </c>
      <c r="AN60" s="39"/>
      <c r="AO60" s="32">
        <v>0</v>
      </c>
      <c r="AP60" s="31">
        <v>0</v>
      </c>
      <c r="AQ60" s="10"/>
      <c r="AR60" s="10"/>
    </row>
    <row r="61" spans="1:44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4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212060.65000000023</v>
      </c>
      <c r="F62" s="123">
        <v>0.19635245370370391</v>
      </c>
      <c r="G62" s="7"/>
      <c r="H62" s="35">
        <v>1080000</v>
      </c>
      <c r="I62" s="35">
        <v>747692.30769230775</v>
      </c>
      <c r="J62" s="35">
        <v>727383.46999999508</v>
      </c>
      <c r="K62" s="70">
        <v>0.97283797427982877</v>
      </c>
      <c r="L62" s="36"/>
      <c r="M62" s="35">
        <v>43200</v>
      </c>
      <c r="N62" s="35">
        <v>29907.692307692305</v>
      </c>
      <c r="O62" s="37">
        <v>0</v>
      </c>
      <c r="P62" s="35">
        <v>42035.867600000005</v>
      </c>
      <c r="Q62" s="115">
        <v>1.4055202644032925</v>
      </c>
      <c r="R62" s="36"/>
      <c r="S62" s="127">
        <v>0.04</v>
      </c>
      <c r="T62" s="127">
        <v>5.779051811556879E-2</v>
      </c>
      <c r="U62" s="36"/>
      <c r="V62" s="35"/>
      <c r="W62" s="38">
        <v>-7.8375031535988011</v>
      </c>
      <c r="X62" s="69" t="s">
        <v>69</v>
      </c>
      <c r="Y62" s="36"/>
      <c r="Z62" s="62"/>
      <c r="AA62" s="33">
        <v>41538.461538461539</v>
      </c>
      <c r="AB62" s="33">
        <v>40646.399999999994</v>
      </c>
      <c r="AC62" s="36"/>
      <c r="AD62" s="35">
        <v>1661.5384615384614</v>
      </c>
      <c r="AE62" s="35">
        <v>2925.5264999999995</v>
      </c>
      <c r="AF62" s="115">
        <v>1.7607335416666665</v>
      </c>
      <c r="AG62" s="36"/>
      <c r="AH62" s="35">
        <v>2335.325977777778</v>
      </c>
      <c r="AI62" s="35">
        <v>60718.475422222225</v>
      </c>
      <c r="AJ62" s="115">
        <v>1.4055202644032923</v>
      </c>
      <c r="AK62" s="36"/>
      <c r="AL62" s="108">
        <v>0.04</v>
      </c>
      <c r="AM62" s="108">
        <v>7.1975045760510156E-2</v>
      </c>
      <c r="AN62" s="36"/>
      <c r="AO62" s="38">
        <v>-6.4103672157927907</v>
      </c>
      <c r="AP62" s="70">
        <v>0</v>
      </c>
    </row>
    <row r="63" spans="1:44" ht="12.75" customHeight="1" x14ac:dyDescent="0.3">
      <c r="A63" s="7" t="s">
        <v>22</v>
      </c>
      <c r="B63" s="211"/>
      <c r="C63" s="6" t="s">
        <v>9</v>
      </c>
      <c r="D63" s="34"/>
      <c r="E63" s="33">
        <v>249594.38999999984</v>
      </c>
      <c r="F63" s="123">
        <v>0.34191012328767101</v>
      </c>
      <c r="G63" s="7"/>
      <c r="H63" s="35">
        <v>730000</v>
      </c>
      <c r="I63" s="35">
        <v>511000</v>
      </c>
      <c r="J63" s="35">
        <v>454065.98999998841</v>
      </c>
      <c r="K63" s="70">
        <v>0.88858315068490878</v>
      </c>
      <c r="L63" s="36"/>
      <c r="M63" s="35">
        <v>65700</v>
      </c>
      <c r="N63" s="35">
        <v>45990</v>
      </c>
      <c r="O63" s="37">
        <v>0</v>
      </c>
      <c r="P63" s="35">
        <v>39379.930000000139</v>
      </c>
      <c r="Q63" s="115">
        <v>0.85627158077843313</v>
      </c>
      <c r="R63" s="36"/>
      <c r="S63" s="127">
        <v>0.09</v>
      </c>
      <c r="T63" s="127">
        <v>8.6727327893465753E-2</v>
      </c>
      <c r="U63" s="36"/>
      <c r="V63" s="35"/>
      <c r="W63" s="38">
        <v>-3.4252950766057721</v>
      </c>
      <c r="X63" s="69" t="s">
        <v>69</v>
      </c>
      <c r="Y63" s="36"/>
      <c r="Z63" s="62"/>
      <c r="AA63" s="33">
        <v>24333.333333333332</v>
      </c>
      <c r="AB63" s="33">
        <v>13456.89999999998</v>
      </c>
      <c r="AC63" s="36"/>
      <c r="AD63" s="35">
        <v>2190</v>
      </c>
      <c r="AE63" s="35">
        <v>1500.0600000000011</v>
      </c>
      <c r="AF63" s="115">
        <v>0.68495890410958948</v>
      </c>
      <c r="AG63" s="36"/>
      <c r="AH63" s="35">
        <v>1875.2347619047684</v>
      </c>
      <c r="AI63" s="35">
        <v>56257.042857143053</v>
      </c>
      <c r="AJ63" s="115">
        <v>0.85627158077843313</v>
      </c>
      <c r="AK63" s="36"/>
      <c r="AL63" s="108">
        <v>0.09</v>
      </c>
      <c r="AM63" s="108">
        <v>0.11147143844421846</v>
      </c>
      <c r="AN63" s="36"/>
      <c r="AO63" s="38">
        <v>-0.419115843916745</v>
      </c>
      <c r="AP63" s="70">
        <v>0</v>
      </c>
    </row>
    <row r="64" spans="1:44" ht="12.75" customHeight="1" x14ac:dyDescent="0.3">
      <c r="A64" s="7" t="s">
        <v>22</v>
      </c>
      <c r="B64" s="211"/>
      <c r="C64" s="6" t="s">
        <v>10</v>
      </c>
      <c r="D64" s="34"/>
      <c r="E64" s="33">
        <v>316366.82999999978</v>
      </c>
      <c r="F64" s="123">
        <v>0.41627214473684182</v>
      </c>
      <c r="G64" s="7"/>
      <c r="H64" s="35">
        <v>760000</v>
      </c>
      <c r="I64" s="35">
        <v>532000</v>
      </c>
      <c r="J64" s="35">
        <v>489108.2399999866</v>
      </c>
      <c r="K64" s="70">
        <v>0.91937639097741841</v>
      </c>
      <c r="L64" s="36"/>
      <c r="M64" s="35">
        <v>75240</v>
      </c>
      <c r="N64" s="35">
        <v>52668</v>
      </c>
      <c r="O64" s="37">
        <v>0</v>
      </c>
      <c r="P64" s="35">
        <v>59971.305450000131</v>
      </c>
      <c r="Q64" s="115">
        <v>1.1386668460925065</v>
      </c>
      <c r="R64" s="36"/>
      <c r="S64" s="127">
        <v>9.9000000000000005E-2</v>
      </c>
      <c r="T64" s="127">
        <v>0.12261356596650626</v>
      </c>
      <c r="U64" s="36"/>
      <c r="V64" s="35"/>
      <c r="W64" s="38">
        <v>0.1880147122420418</v>
      </c>
      <c r="X64" s="69" t="s">
        <v>69</v>
      </c>
      <c r="Y64" s="36"/>
      <c r="Z64" s="62"/>
      <c r="AA64" s="33">
        <v>25333.333333333332</v>
      </c>
      <c r="AB64" s="33">
        <v>17319.839999999964</v>
      </c>
      <c r="AC64" s="36"/>
      <c r="AD64" s="35">
        <v>2508</v>
      </c>
      <c r="AE64" s="35">
        <v>1885.7576500000009</v>
      </c>
      <c r="AF64" s="115">
        <v>0.7518969896331742</v>
      </c>
      <c r="AG64" s="36"/>
      <c r="AH64" s="35">
        <v>2855.7764500000062</v>
      </c>
      <c r="AI64" s="35">
        <v>85673.293500000189</v>
      </c>
      <c r="AJ64" s="115">
        <v>1.1386668460925065</v>
      </c>
      <c r="AK64" s="36"/>
      <c r="AL64" s="108">
        <v>9.9000000000000005E-2</v>
      </c>
      <c r="AM64" s="108">
        <v>0.10887846827684348</v>
      </c>
      <c r="AN64" s="36"/>
      <c r="AO64" s="38">
        <v>-1.1554514937783704</v>
      </c>
      <c r="AP64" s="70">
        <v>0</v>
      </c>
    </row>
    <row r="65" spans="1:44" ht="12.75" customHeight="1" x14ac:dyDescent="0.3">
      <c r="A65" s="7" t="s">
        <v>22</v>
      </c>
      <c r="B65" s="211"/>
      <c r="C65" s="6" t="s">
        <v>12</v>
      </c>
      <c r="D65" s="34"/>
      <c r="E65" s="33">
        <v>64199.820000000007</v>
      </c>
      <c r="F65" s="123">
        <v>9.4134633431085052E-2</v>
      </c>
      <c r="G65" s="7"/>
      <c r="H65" s="35">
        <v>682000</v>
      </c>
      <c r="I65" s="35">
        <v>472153.84615384613</v>
      </c>
      <c r="J65" s="35">
        <v>415186.73999999918</v>
      </c>
      <c r="K65" s="70">
        <v>0.8793463049853355</v>
      </c>
      <c r="L65" s="36"/>
      <c r="M65" s="35">
        <v>64829.717876106268</v>
      </c>
      <c r="N65" s="35">
        <v>44882.112375765879</v>
      </c>
      <c r="O65" s="37">
        <v>7207.25</v>
      </c>
      <c r="P65" s="35">
        <v>44884.489999999991</v>
      </c>
      <c r="Q65" s="115">
        <v>1.0000529748736915</v>
      </c>
      <c r="R65" s="36"/>
      <c r="S65" s="127">
        <v>9.5058237354994524E-2</v>
      </c>
      <c r="T65" s="127">
        <v>0.10810675215687303</v>
      </c>
      <c r="U65" s="36"/>
      <c r="V65" s="35"/>
      <c r="W65" s="38">
        <v>-4.8215773943072016</v>
      </c>
      <c r="X65" s="69" t="s">
        <v>69</v>
      </c>
      <c r="Y65" s="36"/>
      <c r="Z65" s="62"/>
      <c r="AA65" s="33">
        <v>26230.76923076923</v>
      </c>
      <c r="AB65" s="33">
        <v>73759.899999999994</v>
      </c>
      <c r="AC65" s="36"/>
      <c r="AD65" s="35">
        <v>2493.4506875425486</v>
      </c>
      <c r="AE65" s="35">
        <v>9349.69</v>
      </c>
      <c r="AF65" s="115">
        <v>3.7496991806221378</v>
      </c>
      <c r="AG65" s="36"/>
      <c r="AH65" s="35">
        <v>2493.5827777777772</v>
      </c>
      <c r="AI65" s="35">
        <v>64833.152222222205</v>
      </c>
      <c r="AJ65" s="115">
        <v>1.0000529748736915</v>
      </c>
      <c r="AK65" s="36"/>
      <c r="AL65" s="108">
        <v>9.5058237354994524E-2</v>
      </c>
      <c r="AM65" s="108">
        <v>0.12675844191762733</v>
      </c>
      <c r="AN65" s="36"/>
      <c r="AO65" s="38">
        <v>-1.4170165632003331</v>
      </c>
      <c r="AP65" s="70">
        <v>0</v>
      </c>
    </row>
    <row r="66" spans="1:44" s="15" customFormat="1" ht="14.25" customHeight="1" x14ac:dyDescent="0.3">
      <c r="A66" s="26"/>
      <c r="B66" s="211"/>
      <c r="C66" s="9" t="s">
        <v>56</v>
      </c>
      <c r="D66" s="28"/>
      <c r="E66" s="27">
        <v>842221.69</v>
      </c>
      <c r="F66" s="124">
        <v>0.25898575953259528</v>
      </c>
      <c r="G66" s="26"/>
      <c r="H66" s="29">
        <v>3252000</v>
      </c>
      <c r="I66" s="29">
        <v>2262846.153846154</v>
      </c>
      <c r="J66" s="29">
        <v>2085744.4399999692</v>
      </c>
      <c r="K66" s="31">
        <v>0.92173497365467583</v>
      </c>
      <c r="L66" s="39"/>
      <c r="M66" s="29">
        <v>248969.71787610627</v>
      </c>
      <c r="N66" s="29">
        <v>173447.80468345818</v>
      </c>
      <c r="O66" s="27">
        <v>7207.25</v>
      </c>
      <c r="P66" s="29">
        <v>186271.59305000026</v>
      </c>
      <c r="Q66" s="31">
        <v>1.0739345671739431</v>
      </c>
      <c r="R66" s="39"/>
      <c r="S66" s="128">
        <v>7.655895383644104E-2</v>
      </c>
      <c r="T66" s="128">
        <v>8.9307006878562273E-2</v>
      </c>
      <c r="U66" s="39"/>
      <c r="V66" s="29"/>
      <c r="W66" s="32">
        <v>-4.3946302908534234</v>
      </c>
      <c r="X66" s="30" t="s">
        <v>69</v>
      </c>
      <c r="Y66" s="39"/>
      <c r="Z66" s="62"/>
      <c r="AA66" s="27">
        <v>117435.89743589744</v>
      </c>
      <c r="AB66" s="27">
        <v>145183.03999999992</v>
      </c>
      <c r="AC66" s="39"/>
      <c r="AD66" s="29">
        <v>8852.9891490810096</v>
      </c>
      <c r="AE66" s="29">
        <v>15661.034150000001</v>
      </c>
      <c r="AF66" s="31">
        <v>1.76901088279609</v>
      </c>
      <c r="AG66" s="39"/>
      <c r="AH66" s="29">
        <v>9559.9199674603296</v>
      </c>
      <c r="AI66" s="29">
        <v>267481.96400158765</v>
      </c>
      <c r="AJ66" s="31">
        <v>1.0743554127120534</v>
      </c>
      <c r="AK66" s="39"/>
      <c r="AL66" s="80">
        <v>7.655895383644104E-2</v>
      </c>
      <c r="AM66" s="80">
        <v>0.10787096171839362</v>
      </c>
      <c r="AN66" s="39"/>
      <c r="AO66" s="32">
        <v>0</v>
      </c>
      <c r="AP66" s="31">
        <v>0</v>
      </c>
      <c r="AQ66" s="10"/>
      <c r="AR66" s="10"/>
    </row>
    <row r="67" spans="1:44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4" ht="12.75" customHeight="1" x14ac:dyDescent="0.3">
      <c r="A68" s="7" t="s">
        <v>23</v>
      </c>
      <c r="B68" s="213" t="s">
        <v>76</v>
      </c>
      <c r="C68" s="6" t="s">
        <v>8</v>
      </c>
      <c r="D68" s="34"/>
      <c r="E68" s="33">
        <v>291459.87000000023</v>
      </c>
      <c r="F68" s="123">
        <v>4.5540604687500039</v>
      </c>
      <c r="G68" s="7"/>
      <c r="H68" s="35">
        <v>64000</v>
      </c>
      <c r="I68" s="35">
        <v>44307.692307692305</v>
      </c>
      <c r="J68" s="35">
        <v>44740.340000000615</v>
      </c>
      <c r="K68" s="70">
        <v>1.0097646180555695</v>
      </c>
      <c r="L68" s="36"/>
      <c r="M68" s="35">
        <v>12928</v>
      </c>
      <c r="N68" s="35">
        <v>8950.1538461538457</v>
      </c>
      <c r="O68" s="37">
        <v>0</v>
      </c>
      <c r="P68" s="35">
        <v>9196.5800000000199</v>
      </c>
      <c r="Q68" s="115">
        <v>1.0275331751925216</v>
      </c>
      <c r="R68" s="36"/>
      <c r="S68" s="127">
        <v>0.20200000000000001</v>
      </c>
      <c r="T68" s="127">
        <v>0.20555453981797844</v>
      </c>
      <c r="U68" s="36"/>
      <c r="V68" s="35"/>
      <c r="W68" s="38">
        <v>8.8657573903114493</v>
      </c>
      <c r="X68" s="69" t="s">
        <v>69</v>
      </c>
      <c r="Y68" s="36"/>
      <c r="Z68" s="62"/>
      <c r="AA68" s="33">
        <v>2461.5384615384614</v>
      </c>
      <c r="AB68" s="33">
        <v>1650.7199999999998</v>
      </c>
      <c r="AC68" s="36"/>
      <c r="AD68" s="35">
        <v>497.23076923076923</v>
      </c>
      <c r="AE68" s="35">
        <v>350.69</v>
      </c>
      <c r="AF68" s="115">
        <v>0.70528620049504953</v>
      </c>
      <c r="AG68" s="36"/>
      <c r="AH68" s="35">
        <v>510.92111111111222</v>
      </c>
      <c r="AI68" s="35">
        <v>13283.948888888917</v>
      </c>
      <c r="AJ68" s="115">
        <v>1.0275331751925214</v>
      </c>
      <c r="AK68" s="36"/>
      <c r="AL68" s="108">
        <v>0.20200000000000001</v>
      </c>
      <c r="AM68" s="108">
        <v>0.21244668992924301</v>
      </c>
      <c r="AN68" s="36"/>
      <c r="AO68" s="38">
        <v>8.7331588640108482</v>
      </c>
      <c r="AP68" s="70">
        <v>0</v>
      </c>
    </row>
    <row r="69" spans="1:44" ht="12.75" customHeight="1" x14ac:dyDescent="0.3">
      <c r="A69" s="7" t="s">
        <v>23</v>
      </c>
      <c r="B69" s="211"/>
      <c r="C69" s="6" t="s">
        <v>9</v>
      </c>
      <c r="D69" s="34"/>
      <c r="E69" s="33">
        <v>332311.77999999991</v>
      </c>
      <c r="F69" s="123">
        <v>2.3238586013986007</v>
      </c>
      <c r="G69" s="7"/>
      <c r="H69" s="35">
        <v>143000</v>
      </c>
      <c r="I69" s="35">
        <v>100100</v>
      </c>
      <c r="J69" s="35">
        <v>93527.960000002073</v>
      </c>
      <c r="K69" s="70">
        <v>0.93434525474527541</v>
      </c>
      <c r="L69" s="36"/>
      <c r="M69" s="35">
        <v>34694.736930389947</v>
      </c>
      <c r="N69" s="35">
        <v>24286.315851272964</v>
      </c>
      <c r="O69" s="37">
        <v>824</v>
      </c>
      <c r="P69" s="35">
        <v>21665.980000000043</v>
      </c>
      <c r="Q69" s="115">
        <v>0.89210649044838242</v>
      </c>
      <c r="R69" s="36"/>
      <c r="S69" s="127">
        <v>0.24262053797475489</v>
      </c>
      <c r="T69" s="127">
        <v>0.23165243847935488</v>
      </c>
      <c r="U69" s="36"/>
      <c r="V69" s="35"/>
      <c r="W69" s="38">
        <v>10.480117389497533</v>
      </c>
      <c r="X69" s="69" t="s">
        <v>69</v>
      </c>
      <c r="Y69" s="36"/>
      <c r="Z69" s="62"/>
      <c r="AA69" s="33">
        <v>4766.666666666667</v>
      </c>
      <c r="AB69" s="33">
        <v>4420.0899999999911</v>
      </c>
      <c r="AC69" s="36"/>
      <c r="AD69" s="35">
        <v>1156.4912310129982</v>
      </c>
      <c r="AE69" s="35">
        <v>997.87000000000012</v>
      </c>
      <c r="AF69" s="115">
        <v>0.8628426859111954</v>
      </c>
      <c r="AG69" s="36"/>
      <c r="AH69" s="35">
        <v>1031.7133333333354</v>
      </c>
      <c r="AI69" s="35">
        <v>30951.400000000063</v>
      </c>
      <c r="AJ69" s="115">
        <v>0.89210649044838253</v>
      </c>
      <c r="AK69" s="36"/>
      <c r="AL69" s="108">
        <v>0.24262053797475489</v>
      </c>
      <c r="AM69" s="108">
        <v>0.22575784655968592</v>
      </c>
      <c r="AN69" s="36"/>
      <c r="AO69" s="38">
        <v>10.478519668151376</v>
      </c>
      <c r="AP69" s="70">
        <v>0</v>
      </c>
    </row>
    <row r="70" spans="1:44" ht="12.75" customHeight="1" x14ac:dyDescent="0.3">
      <c r="A70" s="7" t="s">
        <v>23</v>
      </c>
      <c r="B70" s="211"/>
      <c r="C70" s="6" t="s">
        <v>10</v>
      </c>
      <c r="D70" s="34"/>
      <c r="E70" s="33">
        <v>548442.11000000068</v>
      </c>
      <c r="F70" s="123">
        <v>2.8865374210526351</v>
      </c>
      <c r="G70" s="7"/>
      <c r="H70" s="35">
        <v>190000</v>
      </c>
      <c r="I70" s="35">
        <v>133000</v>
      </c>
      <c r="J70" s="35">
        <v>133548.45000000545</v>
      </c>
      <c r="K70" s="70">
        <v>1.0041236842105674</v>
      </c>
      <c r="L70" s="36"/>
      <c r="M70" s="35">
        <v>45410</v>
      </c>
      <c r="N70" s="35">
        <v>31787</v>
      </c>
      <c r="O70" s="37">
        <v>715.03</v>
      </c>
      <c r="P70" s="35">
        <v>29364.29000000015</v>
      </c>
      <c r="Q70" s="115">
        <v>0.92378299304747691</v>
      </c>
      <c r="R70" s="36"/>
      <c r="S70" s="127">
        <v>0.23899999999999999</v>
      </c>
      <c r="T70" s="127">
        <v>0.21987743025096099</v>
      </c>
      <c r="U70" s="36"/>
      <c r="V70" s="35"/>
      <c r="W70" s="38">
        <v>9.719656049923362</v>
      </c>
      <c r="X70" s="69" t="s">
        <v>69</v>
      </c>
      <c r="Y70" s="36"/>
      <c r="Z70" s="62"/>
      <c r="AA70" s="33">
        <v>6333.333333333333</v>
      </c>
      <c r="AB70" s="33">
        <v>4080.5999999999963</v>
      </c>
      <c r="AC70" s="36"/>
      <c r="AD70" s="35">
        <v>1513.6666666666667</v>
      </c>
      <c r="AE70" s="35">
        <v>835.33</v>
      </c>
      <c r="AF70" s="115">
        <v>0.55185862144902009</v>
      </c>
      <c r="AG70" s="36"/>
      <c r="AH70" s="35">
        <v>1398.2995238095309</v>
      </c>
      <c r="AI70" s="35">
        <v>41948.985714285925</v>
      </c>
      <c r="AJ70" s="115">
        <v>0.92378299304747691</v>
      </c>
      <c r="AK70" s="36"/>
      <c r="AL70" s="108">
        <v>0.23899999999999999</v>
      </c>
      <c r="AM70" s="108">
        <v>0.20470764103318159</v>
      </c>
      <c r="AN70" s="36"/>
      <c r="AO70" s="38">
        <v>8.7788560505806608</v>
      </c>
      <c r="AP70" s="70">
        <v>0</v>
      </c>
    </row>
    <row r="71" spans="1:44" ht="12.75" customHeight="1" x14ac:dyDescent="0.3">
      <c r="A71" s="7" t="s">
        <v>23</v>
      </c>
      <c r="B71" s="211"/>
      <c r="C71" s="6" t="s">
        <v>12</v>
      </c>
      <c r="D71" s="34"/>
      <c r="E71" s="33">
        <v>23912.230000000007</v>
      </c>
      <c r="F71" s="123">
        <v>6.832065714285716</v>
      </c>
      <c r="G71" s="7"/>
      <c r="H71" s="35">
        <v>3500</v>
      </c>
      <c r="I71" s="35">
        <v>2423.0769230769229</v>
      </c>
      <c r="J71" s="35">
        <v>2979.6599999999967</v>
      </c>
      <c r="K71" s="70">
        <v>1.229700952380951</v>
      </c>
      <c r="L71" s="36"/>
      <c r="M71" s="35">
        <v>840</v>
      </c>
      <c r="N71" s="35">
        <v>581.53846153846155</v>
      </c>
      <c r="O71" s="37">
        <v>463.57</v>
      </c>
      <c r="P71" s="35">
        <v>1232.5799999999995</v>
      </c>
      <c r="Q71" s="115">
        <v>2.1195158730158723</v>
      </c>
      <c r="R71" s="36"/>
      <c r="S71" s="127">
        <v>0.24</v>
      </c>
      <c r="T71" s="127">
        <v>0.41366464630192734</v>
      </c>
      <c r="U71" s="36"/>
      <c r="V71" s="35"/>
      <c r="W71" s="38">
        <v>12.293348905579714</v>
      </c>
      <c r="X71" s="69" t="s">
        <v>69</v>
      </c>
      <c r="Y71" s="36"/>
      <c r="Z71" s="62"/>
      <c r="AA71" s="33">
        <v>134.61538461538461</v>
      </c>
      <c r="AB71" s="33">
        <v>544.9</v>
      </c>
      <c r="AC71" s="36"/>
      <c r="AD71" s="35">
        <v>32.307692307692307</v>
      </c>
      <c r="AE71" s="35">
        <v>112.10000000000002</v>
      </c>
      <c r="AF71" s="115">
        <v>3.4697619047619055</v>
      </c>
      <c r="AG71" s="36"/>
      <c r="AH71" s="35">
        <v>68.476666666666631</v>
      </c>
      <c r="AI71" s="35">
        <v>1780.3933333333325</v>
      </c>
      <c r="AJ71" s="115">
        <v>2.1195158730158719</v>
      </c>
      <c r="AK71" s="36"/>
      <c r="AL71" s="108">
        <v>0.24</v>
      </c>
      <c r="AM71" s="108">
        <v>0.20572582125160585</v>
      </c>
      <c r="AN71" s="36"/>
      <c r="AO71" s="38">
        <v>6.8177647274729374</v>
      </c>
      <c r="AP71" s="70">
        <v>0</v>
      </c>
    </row>
    <row r="72" spans="1:44" s="15" customFormat="1" ht="14.25" customHeight="1" x14ac:dyDescent="0.3">
      <c r="A72" s="26"/>
      <c r="B72" s="211"/>
      <c r="C72" s="9" t="s">
        <v>79</v>
      </c>
      <c r="D72" s="28"/>
      <c r="E72" s="27">
        <v>1196125.9900000007</v>
      </c>
      <c r="F72" s="124">
        <v>2.9865817478152326</v>
      </c>
      <c r="G72" s="26"/>
      <c r="H72" s="29">
        <v>400500</v>
      </c>
      <c r="I72" s="29">
        <v>279830.76923076925</v>
      </c>
      <c r="J72" s="29">
        <v>274796.41000000812</v>
      </c>
      <c r="K72" s="31">
        <v>0.9820092720875544</v>
      </c>
      <c r="L72" s="39"/>
      <c r="M72" s="29">
        <v>93872.736930389947</v>
      </c>
      <c r="N72" s="29">
        <v>65605.008158965269</v>
      </c>
      <c r="O72" s="27">
        <v>2002.6</v>
      </c>
      <c r="P72" s="29">
        <v>61459.430000000211</v>
      </c>
      <c r="Q72" s="31">
        <v>0.9368100351589006</v>
      </c>
      <c r="R72" s="39"/>
      <c r="S72" s="128">
        <v>0.23438885625565531</v>
      </c>
      <c r="T72" s="128">
        <v>0.22365441382585163</v>
      </c>
      <c r="U72" s="39"/>
      <c r="V72" s="29"/>
      <c r="W72" s="32">
        <v>9.8673632599518442</v>
      </c>
      <c r="X72" s="30" t="s">
        <v>69</v>
      </c>
      <c r="Y72" s="39"/>
      <c r="Z72" s="62"/>
      <c r="AA72" s="27">
        <v>13696.153846153846</v>
      </c>
      <c r="AB72" s="27">
        <v>10696.309999999987</v>
      </c>
      <c r="AC72" s="39"/>
      <c r="AD72" s="29">
        <v>3199.6963592181264</v>
      </c>
      <c r="AE72" s="29">
        <v>2295.9900000000002</v>
      </c>
      <c r="AF72" s="31">
        <v>0.71756496312076479</v>
      </c>
      <c r="AG72" s="39"/>
      <c r="AH72" s="29">
        <v>3009.410634920645</v>
      </c>
      <c r="AI72" s="29">
        <v>87964.727936508236</v>
      </c>
      <c r="AJ72" s="31">
        <v>0.93706363330747755</v>
      </c>
      <c r="AK72" s="39"/>
      <c r="AL72" s="80">
        <v>0.23438885625565531</v>
      </c>
      <c r="AM72" s="80">
        <v>0.21465252970416929</v>
      </c>
      <c r="AN72" s="39"/>
      <c r="AO72" s="32">
        <v>0</v>
      </c>
      <c r="AP72" s="31">
        <v>0</v>
      </c>
      <c r="AQ72" s="10"/>
      <c r="AR72" s="10"/>
    </row>
    <row r="73" spans="1:44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4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41453.429999999993</v>
      </c>
      <c r="F74" s="123">
        <v>0.62808227272727257</v>
      </c>
      <c r="G74" s="7"/>
      <c r="H74" s="35">
        <v>66000</v>
      </c>
      <c r="I74" s="35">
        <v>45692.307692307695</v>
      </c>
      <c r="J74" s="35">
        <v>49240.850000000341</v>
      </c>
      <c r="K74" s="70">
        <v>1.0776617003367077</v>
      </c>
      <c r="L74" s="36"/>
      <c r="M74" s="35">
        <v>11550</v>
      </c>
      <c r="N74" s="35">
        <v>7996.1538461538457</v>
      </c>
      <c r="O74" s="37">
        <v>182.85999999999999</v>
      </c>
      <c r="P74" s="35">
        <v>6574.9299999999939</v>
      </c>
      <c r="Q74" s="115">
        <v>0.82226156806156736</v>
      </c>
      <c r="R74" s="36"/>
      <c r="S74" s="127">
        <v>0.17499999999999999</v>
      </c>
      <c r="T74" s="127">
        <v>0.13352592410569575</v>
      </c>
      <c r="U74" s="36"/>
      <c r="V74" s="35"/>
      <c r="W74" s="38">
        <v>2.0949475892481511</v>
      </c>
      <c r="X74" s="69" t="s">
        <v>69</v>
      </c>
      <c r="Y74" s="36"/>
      <c r="Z74" s="62"/>
      <c r="AA74" s="33">
        <v>2538.4615384615386</v>
      </c>
      <c r="AB74" s="33">
        <v>2165.0599999999995</v>
      </c>
      <c r="AC74" s="36"/>
      <c r="AD74" s="35">
        <v>444.23076923076923</v>
      </c>
      <c r="AE74" s="35">
        <v>475.21000000000004</v>
      </c>
      <c r="AF74" s="115">
        <v>1.0697367965367965</v>
      </c>
      <c r="AG74" s="36"/>
      <c r="AH74" s="35">
        <v>365.27388888888856</v>
      </c>
      <c r="AI74" s="35">
        <v>9497.1211111111024</v>
      </c>
      <c r="AJ74" s="115">
        <v>0.82226156806156736</v>
      </c>
      <c r="AK74" s="36"/>
      <c r="AL74" s="108">
        <v>0.17499999999999999</v>
      </c>
      <c r="AM74" s="108">
        <v>0.21949045292047339</v>
      </c>
      <c r="AN74" s="36"/>
      <c r="AO74" s="38">
        <v>10.774297248113198</v>
      </c>
      <c r="AP74" s="70">
        <v>0</v>
      </c>
    </row>
    <row r="75" spans="1:44" ht="12.5" customHeight="1" x14ac:dyDescent="0.3">
      <c r="A75" s="7" t="s">
        <v>68</v>
      </c>
      <c r="B75" s="211"/>
      <c r="C75" s="6" t="s">
        <v>9</v>
      </c>
      <c r="D75" s="34"/>
      <c r="E75" s="33">
        <v>100943.98000000001</v>
      </c>
      <c r="F75" s="123">
        <v>0.65976457516339881</v>
      </c>
      <c r="G75" s="7"/>
      <c r="H75" s="35">
        <v>153000</v>
      </c>
      <c r="I75" s="35">
        <v>107100</v>
      </c>
      <c r="J75" s="35">
        <v>115197.6400000055</v>
      </c>
      <c r="K75" s="70">
        <v>1.0756082166200327</v>
      </c>
      <c r="L75" s="36"/>
      <c r="M75" s="35">
        <v>30083.290842020251</v>
      </c>
      <c r="N75" s="35">
        <v>21058.303589414176</v>
      </c>
      <c r="O75" s="37">
        <v>1600.1399999999999</v>
      </c>
      <c r="P75" s="35">
        <v>18802.760000000068</v>
      </c>
      <c r="Q75" s="115">
        <v>0.89289053698760668</v>
      </c>
      <c r="R75" s="36"/>
      <c r="S75" s="127">
        <v>0.19662281596091669</v>
      </c>
      <c r="T75" s="127">
        <v>0.16322174655660629</v>
      </c>
      <c r="U75" s="36"/>
      <c r="V75" s="35"/>
      <c r="W75" s="38">
        <v>4.5624372166006104</v>
      </c>
      <c r="X75" s="69" t="s">
        <v>69</v>
      </c>
      <c r="Y75" s="36"/>
      <c r="Z75" s="62"/>
      <c r="AA75" s="33">
        <v>5100</v>
      </c>
      <c r="AB75" s="33">
        <v>5027.0999999999876</v>
      </c>
      <c r="AC75" s="36"/>
      <c r="AD75" s="35">
        <v>1002.776361400675</v>
      </c>
      <c r="AE75" s="35">
        <v>924.93000000000029</v>
      </c>
      <c r="AF75" s="115">
        <v>0.92236916983968475</v>
      </c>
      <c r="AG75" s="36"/>
      <c r="AH75" s="35">
        <v>895.36952380952698</v>
      </c>
      <c r="AI75" s="35">
        <v>26861.085714285808</v>
      </c>
      <c r="AJ75" s="115">
        <v>0.89289053698760656</v>
      </c>
      <c r="AK75" s="36"/>
      <c r="AL75" s="108">
        <v>0.19662281596091669</v>
      </c>
      <c r="AM75" s="108">
        <v>0.18398878080802103</v>
      </c>
      <c r="AN75" s="36"/>
      <c r="AO75" s="38">
        <v>7.852638698255225</v>
      </c>
      <c r="AP75" s="70">
        <v>0</v>
      </c>
    </row>
    <row r="76" spans="1:44" ht="12.75" customHeight="1" x14ac:dyDescent="0.3">
      <c r="A76" s="7" t="s">
        <v>68</v>
      </c>
      <c r="B76" s="211"/>
      <c r="C76" s="6" t="s">
        <v>10</v>
      </c>
      <c r="D76" s="34"/>
      <c r="E76" s="33">
        <v>134191.59000000029</v>
      </c>
      <c r="F76" s="123">
        <v>0.5885596052631592</v>
      </c>
      <c r="G76" s="7"/>
      <c r="H76" s="35">
        <v>228000</v>
      </c>
      <c r="I76" s="35">
        <v>159600</v>
      </c>
      <c r="J76" s="35">
        <v>167338.54000000094</v>
      </c>
      <c r="K76" s="70">
        <v>1.0484870927318355</v>
      </c>
      <c r="L76" s="36"/>
      <c r="M76" s="35">
        <v>39900</v>
      </c>
      <c r="N76" s="35">
        <v>27930</v>
      </c>
      <c r="O76" s="37">
        <v>1049.3700000000001</v>
      </c>
      <c r="P76" s="35">
        <v>25535.350000000104</v>
      </c>
      <c r="Q76" s="115">
        <v>0.91426244181883654</v>
      </c>
      <c r="R76" s="36"/>
      <c r="S76" s="127">
        <v>0.17499999999999999</v>
      </c>
      <c r="T76" s="127">
        <v>0.15259694509107083</v>
      </c>
      <c r="U76" s="36"/>
      <c r="V76" s="35"/>
      <c r="W76" s="38">
        <v>4.4277247787636398</v>
      </c>
      <c r="X76" s="69" t="s">
        <v>69</v>
      </c>
      <c r="Y76" s="36"/>
      <c r="Z76" s="62"/>
      <c r="AA76" s="33">
        <v>7600</v>
      </c>
      <c r="AB76" s="33">
        <v>5893.6499999999733</v>
      </c>
      <c r="AC76" s="36"/>
      <c r="AD76" s="35">
        <v>1330</v>
      </c>
      <c r="AE76" s="35">
        <v>454.62999999999988</v>
      </c>
      <c r="AF76" s="115">
        <v>0.34182706766917287</v>
      </c>
      <c r="AG76" s="36"/>
      <c r="AH76" s="35">
        <v>1215.9690476190526</v>
      </c>
      <c r="AI76" s="35">
        <v>36479.07142857158</v>
      </c>
      <c r="AJ76" s="115">
        <v>0.91426244181883665</v>
      </c>
      <c r="AK76" s="36"/>
      <c r="AL76" s="108">
        <v>0.17499999999999999</v>
      </c>
      <c r="AM76" s="108">
        <v>7.7138954637618787E-2</v>
      </c>
      <c r="AN76" s="36"/>
      <c r="AO76" s="38">
        <v>-2.5376464499932703</v>
      </c>
      <c r="AP76" s="70">
        <v>0</v>
      </c>
    </row>
    <row r="77" spans="1:44" ht="12.75" customHeight="1" x14ac:dyDescent="0.3">
      <c r="A77" s="7" t="s">
        <v>68</v>
      </c>
      <c r="B77" s="211"/>
      <c r="C77" s="6" t="s">
        <v>12</v>
      </c>
      <c r="D77" s="34"/>
      <c r="E77" s="33">
        <v>2663.9700000000003</v>
      </c>
      <c r="F77" s="123">
        <v>0.38056714285714288</v>
      </c>
      <c r="G77" s="7"/>
      <c r="H77" s="35">
        <v>7000</v>
      </c>
      <c r="I77" s="35">
        <v>4846.1538461538457</v>
      </c>
      <c r="J77" s="35">
        <v>8756.4299999999803</v>
      </c>
      <c r="K77" s="70">
        <v>1.8068823809523771</v>
      </c>
      <c r="L77" s="36"/>
      <c r="M77" s="35">
        <v>1104.2494392822834</v>
      </c>
      <c r="N77" s="35">
        <v>764.48038104158081</v>
      </c>
      <c r="O77" s="37">
        <v>700.07</v>
      </c>
      <c r="P77" s="35">
        <v>2008.25</v>
      </c>
      <c r="Q77" s="115">
        <v>2.6269477278982905</v>
      </c>
      <c r="R77" s="36"/>
      <c r="S77" s="127">
        <v>0.15774991989746906</v>
      </c>
      <c r="T77" s="127">
        <v>0.22934574935219085</v>
      </c>
      <c r="U77" s="36"/>
      <c r="V77" s="35"/>
      <c r="W77" s="38">
        <v>3.701965298643175</v>
      </c>
      <c r="X77" s="69" t="s">
        <v>69</v>
      </c>
      <c r="Y77" s="36"/>
      <c r="Z77" s="62"/>
      <c r="AA77" s="33">
        <v>269.23076923076923</v>
      </c>
      <c r="AB77" s="33">
        <v>121.94</v>
      </c>
      <c r="AC77" s="36"/>
      <c r="AD77" s="35">
        <v>42.471132280087822</v>
      </c>
      <c r="AE77" s="35">
        <v>35.49</v>
      </c>
      <c r="AF77" s="115">
        <v>0.83562641480691446</v>
      </c>
      <c r="AG77" s="36"/>
      <c r="AH77" s="35">
        <v>111.56944444444444</v>
      </c>
      <c r="AI77" s="35">
        <v>2900.8055555555557</v>
      </c>
      <c r="AJ77" s="115">
        <v>2.6269477278982905</v>
      </c>
      <c r="AK77" s="36"/>
      <c r="AL77" s="108">
        <v>0.15774991989746906</v>
      </c>
      <c r="AM77" s="108">
        <v>0.29104477611940299</v>
      </c>
      <c r="AN77" s="36"/>
      <c r="AO77" s="38">
        <v>19.066754141381008</v>
      </c>
      <c r="AP77" s="70">
        <v>0</v>
      </c>
    </row>
    <row r="78" spans="1:44" s="15" customFormat="1" ht="14.25" customHeight="1" x14ac:dyDescent="0.3">
      <c r="A78" s="26"/>
      <c r="B78" s="211"/>
      <c r="C78" s="9" t="s">
        <v>80</v>
      </c>
      <c r="D78" s="28"/>
      <c r="E78" s="27">
        <v>279252.97000000026</v>
      </c>
      <c r="F78" s="124">
        <v>0.61509464757709309</v>
      </c>
      <c r="G78" s="26"/>
      <c r="H78" s="29">
        <v>454000</v>
      </c>
      <c r="I78" s="29">
        <v>317238.46153846156</v>
      </c>
      <c r="J78" s="29">
        <v>340533.46000000677</v>
      </c>
      <c r="K78" s="31">
        <v>1.0734305618195699</v>
      </c>
      <c r="L78" s="39"/>
      <c r="M78" s="29">
        <v>82637.540281302528</v>
      </c>
      <c r="N78" s="29">
        <v>57748.937816609607</v>
      </c>
      <c r="O78" s="27">
        <v>3532.44</v>
      </c>
      <c r="P78" s="29">
        <v>52921.290000000168</v>
      </c>
      <c r="Q78" s="31">
        <v>0.91640282922708716</v>
      </c>
      <c r="R78" s="39"/>
      <c r="S78" s="128">
        <v>0.18202101383546812</v>
      </c>
      <c r="T78" s="128">
        <v>0.15540701932784848</v>
      </c>
      <c r="U78" s="39"/>
      <c r="V78" s="29"/>
      <c r="W78" s="32">
        <v>4.1173164011569359</v>
      </c>
      <c r="X78" s="30" t="s">
        <v>69</v>
      </c>
      <c r="Y78" s="39"/>
      <c r="Z78" s="62"/>
      <c r="AA78" s="27">
        <v>15507.692307692309</v>
      </c>
      <c r="AB78" s="27">
        <v>13207.749999999962</v>
      </c>
      <c r="AC78" s="39"/>
      <c r="AD78" s="29">
        <v>2819.4782629115316</v>
      </c>
      <c r="AE78" s="29">
        <v>1890.2600000000002</v>
      </c>
      <c r="AF78" s="31">
        <v>0.67042900272195216</v>
      </c>
      <c r="AG78" s="39"/>
      <c r="AH78" s="29">
        <v>2588.1819047619124</v>
      </c>
      <c r="AI78" s="29">
        <v>75738.083809524047</v>
      </c>
      <c r="AJ78" s="31">
        <v>0.91650941632226268</v>
      </c>
      <c r="AK78" s="39"/>
      <c r="AL78" s="80">
        <v>0.18202101383546812</v>
      </c>
      <c r="AM78" s="80">
        <v>0.14311748783858005</v>
      </c>
      <c r="AN78" s="39"/>
      <c r="AO78" s="32">
        <v>0</v>
      </c>
      <c r="AP78" s="31">
        <v>0</v>
      </c>
      <c r="AQ78" s="10"/>
      <c r="AR78" s="10"/>
    </row>
    <row r="79" spans="1:44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4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589043.34000000032</v>
      </c>
      <c r="F80" s="123">
        <v>2.4543472500000014</v>
      </c>
      <c r="G80" s="7"/>
      <c r="H80" s="35">
        <v>240000</v>
      </c>
      <c r="I80" s="130">
        <v>166153.84615384616</v>
      </c>
      <c r="J80" s="35">
        <v>128015.34000000292</v>
      </c>
      <c r="K80" s="70">
        <v>0.77046269444446203</v>
      </c>
      <c r="L80" s="36"/>
      <c r="M80" s="35">
        <v>26400</v>
      </c>
      <c r="N80" s="35">
        <v>18276.923076923078</v>
      </c>
      <c r="O80" s="37">
        <v>250</v>
      </c>
      <c r="P80" s="130">
        <v>16913.739999999998</v>
      </c>
      <c r="Q80" s="70">
        <v>0.92541506734006718</v>
      </c>
      <c r="R80" s="36"/>
      <c r="S80" s="127">
        <v>0.11</v>
      </c>
      <c r="T80" s="127">
        <v>0.13212275966301859</v>
      </c>
      <c r="U80" s="36"/>
      <c r="V80" s="35"/>
      <c r="W80" s="38">
        <v>3.3822821546255439</v>
      </c>
      <c r="X80" s="69" t="s">
        <v>69</v>
      </c>
      <c r="Y80" s="36"/>
      <c r="Z80" s="62"/>
      <c r="AA80" s="33">
        <v>9230.7692307692305</v>
      </c>
      <c r="AB80" s="33">
        <v>7448.2599999999784</v>
      </c>
      <c r="AC80" s="36"/>
      <c r="AD80" s="35">
        <v>1015.3846153846154</v>
      </c>
      <c r="AE80" s="35">
        <v>987.47000000000025</v>
      </c>
      <c r="AF80" s="115">
        <v>0.97250833333333364</v>
      </c>
      <c r="AG80" s="36"/>
      <c r="AH80" s="35">
        <v>939.65222222222212</v>
      </c>
      <c r="AI80" s="35">
        <v>24430.957777777774</v>
      </c>
      <c r="AJ80" s="115">
        <v>0.92541506734006718</v>
      </c>
      <c r="AK80" s="36"/>
      <c r="AL80" s="108">
        <v>0.11</v>
      </c>
      <c r="AM80" s="108">
        <v>0.13257727308123013</v>
      </c>
      <c r="AN80" s="36"/>
      <c r="AO80" s="38">
        <v>3.1028723487093428</v>
      </c>
      <c r="AP80" s="70">
        <v>0</v>
      </c>
    </row>
    <row r="81" spans="1:44" ht="12.75" customHeight="1" x14ac:dyDescent="0.3">
      <c r="A81" s="7" t="s">
        <v>29</v>
      </c>
      <c r="B81" s="211"/>
      <c r="C81" s="6" t="s">
        <v>9</v>
      </c>
      <c r="D81" s="34"/>
      <c r="E81" s="33">
        <v>476693.16000000009</v>
      </c>
      <c r="F81" s="123">
        <v>1.4020387058823531</v>
      </c>
      <c r="G81" s="7"/>
      <c r="H81" s="35">
        <v>340000</v>
      </c>
      <c r="I81" s="130">
        <v>238000</v>
      </c>
      <c r="J81" s="35">
        <v>195815.8099999938</v>
      </c>
      <c r="K81" s="70">
        <v>0.82275550420165466</v>
      </c>
      <c r="L81" s="36"/>
      <c r="M81" s="35">
        <v>50660</v>
      </c>
      <c r="N81" s="35">
        <v>35462</v>
      </c>
      <c r="O81" s="37">
        <v>0</v>
      </c>
      <c r="P81" s="130">
        <v>29696.290000000252</v>
      </c>
      <c r="Q81" s="70">
        <v>0.83741159551069455</v>
      </c>
      <c r="R81" s="36"/>
      <c r="S81" s="127">
        <v>0.14899999999999999</v>
      </c>
      <c r="T81" s="127">
        <v>0.15165419993411763</v>
      </c>
      <c r="U81" s="36"/>
      <c r="V81" s="35"/>
      <c r="W81" s="38">
        <v>5.2299607472932026</v>
      </c>
      <c r="X81" s="69" t="s">
        <v>69</v>
      </c>
      <c r="Y81" s="36"/>
      <c r="Z81" s="62"/>
      <c r="AA81" s="33">
        <v>11333.333333333334</v>
      </c>
      <c r="AB81" s="33">
        <v>6643.7999999999565</v>
      </c>
      <c r="AC81" s="36"/>
      <c r="AD81" s="35">
        <v>1688.6666666666667</v>
      </c>
      <c r="AE81" s="35">
        <v>907.53000000000111</v>
      </c>
      <c r="AF81" s="115">
        <v>0.53742400315831096</v>
      </c>
      <c r="AG81" s="36"/>
      <c r="AH81" s="35">
        <v>1414.1090476190595</v>
      </c>
      <c r="AI81" s="35">
        <v>42423.271428571788</v>
      </c>
      <c r="AJ81" s="115">
        <v>0.83741159551069455</v>
      </c>
      <c r="AK81" s="36"/>
      <c r="AL81" s="108">
        <v>0.14899999999999999</v>
      </c>
      <c r="AM81" s="108">
        <v>0.13659803124717887</v>
      </c>
      <c r="AN81" s="36"/>
      <c r="AO81" s="38">
        <v>3.7958698335284349</v>
      </c>
      <c r="AP81" s="70">
        <v>0</v>
      </c>
    </row>
    <row r="82" spans="1:44" ht="12.75" customHeight="1" x14ac:dyDescent="0.3">
      <c r="A82" s="7" t="s">
        <v>29</v>
      </c>
      <c r="B82" s="211"/>
      <c r="C82" s="6" t="s">
        <v>10</v>
      </c>
      <c r="D82" s="34"/>
      <c r="E82" s="33">
        <v>875009.74000000081</v>
      </c>
      <c r="F82" s="123">
        <v>2.0349063720930252</v>
      </c>
      <c r="G82" s="7"/>
      <c r="H82" s="35">
        <v>430000</v>
      </c>
      <c r="I82" s="130">
        <v>301000</v>
      </c>
      <c r="J82" s="35">
        <v>293085.42999997747</v>
      </c>
      <c r="K82" s="70">
        <v>0.9737057475082308</v>
      </c>
      <c r="L82" s="36"/>
      <c r="M82" s="35">
        <v>59770.000000000007</v>
      </c>
      <c r="N82" s="35">
        <v>41839</v>
      </c>
      <c r="O82" s="37">
        <v>600</v>
      </c>
      <c r="P82" s="130">
        <v>36494.120000000003</v>
      </c>
      <c r="Q82" s="70">
        <v>0.8722512488348193</v>
      </c>
      <c r="R82" s="36"/>
      <c r="S82" s="127">
        <v>0.13900000000000001</v>
      </c>
      <c r="T82" s="127">
        <v>0.12451700516126922</v>
      </c>
      <c r="U82" s="36"/>
      <c r="V82" s="35"/>
      <c r="W82" s="38">
        <v>2.4105974834635395</v>
      </c>
      <c r="X82" s="69" t="s">
        <v>69</v>
      </c>
      <c r="Y82" s="36"/>
      <c r="Z82" s="62"/>
      <c r="AA82" s="33">
        <v>14333.333333333334</v>
      </c>
      <c r="AB82" s="33">
        <v>20329.359999999946</v>
      </c>
      <c r="AC82" s="36"/>
      <c r="AD82" s="35">
        <v>1992.3333333333335</v>
      </c>
      <c r="AE82" s="35">
        <v>822.99999999999773</v>
      </c>
      <c r="AF82" s="115">
        <v>0.41308348669901174</v>
      </c>
      <c r="AG82" s="36"/>
      <c r="AH82" s="35">
        <v>1737.8152380952383</v>
      </c>
      <c r="AI82" s="35">
        <v>52134.457142857151</v>
      </c>
      <c r="AJ82" s="115">
        <v>0.87225124883481919</v>
      </c>
      <c r="AK82" s="36"/>
      <c r="AL82" s="108">
        <v>0.13900000000000001</v>
      </c>
      <c r="AM82" s="108">
        <v>4.0483320675122086E-2</v>
      </c>
      <c r="AN82" s="36"/>
      <c r="AO82" s="38">
        <v>-6.722936678774234</v>
      </c>
      <c r="AP82" s="70">
        <v>0</v>
      </c>
    </row>
    <row r="83" spans="1:44" ht="12.75" customHeight="1" x14ac:dyDescent="0.3">
      <c r="A83" s="7" t="s">
        <v>29</v>
      </c>
      <c r="B83" s="211"/>
      <c r="C83" s="6" t="s">
        <v>12</v>
      </c>
      <c r="D83" s="34"/>
      <c r="E83" s="33">
        <v>20679.960000000003</v>
      </c>
      <c r="F83" s="123">
        <v>2.0679960000000004</v>
      </c>
      <c r="G83" s="7"/>
      <c r="H83" s="35">
        <v>10000</v>
      </c>
      <c r="I83" s="130">
        <v>6923.0769230769238</v>
      </c>
      <c r="J83" s="35">
        <v>13182.889999999983</v>
      </c>
      <c r="K83" s="70">
        <v>1.9041952222222196</v>
      </c>
      <c r="L83" s="36"/>
      <c r="M83" s="35">
        <v>1560</v>
      </c>
      <c r="N83" s="35">
        <v>1080</v>
      </c>
      <c r="O83" s="37">
        <v>0</v>
      </c>
      <c r="P83" s="130">
        <v>-177.54999999999995</v>
      </c>
      <c r="Q83" s="70">
        <v>-0.1643981481481481</v>
      </c>
      <c r="R83" s="36"/>
      <c r="S83" s="127">
        <v>0.156</v>
      </c>
      <c r="T83" s="127">
        <v>-1.3468215239602255E-2</v>
      </c>
      <c r="U83" s="36"/>
      <c r="V83" s="35"/>
      <c r="W83" s="38">
        <v>-10.883501265655807</v>
      </c>
      <c r="X83" s="69" t="s">
        <v>69</v>
      </c>
      <c r="Y83" s="36"/>
      <c r="Z83" s="62"/>
      <c r="AA83" s="33">
        <v>384.61538461538464</v>
      </c>
      <c r="AB83" s="33">
        <v>156.48000000000002</v>
      </c>
      <c r="AC83" s="36"/>
      <c r="AD83" s="35">
        <v>60</v>
      </c>
      <c r="AE83" s="35">
        <v>46.459999999999994</v>
      </c>
      <c r="AF83" s="115">
        <v>0.77433333333333321</v>
      </c>
      <c r="AG83" s="36"/>
      <c r="AH83" s="35">
        <v>-9.8638888888888872</v>
      </c>
      <c r="AI83" s="35">
        <v>-256.46111111111105</v>
      </c>
      <c r="AJ83" s="115">
        <v>-0.1643981481481481</v>
      </c>
      <c r="AK83" s="36"/>
      <c r="AL83" s="108">
        <v>0.156</v>
      </c>
      <c r="AM83" s="108">
        <v>0.29690695296523512</v>
      </c>
      <c r="AN83" s="36"/>
      <c r="AO83" s="38">
        <v>20.756646216768935</v>
      </c>
      <c r="AP83" s="70">
        <v>0</v>
      </c>
    </row>
    <row r="84" spans="1:44" s="15" customFormat="1" ht="14.25" customHeight="1" x14ac:dyDescent="0.3">
      <c r="A84" s="26"/>
      <c r="B84" s="211"/>
      <c r="C84" s="9" t="s">
        <v>81</v>
      </c>
      <c r="D84" s="28"/>
      <c r="E84" s="27">
        <v>1961426.2000000011</v>
      </c>
      <c r="F84" s="124">
        <v>1.9229668627450991</v>
      </c>
      <c r="G84" s="26"/>
      <c r="H84" s="29">
        <v>1020000</v>
      </c>
      <c r="I84" s="29">
        <v>712076.92307692301</v>
      </c>
      <c r="J84" s="29">
        <v>630099.46999997424</v>
      </c>
      <c r="K84" s="31">
        <v>0.88487556551795032</v>
      </c>
      <c r="L84" s="39"/>
      <c r="M84" s="29">
        <v>138390</v>
      </c>
      <c r="N84" s="29">
        <v>96657.923076923078</v>
      </c>
      <c r="O84" s="27">
        <v>850</v>
      </c>
      <c r="P84" s="29">
        <v>82926.600000000253</v>
      </c>
      <c r="Q84" s="31">
        <v>0.85793898068764574</v>
      </c>
      <c r="R84" s="39"/>
      <c r="S84" s="128">
        <v>0.13567647058823529</v>
      </c>
      <c r="T84" s="128">
        <v>0.13160874425113173</v>
      </c>
      <c r="U84" s="39"/>
      <c r="V84" s="29"/>
      <c r="W84" s="32">
        <v>3.2060461818791555</v>
      </c>
      <c r="X84" s="30" t="s">
        <v>69</v>
      </c>
      <c r="Y84" s="39"/>
      <c r="Z84" s="62"/>
      <c r="AA84" s="27">
        <v>35282.051282051281</v>
      </c>
      <c r="AB84" s="27">
        <v>34577.899999999885</v>
      </c>
      <c r="AC84" s="39"/>
      <c r="AD84" s="29">
        <v>4756.3846153846152</v>
      </c>
      <c r="AE84" s="29">
        <v>2764.4599999999991</v>
      </c>
      <c r="AF84" s="31">
        <v>0.58121035692914769</v>
      </c>
      <c r="AG84" s="39"/>
      <c r="AH84" s="29">
        <v>4081.7126190476311</v>
      </c>
      <c r="AI84" s="29">
        <v>118732.22523809559</v>
      </c>
      <c r="AJ84" s="31">
        <v>0.8579537917341975</v>
      </c>
      <c r="AK84" s="39"/>
      <c r="AL84" s="80">
        <v>0.13567647058823529</v>
      </c>
      <c r="AM84" s="80">
        <v>7.994875339450945E-2</v>
      </c>
      <c r="AN84" s="39"/>
      <c r="AO84" s="32">
        <v>0</v>
      </c>
      <c r="AP84" s="31">
        <v>0</v>
      </c>
      <c r="AQ84" s="10"/>
      <c r="AR84" s="10"/>
    </row>
    <row r="85" spans="1:44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4" x14ac:dyDescent="0.3">
      <c r="A86" s="64" t="s">
        <v>59</v>
      </c>
      <c r="B86" s="211" t="s">
        <v>73</v>
      </c>
      <c r="C86" s="6" t="s">
        <v>8</v>
      </c>
      <c r="D86" s="34"/>
      <c r="E86" s="33">
        <v>428536.49000000028</v>
      </c>
      <c r="F86" s="123">
        <v>1.7855687083333345</v>
      </c>
      <c r="G86" s="7"/>
      <c r="H86" s="35">
        <v>240000</v>
      </c>
      <c r="I86" s="35">
        <v>166153.84615384616</v>
      </c>
      <c r="J86" s="35">
        <v>159783.77000000002</v>
      </c>
      <c r="K86" s="70">
        <v>0.96166157870370383</v>
      </c>
      <c r="L86" s="36"/>
      <c r="M86" s="35">
        <v>31200</v>
      </c>
      <c r="N86" s="35">
        <v>21600</v>
      </c>
      <c r="O86" s="37">
        <v>785.89</v>
      </c>
      <c r="P86" s="35">
        <v>17574.62579999982</v>
      </c>
      <c r="Q86" s="115">
        <v>0.81364008333332494</v>
      </c>
      <c r="R86" s="36"/>
      <c r="S86" s="127">
        <v>0.13</v>
      </c>
      <c r="T86" s="127">
        <v>0.10999005593621816</v>
      </c>
      <c r="U86" s="36"/>
      <c r="V86" s="35"/>
      <c r="W86" s="38">
        <v>2.4464536041426923</v>
      </c>
      <c r="X86" s="69" t="s">
        <v>69</v>
      </c>
      <c r="Y86" s="36"/>
      <c r="Z86" s="62"/>
      <c r="AA86" s="33">
        <v>9230.7692307692305</v>
      </c>
      <c r="AB86" s="33">
        <v>4434.5599999999913</v>
      </c>
      <c r="AC86" s="36"/>
      <c r="AD86" s="35">
        <v>1200</v>
      </c>
      <c r="AE86" s="35">
        <v>674.21999999999991</v>
      </c>
      <c r="AF86" s="115">
        <v>0.56184999999999996</v>
      </c>
      <c r="AG86" s="36"/>
      <c r="AH86" s="35">
        <v>976.36809999999002</v>
      </c>
      <c r="AI86" s="35">
        <v>25385.570599999741</v>
      </c>
      <c r="AJ86" s="115">
        <v>0.81364008333332505</v>
      </c>
      <c r="AK86" s="36"/>
      <c r="AL86" s="108">
        <v>0.13</v>
      </c>
      <c r="AM86" s="108">
        <v>0.15203763169288526</v>
      </c>
      <c r="AN86" s="36"/>
      <c r="AO86" s="38">
        <v>6.611929932168974</v>
      </c>
      <c r="AP86" s="70">
        <v>0</v>
      </c>
    </row>
    <row r="87" spans="1:44" x14ac:dyDescent="0.3">
      <c r="A87" s="64" t="s">
        <v>59</v>
      </c>
      <c r="B87" s="211"/>
      <c r="C87" s="6" t="s">
        <v>9</v>
      </c>
      <c r="D87" s="34"/>
      <c r="E87" s="33">
        <v>640314.33999999973</v>
      </c>
      <c r="F87" s="123">
        <v>1.8559835942028977</v>
      </c>
      <c r="G87" s="7"/>
      <c r="H87" s="35">
        <v>345000</v>
      </c>
      <c r="I87" s="35">
        <v>241500</v>
      </c>
      <c r="J87" s="35">
        <v>226069.73999999688</v>
      </c>
      <c r="K87" s="70">
        <v>0.93610658385091872</v>
      </c>
      <c r="L87" s="36"/>
      <c r="M87" s="35">
        <v>55890</v>
      </c>
      <c r="N87" s="35">
        <v>39123</v>
      </c>
      <c r="O87" s="37">
        <v>1491.8200000000002</v>
      </c>
      <c r="P87" s="35">
        <v>36153.710000000108</v>
      </c>
      <c r="Q87" s="115">
        <v>0.92410372415203612</v>
      </c>
      <c r="R87" s="36"/>
      <c r="S87" s="127">
        <v>0.16200000000000001</v>
      </c>
      <c r="T87" s="127">
        <v>0.15992281850724741</v>
      </c>
      <c r="U87" s="36"/>
      <c r="V87" s="35"/>
      <c r="W87" s="38">
        <v>6.792182801642296</v>
      </c>
      <c r="X87" s="69" t="s">
        <v>69</v>
      </c>
      <c r="Y87" s="36"/>
      <c r="Z87" s="62"/>
      <c r="AA87" s="33">
        <v>11500</v>
      </c>
      <c r="AB87" s="33">
        <v>6948.9999999999609</v>
      </c>
      <c r="AC87" s="36"/>
      <c r="AD87" s="35">
        <v>1863</v>
      </c>
      <c r="AE87" s="35">
        <v>1276.3999999999999</v>
      </c>
      <c r="AF87" s="115">
        <v>0.6851315083199141</v>
      </c>
      <c r="AG87" s="36"/>
      <c r="AH87" s="35">
        <v>1721.6052380952433</v>
      </c>
      <c r="AI87" s="35">
        <v>51648.157142857301</v>
      </c>
      <c r="AJ87" s="115">
        <v>0.92410372415203612</v>
      </c>
      <c r="AK87" s="36"/>
      <c r="AL87" s="108">
        <v>0.16200000000000001</v>
      </c>
      <c r="AM87" s="108">
        <v>0.18368110519499309</v>
      </c>
      <c r="AN87" s="36"/>
      <c r="AO87" s="38">
        <v>9.6389408547988396</v>
      </c>
      <c r="AP87" s="70">
        <v>0</v>
      </c>
    </row>
    <row r="88" spans="1:44" x14ac:dyDescent="0.3">
      <c r="A88" s="64" t="s">
        <v>59</v>
      </c>
      <c r="B88" s="211"/>
      <c r="C88" s="6" t="s">
        <v>10</v>
      </c>
      <c r="D88" s="34"/>
      <c r="E88" s="33">
        <v>1007416.7900000002</v>
      </c>
      <c r="F88" s="123">
        <v>2.1434399787234044</v>
      </c>
      <c r="G88" s="7"/>
      <c r="H88" s="35">
        <v>470000</v>
      </c>
      <c r="I88" s="35">
        <v>329000</v>
      </c>
      <c r="J88" s="35">
        <v>331224.67999997712</v>
      </c>
      <c r="K88" s="70">
        <v>1.0067619452886842</v>
      </c>
      <c r="L88" s="36"/>
      <c r="M88" s="35">
        <v>71440</v>
      </c>
      <c r="N88" s="35">
        <v>50008</v>
      </c>
      <c r="O88" s="37">
        <v>1083.98</v>
      </c>
      <c r="P88" s="35">
        <v>46799.653950000124</v>
      </c>
      <c r="Q88" s="115">
        <v>0.93584334406495207</v>
      </c>
      <c r="R88" s="36"/>
      <c r="S88" s="127">
        <v>0.152</v>
      </c>
      <c r="T88" s="127">
        <v>0.14129277428844783</v>
      </c>
      <c r="U88" s="36"/>
      <c r="V88" s="35"/>
      <c r="W88" s="38">
        <v>5.5770040897856425</v>
      </c>
      <c r="X88" s="69" t="s">
        <v>69</v>
      </c>
      <c r="Y88" s="36"/>
      <c r="Z88" s="62"/>
      <c r="AA88" s="33">
        <v>15666.666666666666</v>
      </c>
      <c r="AB88" s="33">
        <v>16334.389999999932</v>
      </c>
      <c r="AC88" s="36"/>
      <c r="AD88" s="35">
        <v>2381.3333333333335</v>
      </c>
      <c r="AE88" s="35">
        <v>2245.5979000000007</v>
      </c>
      <c r="AF88" s="115">
        <v>0.94300023796192634</v>
      </c>
      <c r="AG88" s="36"/>
      <c r="AH88" s="35">
        <v>2228.5549500000061</v>
      </c>
      <c r="AI88" s="35">
        <v>66856.648500000185</v>
      </c>
      <c r="AJ88" s="115">
        <v>0.93584334406495218</v>
      </c>
      <c r="AK88" s="36"/>
      <c r="AL88" s="108">
        <v>0.152</v>
      </c>
      <c r="AM88" s="108">
        <v>0.13747669181402</v>
      </c>
      <c r="AN88" s="36"/>
      <c r="AO88" s="38">
        <v>6.5372989135189075</v>
      </c>
      <c r="AP88" s="70">
        <v>0</v>
      </c>
    </row>
    <row r="89" spans="1:44" x14ac:dyDescent="0.3">
      <c r="A89" s="64" t="s">
        <v>59</v>
      </c>
      <c r="B89" s="211"/>
      <c r="C89" s="6" t="s">
        <v>12</v>
      </c>
      <c r="D89" s="34"/>
      <c r="E89" s="33">
        <v>14230.900000000005</v>
      </c>
      <c r="F89" s="123">
        <v>2.0329857142857151</v>
      </c>
      <c r="G89" s="7"/>
      <c r="H89" s="35">
        <v>7000</v>
      </c>
      <c r="I89" s="35">
        <v>4846.1538461538457</v>
      </c>
      <c r="J89" s="35">
        <v>6141.0199999999741</v>
      </c>
      <c r="K89" s="70">
        <v>1.267194603174598</v>
      </c>
      <c r="L89" s="36"/>
      <c r="M89" s="35">
        <v>1680</v>
      </c>
      <c r="N89" s="35">
        <v>1163.0769230769231</v>
      </c>
      <c r="O89" s="37">
        <v>456.99</v>
      </c>
      <c r="P89" s="35">
        <v>1791.9800000000007</v>
      </c>
      <c r="Q89" s="115">
        <v>1.5407235449735455</v>
      </c>
      <c r="R89" s="36"/>
      <c r="S89" s="127">
        <v>0.24</v>
      </c>
      <c r="T89" s="127">
        <v>0.29180494445548266</v>
      </c>
      <c r="U89" s="36"/>
      <c r="V89" s="35"/>
      <c r="W89" s="38">
        <v>14.53992984878705</v>
      </c>
      <c r="X89" s="69" t="s">
        <v>69</v>
      </c>
      <c r="Y89" s="36"/>
      <c r="Z89" s="62"/>
      <c r="AA89" s="33">
        <v>269.23076923076923</v>
      </c>
      <c r="AB89" s="33">
        <v>150.79999999999998</v>
      </c>
      <c r="AC89" s="36"/>
      <c r="AD89" s="35">
        <v>64.615384615384613</v>
      </c>
      <c r="AE89" s="35">
        <v>43.740000000000009</v>
      </c>
      <c r="AF89" s="115">
        <v>0.67692857142857155</v>
      </c>
      <c r="AG89" s="36"/>
      <c r="AH89" s="35">
        <v>99.554444444444485</v>
      </c>
      <c r="AI89" s="35">
        <v>2588.4155555555567</v>
      </c>
      <c r="AJ89" s="115">
        <v>1.5407235449735457</v>
      </c>
      <c r="AK89" s="36"/>
      <c r="AL89" s="108">
        <v>0.24</v>
      </c>
      <c r="AM89" s="108">
        <v>0.2900530503978781</v>
      </c>
      <c r="AN89" s="36"/>
      <c r="AO89" s="38">
        <v>18.75994694960211</v>
      </c>
      <c r="AP89" s="70">
        <v>0</v>
      </c>
    </row>
    <row r="90" spans="1:44" s="15" customFormat="1" x14ac:dyDescent="0.3">
      <c r="A90" s="26"/>
      <c r="B90" s="211"/>
      <c r="C90" s="9" t="s">
        <v>74</v>
      </c>
      <c r="D90" s="28"/>
      <c r="E90" s="27">
        <v>2090498.52</v>
      </c>
      <c r="F90" s="124">
        <v>1.9684543502824858</v>
      </c>
      <c r="G90" s="26"/>
      <c r="H90" s="29">
        <v>1062000</v>
      </c>
      <c r="I90" s="29">
        <v>741500</v>
      </c>
      <c r="J90" s="29">
        <v>723219.209999974</v>
      </c>
      <c r="K90" s="31">
        <v>0.97534620364123259</v>
      </c>
      <c r="L90" s="39"/>
      <c r="M90" s="29">
        <v>160210</v>
      </c>
      <c r="N90" s="29">
        <v>111894.07692307692</v>
      </c>
      <c r="O90" s="27">
        <v>3818.6800000000003</v>
      </c>
      <c r="P90" s="29">
        <v>102319.96975000005</v>
      </c>
      <c r="Q90" s="31">
        <v>0.91443597877250715</v>
      </c>
      <c r="R90" s="39"/>
      <c r="S90" s="128">
        <v>0.15085687382297552</v>
      </c>
      <c r="T90" s="128">
        <v>0.14147850103429047</v>
      </c>
      <c r="U90" s="39"/>
      <c r="V90" s="29"/>
      <c r="W90" s="32">
        <v>5.3413154982397124</v>
      </c>
      <c r="X90" s="30" t="s">
        <v>69</v>
      </c>
      <c r="Y90" s="39"/>
      <c r="Z90" s="62"/>
      <c r="AA90" s="27">
        <v>36666.666666666664</v>
      </c>
      <c r="AB90" s="27">
        <v>27868.749999999884</v>
      </c>
      <c r="AC90" s="39"/>
      <c r="AD90" s="29">
        <v>5508.9487179487187</v>
      </c>
      <c r="AE90" s="29">
        <v>4239.9579000000003</v>
      </c>
      <c r="AF90" s="31">
        <v>0.76964918663805737</v>
      </c>
      <c r="AG90" s="39"/>
      <c r="AH90" s="29">
        <v>5026.0827325396849</v>
      </c>
      <c r="AI90" s="29">
        <v>146478.79179841277</v>
      </c>
      <c r="AJ90" s="31">
        <v>0.91429243991269438</v>
      </c>
      <c r="AK90" s="39"/>
      <c r="AL90" s="80">
        <v>0.15085687382297552</v>
      </c>
      <c r="AM90" s="80">
        <v>0.15214022516259315</v>
      </c>
      <c r="AN90" s="39"/>
      <c r="AO90" s="32">
        <v>0</v>
      </c>
      <c r="AP90" s="31">
        <v>0</v>
      </c>
      <c r="AQ90" s="10"/>
      <c r="AR90" s="10"/>
    </row>
    <row r="91" spans="1:44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4" x14ac:dyDescent="0.3">
      <c r="B92" s="210" t="s">
        <v>32</v>
      </c>
      <c r="C92" s="94" t="s">
        <v>8</v>
      </c>
      <c r="D92" s="34"/>
      <c r="E92" s="93">
        <v>4462469.49</v>
      </c>
      <c r="F92" s="126">
        <v>0.81880174128440375</v>
      </c>
      <c r="G92" s="34"/>
      <c r="H92" s="93">
        <v>5450000</v>
      </c>
      <c r="I92" s="93">
        <v>3773076.923076923</v>
      </c>
      <c r="J92" s="93">
        <v>3796473.0499999863</v>
      </c>
      <c r="K92" s="112">
        <v>1.0062008083588139</v>
      </c>
      <c r="L92" s="36"/>
      <c r="M92" s="93">
        <v>543615.38057334628</v>
      </c>
      <c r="N92" s="93">
        <v>376349.10962770128</v>
      </c>
      <c r="O92" s="93">
        <v>1333.07</v>
      </c>
      <c r="P92" s="93">
        <v>401475.10326000012</v>
      </c>
      <c r="Q92" s="112">
        <v>1.0667624633339892</v>
      </c>
      <c r="R92" s="96"/>
      <c r="S92" s="129">
        <v>9.9745941389604825E-2</v>
      </c>
      <c r="T92" s="129">
        <v>0.1057494937992518</v>
      </c>
      <c r="U92" s="98"/>
      <c r="V92" s="99">
        <v>0</v>
      </c>
      <c r="W92" s="103">
        <v>-4.4672182445760305</v>
      </c>
      <c r="X92" s="100" t="s">
        <v>69</v>
      </c>
      <c r="Y92" s="98"/>
      <c r="Z92" s="101"/>
      <c r="AA92" s="93">
        <v>209615.38461538457</v>
      </c>
      <c r="AB92" s="93">
        <v>171403.71999999991</v>
      </c>
      <c r="AC92" s="98"/>
      <c r="AD92" s="93">
        <v>20908.283868205628</v>
      </c>
      <c r="AE92" s="93">
        <v>19833.480950000001</v>
      </c>
      <c r="AF92" s="112">
        <v>0.94859439803952361</v>
      </c>
      <c r="AG92" s="98"/>
      <c r="AH92" s="93">
        <v>22304.172403333338</v>
      </c>
      <c r="AI92" s="93">
        <v>579908.48248666676</v>
      </c>
      <c r="AJ92" s="112">
        <v>1.0667624633339889</v>
      </c>
      <c r="AK92" s="98"/>
      <c r="AL92" s="102">
        <v>9.9745941389604825E-2</v>
      </c>
      <c r="AM92" s="97">
        <v>0.11571207993618815</v>
      </c>
      <c r="AN92" s="98"/>
      <c r="AO92" s="103">
        <v>-3.4493119810935897</v>
      </c>
      <c r="AP92" s="95">
        <v>0</v>
      </c>
    </row>
    <row r="93" spans="1:44" ht="12.75" customHeight="1" x14ac:dyDescent="0.3">
      <c r="B93" s="210"/>
      <c r="C93" s="94" t="s">
        <v>9</v>
      </c>
      <c r="D93" s="34"/>
      <c r="E93" s="93">
        <v>5248691.4300000006</v>
      </c>
      <c r="F93" s="126">
        <v>1.014632018171274</v>
      </c>
      <c r="G93" s="34"/>
      <c r="H93" s="93">
        <v>5173000</v>
      </c>
      <c r="I93" s="93">
        <v>3621100</v>
      </c>
      <c r="J93" s="93">
        <v>3585670.3499998725</v>
      </c>
      <c r="K93" s="112">
        <v>0.99021577697381247</v>
      </c>
      <c r="L93" s="36"/>
      <c r="M93" s="93">
        <v>796420.87942007312</v>
      </c>
      <c r="N93" s="93">
        <v>557494.6155940512</v>
      </c>
      <c r="O93" s="93">
        <v>5632.61</v>
      </c>
      <c r="P93" s="93">
        <v>510209.1400000017</v>
      </c>
      <c r="Q93" s="112">
        <v>0.91518218423748654</v>
      </c>
      <c r="R93" s="96"/>
      <c r="S93" s="129">
        <v>0.1539572548656627</v>
      </c>
      <c r="T93" s="129">
        <v>0.14229114508533108</v>
      </c>
      <c r="U93" s="98"/>
      <c r="V93" s="99">
        <v>0</v>
      </c>
      <c r="W93" s="103">
        <v>1.6905321483295561</v>
      </c>
      <c r="X93" s="100" t="s">
        <v>69</v>
      </c>
      <c r="Y93" s="98"/>
      <c r="Z93" s="101"/>
      <c r="AA93" s="93">
        <v>172433.33333333334</v>
      </c>
      <c r="AB93" s="93">
        <v>131739.97999999966</v>
      </c>
      <c r="AC93" s="98"/>
      <c r="AD93" s="93">
        <v>26547.362647335776</v>
      </c>
      <c r="AE93" s="93">
        <v>18173.080000000009</v>
      </c>
      <c r="AF93" s="112">
        <v>0.68455312271193958</v>
      </c>
      <c r="AG93" s="98"/>
      <c r="AH93" s="93">
        <v>24295.673333333416</v>
      </c>
      <c r="AI93" s="93">
        <v>728870.20000000251</v>
      </c>
      <c r="AJ93" s="112">
        <v>0.91518218423748665</v>
      </c>
      <c r="AK93" s="98"/>
      <c r="AL93" s="102">
        <v>0.1539572548656627</v>
      </c>
      <c r="AM93" s="97">
        <v>0.1379465823510832</v>
      </c>
      <c r="AN93" s="98"/>
      <c r="AO93" s="103">
        <v>1.4127146519983513</v>
      </c>
      <c r="AP93" s="95">
        <v>0</v>
      </c>
    </row>
    <row r="94" spans="1:44" ht="12.75" customHeight="1" x14ac:dyDescent="0.3">
      <c r="B94" s="210"/>
      <c r="C94" s="94" t="s">
        <v>10</v>
      </c>
      <c r="D94" s="34"/>
      <c r="E94" s="93">
        <v>8491787.9700000007</v>
      </c>
      <c r="F94" s="126">
        <v>1.0670756433777331</v>
      </c>
      <c r="G94" s="34"/>
      <c r="H94" s="93">
        <v>7958000</v>
      </c>
      <c r="I94" s="93">
        <v>5570600</v>
      </c>
      <c r="J94" s="93">
        <v>5582252.1799997017</v>
      </c>
      <c r="K94" s="112">
        <v>1.0020917280005208</v>
      </c>
      <c r="L94" s="36"/>
      <c r="M94" s="93">
        <v>1253681.7303163207</v>
      </c>
      <c r="N94" s="93">
        <v>877577.21122142451</v>
      </c>
      <c r="O94" s="93">
        <v>7655.69</v>
      </c>
      <c r="P94" s="93">
        <v>856535.03383000218</v>
      </c>
      <c r="Q94" s="112">
        <v>0.97602242045217247</v>
      </c>
      <c r="R94" s="96"/>
      <c r="S94" s="129">
        <v>0.15753728704653439</v>
      </c>
      <c r="T94" s="129">
        <v>0.15343897162131576</v>
      </c>
      <c r="U94" s="98"/>
      <c r="V94" s="99">
        <v>0</v>
      </c>
      <c r="W94" s="103">
        <v>2.4887837265297748</v>
      </c>
      <c r="X94" s="100" t="s">
        <v>69</v>
      </c>
      <c r="Y94" s="98"/>
      <c r="Z94" s="101"/>
      <c r="AA94" s="93">
        <v>265266.66666666669</v>
      </c>
      <c r="AB94" s="93">
        <v>196543.72999999986</v>
      </c>
      <c r="AC94" s="98"/>
      <c r="AD94" s="93">
        <v>41789.391010544023</v>
      </c>
      <c r="AE94" s="93">
        <v>25197.706800000004</v>
      </c>
      <c r="AF94" s="112">
        <v>0.60296898783814024</v>
      </c>
      <c r="AG94" s="98"/>
      <c r="AH94" s="93">
        <v>40787.382563333442</v>
      </c>
      <c r="AI94" s="93">
        <v>1223621.4769000032</v>
      </c>
      <c r="AJ94" s="112">
        <v>0.97602242045217258</v>
      </c>
      <c r="AK94" s="98"/>
      <c r="AL94" s="102">
        <v>0.15753728704653439</v>
      </c>
      <c r="AM94" s="97">
        <v>0.12820407346497403</v>
      </c>
      <c r="AN94" s="98"/>
      <c r="AO94" s="103">
        <v>1.2443982822549604</v>
      </c>
      <c r="AP94" s="95">
        <v>0</v>
      </c>
    </row>
    <row r="95" spans="1:44" ht="12.75" customHeight="1" x14ac:dyDescent="0.3">
      <c r="B95" s="210"/>
      <c r="C95" s="94" t="s">
        <v>12</v>
      </c>
      <c r="D95" s="34"/>
      <c r="E95" s="93">
        <v>660698.82999999996</v>
      </c>
      <c r="F95" s="126">
        <v>0.19668924116578845</v>
      </c>
      <c r="G95" s="34"/>
      <c r="H95" s="93">
        <v>3359100</v>
      </c>
      <c r="I95" s="93">
        <v>2325530.7692307695</v>
      </c>
      <c r="J95" s="93">
        <v>2388739.2799999979</v>
      </c>
      <c r="K95" s="112">
        <v>1.0271802513239316</v>
      </c>
      <c r="L95" s="36"/>
      <c r="M95" s="93">
        <v>576608.99760094297</v>
      </c>
      <c r="N95" s="93">
        <v>399190.84449296055</v>
      </c>
      <c r="O95" s="93">
        <v>39736.159999999996</v>
      </c>
      <c r="P95" s="93">
        <v>394396.28</v>
      </c>
      <c r="Q95" s="112">
        <v>0.98798929244218914</v>
      </c>
      <c r="R95" s="96"/>
      <c r="S95" s="129">
        <v>0.17165579994669494</v>
      </c>
      <c r="T95" s="129">
        <v>0.16510645732756585</v>
      </c>
      <c r="U95" s="98"/>
      <c r="V95" s="99">
        <v>0</v>
      </c>
      <c r="W95" s="103">
        <v>-1.8653546819895359</v>
      </c>
      <c r="X95" s="100" t="s">
        <v>69</v>
      </c>
      <c r="Y95" s="98"/>
      <c r="Z95" s="101"/>
      <c r="AA95" s="93">
        <v>129196.15384615386</v>
      </c>
      <c r="AB95" s="93">
        <v>183837.41999999998</v>
      </c>
      <c r="AC95" s="98"/>
      <c r="AD95" s="93">
        <v>22177.269138497806</v>
      </c>
      <c r="AE95" s="93">
        <v>27537.510000000002</v>
      </c>
      <c r="AF95" s="112">
        <v>1.241699770518512</v>
      </c>
      <c r="AG95" s="98"/>
      <c r="AH95" s="93">
        <v>21910.904444444444</v>
      </c>
      <c r="AI95" s="93">
        <v>569683.51555555558</v>
      </c>
      <c r="AJ95" s="112">
        <v>0.98798929244218914</v>
      </c>
      <c r="AK95" s="98"/>
      <c r="AL95" s="102">
        <v>0.17165579994669494</v>
      </c>
      <c r="AM95" s="97">
        <v>0.14979273534191245</v>
      </c>
      <c r="AN95" s="98"/>
      <c r="AO95" s="103">
        <v>0.57770610575365688</v>
      </c>
      <c r="AP95" s="95">
        <v>0</v>
      </c>
    </row>
    <row r="96" spans="1:44" ht="4.25" customHeight="1" x14ac:dyDescent="0.3">
      <c r="B96" s="210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4" s="15" customFormat="1" ht="14.25" customHeight="1" x14ac:dyDescent="0.3">
      <c r="A97" s="26"/>
      <c r="B97" s="210"/>
      <c r="C97" s="94" t="s">
        <v>7</v>
      </c>
      <c r="D97" s="28"/>
      <c r="E97" s="93">
        <v>18863647.719999999</v>
      </c>
      <c r="F97" s="126">
        <v>0.85977947775990071</v>
      </c>
      <c r="G97" s="28"/>
      <c r="H97" s="93">
        <v>21940100</v>
      </c>
      <c r="I97" s="93">
        <v>15290307.692307694</v>
      </c>
      <c r="J97" s="93">
        <v>15353134.859999558</v>
      </c>
      <c r="K97" s="44">
        <v>1.0041089537866836</v>
      </c>
      <c r="L97" s="39"/>
      <c r="M97" s="93">
        <v>3170326.9879106833</v>
      </c>
      <c r="N97" s="93">
        <v>2210611.7809361378</v>
      </c>
      <c r="O97" s="93">
        <v>54357.53</v>
      </c>
      <c r="P97" s="93">
        <v>2162615.557090004</v>
      </c>
      <c r="Q97" s="44">
        <v>0.97828826198247776</v>
      </c>
      <c r="R97" s="39"/>
      <c r="S97" s="129">
        <v>0.14449920410165329</v>
      </c>
      <c r="T97" s="129">
        <v>0.1408582401451052</v>
      </c>
      <c r="U97" s="45"/>
      <c r="V97" s="43">
        <v>0</v>
      </c>
      <c r="W97" s="46">
        <v>-9.5147362696064164E-2</v>
      </c>
      <c r="X97" s="81" t="s">
        <v>69</v>
      </c>
      <c r="Y97" s="45"/>
      <c r="Z97" s="62"/>
      <c r="AA97" s="93">
        <v>776511.53846153838</v>
      </c>
      <c r="AB97" s="93">
        <v>683524.84999999939</v>
      </c>
      <c r="AC97" s="98"/>
      <c r="AD97" s="93">
        <v>111422.30666458323</v>
      </c>
      <c r="AE97" s="93">
        <v>90741.777750000008</v>
      </c>
      <c r="AF97" s="112">
        <v>0.81439507461608895</v>
      </c>
      <c r="AG97" s="98"/>
      <c r="AH97" s="93">
        <v>109298.13274444464</v>
      </c>
      <c r="AI97" s="93">
        <v>3102083.6749422275</v>
      </c>
      <c r="AJ97" s="112">
        <v>0.97847436140540522</v>
      </c>
      <c r="AK97" s="98"/>
      <c r="AL97" s="102">
        <v>0.14449920410165329</v>
      </c>
      <c r="AM97" s="97">
        <v>0.13275563829171697</v>
      </c>
      <c r="AN97" s="98"/>
      <c r="AO97" s="103">
        <v>-7.9486832117456177E-2</v>
      </c>
      <c r="AP97" s="42">
        <v>0</v>
      </c>
      <c r="AQ97" s="10"/>
      <c r="AR97" s="10"/>
    </row>
    <row r="98" spans="1:44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4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4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4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4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4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4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4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4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2026-09-21T13:13:30Z</cp:lastPrinted>
  <dcterms:created xsi:type="dcterms:W3CDTF">2013-12-24T17:42:15Z</dcterms:created>
  <dcterms:modified xsi:type="dcterms:W3CDTF">2026-09-22T13:32:16Z</dcterms:modified>
</cp:coreProperties>
</file>