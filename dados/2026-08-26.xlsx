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K:\Comercial\Suporte\PAD\PAD 2026\08. AGOSTO\"/>
    </mc:Choice>
  </mc:AlternateContent>
  <bookViews>
    <workbookView xWindow="-110" yWindow="-110" windowWidth="19420" windowHeight="10300" tabRatio="858"/>
  </bookViews>
  <sheets>
    <sheet name="PAD - DISTRIBUIÇÃO" sheetId="2" r:id="rId1"/>
    <sheet name="PAD - LOJAS" sheetId="3" r:id="rId2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<sst xmlns="http://schemas.openxmlformats.org/spreadsheetml/2006/main" count="325" uniqueCount="84">
  <si>
    <t>GESTOR</t>
  </si>
  <si>
    <t>META</t>
  </si>
  <si>
    <t>REAL</t>
  </si>
  <si>
    <t>%</t>
  </si>
  <si>
    <t>C01</t>
  </si>
  <si>
    <t>ESTOQUE</t>
  </si>
  <si>
    <t>DIA</t>
  </si>
  <si>
    <t>TOTAL LOJAS</t>
  </si>
  <si>
    <t>CEASA</t>
  </si>
  <si>
    <t>CASA AMARELA</t>
  </si>
  <si>
    <t>IMBIRIBEIRA</t>
  </si>
  <si>
    <t>REAL VERBA</t>
  </si>
  <si>
    <t>LOJÃO</t>
  </si>
  <si>
    <t>%  VENDA</t>
  </si>
  <si>
    <t>C03</t>
  </si>
  <si>
    <t>DIOGO</t>
  </si>
  <si>
    <t>C06</t>
  </si>
  <si>
    <t>C09</t>
  </si>
  <si>
    <t>C05</t>
  </si>
  <si>
    <t>C07</t>
  </si>
  <si>
    <t>C08</t>
  </si>
  <si>
    <t>C10</t>
  </si>
  <si>
    <t>C11</t>
  </si>
  <si>
    <t>C12</t>
  </si>
  <si>
    <t>C02</t>
  </si>
  <si>
    <t>RONALDO</t>
  </si>
  <si>
    <t>TOTAL RONALDO</t>
  </si>
  <si>
    <t>ELISANGELA</t>
  </si>
  <si>
    <t>TOTAL ELISANGELA</t>
  </si>
  <si>
    <t>C17</t>
  </si>
  <si>
    <t>TOTAL GERALDO</t>
  </si>
  <si>
    <t>GERALDO</t>
  </si>
  <si>
    <t>TOTAL</t>
  </si>
  <si>
    <t>BÁRBARA</t>
  </si>
  <si>
    <t>TOTAL BÁRBARA</t>
  </si>
  <si>
    <t>MÊS</t>
  </si>
  <si>
    <t>FATURAMENTO</t>
  </si>
  <si>
    <t>META PROPORCIONAL</t>
  </si>
  <si>
    <t>%
PREVISÃO</t>
  </si>
  <si>
    <t>PROJEÇÃO</t>
  </si>
  <si>
    <t>MARGEM DE REFERÊNCIA</t>
  </si>
  <si>
    <t>MARGEM BRUTA</t>
  </si>
  <si>
    <t>LB REFERÊNCIA</t>
  </si>
  <si>
    <t>REAL
(TOTAL)</t>
  </si>
  <si>
    <t>PROPOSTA</t>
  </si>
  <si>
    <t>RENTABILIDADE</t>
  </si>
  <si>
    <t>META DIA</t>
  </si>
  <si>
    <t>LB</t>
  </si>
  <si>
    <t>RONALDO MORAIS</t>
  </si>
  <si>
    <t>TOTAL DISTRIBUIÇÃO</t>
  </si>
  <si>
    <t>TOTAL DIOGO</t>
  </si>
  <si>
    <t>RAFAELA BEZERRA</t>
  </si>
  <si>
    <t>ELISANGELA CABRAL</t>
  </si>
  <si>
    <t>BRUNO</t>
  </si>
  <si>
    <t xml:space="preserve">TOTAL BRUNO </t>
  </si>
  <si>
    <t>RAFAELA</t>
  </si>
  <si>
    <t>TOTAL RAFAELA</t>
  </si>
  <si>
    <t>VINICIUS</t>
  </si>
  <si>
    <t>TOTAL VINICIUS</t>
  </si>
  <si>
    <t>C18</t>
  </si>
  <si>
    <t>DIOGO PADILHA</t>
  </si>
  <si>
    <t>BARBARA MIRANDA</t>
  </si>
  <si>
    <t>VINÍCIUS JORDÃO</t>
  </si>
  <si>
    <t>GERALDO JOSÉ</t>
  </si>
  <si>
    <t>BRUNO OLIVEIRA</t>
  </si>
  <si>
    <t>MÉDIA /
DIA</t>
  </si>
  <si>
    <t>HEMILI</t>
  </si>
  <si>
    <t>CAROLINA</t>
  </si>
  <si>
    <t>C16</t>
  </si>
  <si>
    <t/>
  </si>
  <si>
    <t>em aberto</t>
  </si>
  <si>
    <t>TOTAL CAROL - Laticínios</t>
  </si>
  <si>
    <t>CAROL - LATICÍNIOS</t>
  </si>
  <si>
    <t>ISAIAS</t>
  </si>
  <si>
    <t>TOTAL ISAIAS</t>
  </si>
  <si>
    <t>HIGIENE</t>
  </si>
  <si>
    <t>ANDRYO</t>
  </si>
  <si>
    <t>ANDRYO - Iogurtes</t>
  </si>
  <si>
    <t>TOTAL HEMILI - Higiene</t>
  </si>
  <si>
    <t>TOTAL ISAIAS - Bazar</t>
  </si>
  <si>
    <t>TOTAL ANDRYO - Iogurtes</t>
  </si>
  <si>
    <t>TOTAL HEMILI - Limpeza</t>
  </si>
  <si>
    <t>PAD DISTRIBUIÇÃO - AGOSTO  / 2026</t>
  </si>
  <si>
    <t>PAD LOJAS - AGOSTO  /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</si>
</sst>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3" formatCode="_-* #,##0.00_-;\-* #,##0.00_-;_-* &quot;-&quot;??_-;_-@_-"/>
    <numFmt numFmtId="164" formatCode="_-* #,##0_-;\-* #,##0_-;_-* &quot;-&quot;??_-;_-@_-"/>
    <numFmt numFmtId="165" formatCode="0.0%"/>
    <numFmt numFmtId="166" formatCode="&quot;R$&quot;\ #,##0.00"/>
  </numFmts>
  <fonts count="65" x14ac:knownFonts="1">
    <font>
      <sz val="11"/>
      <color theme="1"/>
      <name val="Cambria"/>
      <family val="2"/>
      <scheme val="minor"/>
    </font>
    <font>
      <sz val="11"/>
      <color theme="1"/>
      <name val="Cambria"/>
      <family val="2"/>
      <scheme val="minor"/>
    </font>
    <font>
      <sz val="10"/>
      <color theme="1"/>
      <name val="Cambria"/>
      <family val="2"/>
      <scheme val="minor"/>
    </font>
    <font>
      <sz val="14"/>
      <color theme="1"/>
      <name val="Cambria"/>
      <family val="2"/>
      <scheme val="minor"/>
    </font>
    <font>
      <b/>
      <sz val="10"/>
      <color theme="1"/>
      <name val="Cambria"/>
      <family val="1"/>
      <scheme val="minor"/>
    </font>
    <font>
      <b/>
      <sz val="11"/>
      <color theme="1"/>
      <name val="Cambria"/>
      <family val="1"/>
      <scheme val="minor"/>
    </font>
    <font>
      <b/>
      <sz val="8"/>
      <color theme="1"/>
      <name val="Cambria"/>
      <family val="2"/>
      <scheme val="minor"/>
    </font>
    <font>
      <sz val="9"/>
      <color theme="1"/>
      <name val="Cambria"/>
      <family val="2"/>
      <scheme val="minor"/>
    </font>
    <font>
      <sz val="10"/>
      <color theme="1"/>
      <name val="Cambria"/>
      <family val="1"/>
      <scheme val="minor"/>
    </font>
    <font>
      <b/>
      <sz val="10"/>
      <color theme="0"/>
      <name val="Cambria"/>
      <family val="1"/>
      <scheme val="minor"/>
    </font>
    <font>
      <sz val="8"/>
      <color rgb="FFFF0000"/>
      <name val="Cambria"/>
      <family val="1"/>
      <scheme val="minor"/>
    </font>
    <font>
      <b/>
      <sz val="9"/>
      <color theme="0"/>
      <name val="Cambria"/>
      <family val="1"/>
      <scheme val="minor"/>
    </font>
    <font>
      <b/>
      <sz val="8"/>
      <color theme="0"/>
      <name val="Cambria"/>
      <family val="2"/>
      <scheme val="minor"/>
    </font>
    <font>
      <sz val="8"/>
      <color theme="1"/>
      <name val="Cambria"/>
      <family val="2"/>
      <scheme val="minor"/>
    </font>
    <font>
      <sz val="9"/>
      <color theme="0"/>
      <name val="Cambria"/>
      <family val="2"/>
      <scheme val="minor"/>
    </font>
    <font>
      <b/>
      <sz val="8"/>
      <color rgb="FFFF0000"/>
      <name val="Cambria"/>
      <family val="1"/>
      <scheme val="minor"/>
    </font>
    <font>
      <b/>
      <sz val="9"/>
      <color theme="1"/>
      <name val="Calibri"/>
      <family val="2"/>
      <scheme val="major"/>
    </font>
    <font>
      <b/>
      <sz val="10"/>
      <color theme="1"/>
      <name val="Calibri"/>
      <family val="2"/>
      <scheme val="major"/>
    </font>
    <font>
      <sz val="9"/>
      <color theme="0"/>
      <name val="Calibri"/>
      <family val="2"/>
      <scheme val="major"/>
    </font>
    <font>
      <sz val="9"/>
      <color theme="1"/>
      <name val="Calibri"/>
      <family val="2"/>
      <scheme val="major"/>
    </font>
    <font>
      <sz val="10"/>
      <color theme="1"/>
      <name val="Calibri"/>
      <family val="2"/>
      <scheme val="major"/>
    </font>
    <font>
      <b/>
      <sz val="9"/>
      <color theme="0"/>
      <name val="Calibri"/>
      <family val="2"/>
      <scheme val="major"/>
    </font>
    <font>
      <b/>
      <sz val="10"/>
      <color theme="0"/>
      <name val="Calibri"/>
      <family val="2"/>
      <scheme val="major"/>
    </font>
    <font>
      <sz val="11"/>
      <color theme="1"/>
      <name val="Calibri"/>
      <family val="2"/>
      <scheme val="major"/>
    </font>
    <font>
      <sz val="12"/>
      <color theme="1" tint="0.249977111117893"/>
      <name val="Cambria"/>
      <family val="1"/>
      <scheme val="minor"/>
    </font>
    <font>
      <sz val="10"/>
      <color theme="1" tint="0.249977111117893"/>
      <name val="Cambria"/>
      <family val="1"/>
      <scheme val="minor"/>
    </font>
    <font>
      <sz val="10"/>
      <color rgb="FFFF0000"/>
      <name val="Cambria"/>
      <family val="1"/>
      <scheme val="minor"/>
    </font>
    <font>
      <b/>
      <sz val="10"/>
      <name val="Calibri"/>
      <family val="2"/>
      <scheme val="major"/>
    </font>
    <font>
      <b/>
      <sz val="9"/>
      <name val="Calibri"/>
      <family val="2"/>
      <scheme val="major"/>
    </font>
    <font>
      <sz val="11"/>
      <color theme="0"/>
      <name val="Cambria"/>
      <family val="2"/>
      <scheme val="minor"/>
    </font>
    <font>
      <sz val="10"/>
      <color theme="0"/>
      <name val="Cambria"/>
      <family val="2"/>
      <scheme val="minor"/>
    </font>
    <font>
      <sz val="11"/>
      <color theme="0"/>
      <name val="Cambria"/>
      <family val="1"/>
      <scheme val="minor"/>
    </font>
    <font>
      <sz val="8"/>
      <name val="Cambria"/>
      <family val="1"/>
      <scheme val="minor"/>
    </font>
    <font>
      <b/>
      <sz val="9"/>
      <name val="Cambria"/>
      <family val="1"/>
      <scheme val="minor"/>
    </font>
    <font>
      <sz val="12"/>
      <name val="Cambria"/>
      <family val="1"/>
      <scheme val="minor"/>
    </font>
    <font>
      <sz val="8"/>
      <color theme="0"/>
      <name val="Cambria"/>
      <family val="1"/>
      <scheme val="minor"/>
    </font>
    <font>
      <sz val="14"/>
      <color theme="0"/>
      <name val="Cambria"/>
      <family val="2"/>
      <scheme val="minor"/>
    </font>
    <font>
      <sz val="9"/>
      <color theme="0"/>
      <name val="Cambria"/>
      <family val="1"/>
      <scheme val="minor"/>
    </font>
    <font>
      <b/>
      <sz val="14"/>
      <color theme="0"/>
      <name val="Cambria"/>
      <family val="1"/>
      <scheme val="minor"/>
    </font>
    <font>
      <sz val="12"/>
      <color theme="0"/>
      <name val="Cambria"/>
      <family val="1"/>
      <scheme val="minor"/>
    </font>
    <font>
      <b/>
      <sz val="9"/>
      <color theme="1"/>
      <name val="Cambria"/>
      <family val="1"/>
      <scheme val="minor"/>
    </font>
    <font>
      <sz val="9"/>
      <name val="Cambria"/>
      <family val="1"/>
      <scheme val="minor"/>
    </font>
    <font>
      <sz val="9"/>
      <color theme="1" tint="0.249977111117893"/>
      <name val="Cambria"/>
      <family val="1"/>
      <scheme val="minor"/>
    </font>
    <font>
      <sz val="9"/>
      <color theme="1"/>
      <name val="Cambria"/>
      <family val="1"/>
      <scheme val="minor"/>
    </font>
    <font>
      <b/>
      <sz val="9"/>
      <color theme="0"/>
      <name val="Cambria"/>
      <family val="2"/>
      <scheme val="minor"/>
    </font>
    <font>
      <b/>
      <sz val="9"/>
      <color theme="1"/>
      <name val="Cambria"/>
      <family val="2"/>
      <scheme val="minor"/>
    </font>
    <font>
      <sz val="8"/>
      <color theme="1"/>
      <name val="Cambria"/>
      <family val="1"/>
      <scheme val="minor"/>
    </font>
    <font>
      <b/>
      <sz val="8"/>
      <color theme="1"/>
      <name val="Cambria"/>
      <family val="1"/>
      <scheme val="minor"/>
    </font>
    <font>
      <b/>
      <sz val="8"/>
      <color theme="1"/>
      <name val="Calibri"/>
      <family val="2"/>
      <scheme val="major"/>
    </font>
    <font>
      <b/>
      <sz val="9"/>
      <color rgb="FF7A0B0B"/>
      <name val="Cambria"/>
      <family val="1"/>
      <scheme val="minor"/>
    </font>
    <font>
      <sz val="9"/>
      <color rgb="FF7A0B0B"/>
      <name val="Cambria"/>
      <family val="1"/>
      <scheme val="minor"/>
    </font>
    <font>
      <sz val="10"/>
      <color theme="0"/>
      <name val="Cambria"/>
      <family val="1"/>
      <scheme val="minor"/>
    </font>
    <font>
      <sz val="10"/>
      <color rgb="FF7A0B0B"/>
      <name val="Cambria"/>
      <family val="1"/>
      <scheme val="minor"/>
    </font>
    <font>
      <sz val="11"/>
      <color rgb="FF7A0B0B"/>
      <name val="Cambria"/>
      <family val="1"/>
      <scheme val="minor"/>
    </font>
    <font>
      <b/>
      <sz val="8"/>
      <color rgb="FF92D050"/>
      <name val="Cambria"/>
      <family val="1"/>
      <scheme val="minor"/>
    </font>
    <font>
      <b/>
      <sz val="26"/>
      <color theme="1"/>
      <name val="Cambria"/>
      <family val="1"/>
      <scheme val="minor"/>
    </font>
    <font>
      <b/>
      <sz val="9"/>
      <color theme="1"/>
      <name val="Calibri"/>
      <family val="1"/>
      <scheme val="major"/>
    </font>
    <font>
      <b/>
      <sz val="14"/>
      <color theme="1"/>
      <name val="Cambria"/>
      <family val="1"/>
      <scheme val="minor"/>
    </font>
    <font>
      <sz val="11"/>
      <color theme="1"/>
      <name val="Cambria"/>
      <family val="1"/>
      <scheme val="minor"/>
    </font>
    <font>
      <b/>
      <sz val="12"/>
      <color theme="1"/>
      <name val="Cambria"/>
      <family val="1"/>
      <scheme val="minor"/>
    </font>
    <font>
      <b/>
      <sz val="7"/>
      <color theme="1"/>
      <name val="Cambria"/>
      <family val="1"/>
      <scheme val="minor"/>
    </font>
    <font>
      <b/>
      <sz val="9"/>
      <color theme="0" tint="-0.14999847407452621"/>
      <name val="Cambria"/>
      <family val="1"/>
      <scheme val="minor"/>
    </font>
    <font>
      <sz val="9"/>
      <color theme="0" tint="-0.14999847407452621"/>
      <name val="Cambria"/>
      <family val="1"/>
      <scheme val="minor"/>
    </font>
    <font>
      <sz val="9"/>
      <color rgb="FFFF0000"/>
      <name val="Cambria"/>
      <family val="1"/>
      <scheme val="minor"/>
    </font>
    <font>
      <b/>
      <sz val="9"/>
      <color rgb="FFFF0000"/>
      <name val="Cambria"/>
      <family val="1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theme="2" tint="0.39997558519241921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36">
    <xf numFmtId="0" fontId="0" fillId="0" borderId="0" xfId="0"/>
    <xf numFmtId="0" fontId="2" fillId="2" borderId="0" xfId="0" applyFont="1" applyFill="1"/>
    <xf numFmtId="0" fontId="3" fillId="2" borderId="0" xfId="0" applyFont="1" applyFill="1"/>
    <xf numFmtId="0" fontId="2" fillId="2" borderId="0" xfId="0" applyFont="1" applyFill="1" applyAlignment="1">
      <alignment horizontal="center"/>
    </xf>
    <xf numFmtId="43" fontId="2" fillId="2" borderId="0" xfId="1" applyFont="1" applyFill="1"/>
    <xf numFmtId="165" fontId="2" fillId="2" borderId="0" xfId="2" applyNumberFormat="1" applyFont="1" applyFill="1"/>
    <xf numFmtId="0" fontId="2" fillId="2" borderId="1" xfId="0" applyFont="1" applyFill="1" applyBorder="1" applyAlignment="1">
      <alignment horizontal="left"/>
    </xf>
    <xf numFmtId="0" fontId="10" fillId="2" borderId="0" xfId="0" applyFont="1" applyFill="1" applyAlignment="1">
      <alignment horizontal="center"/>
    </xf>
    <xf numFmtId="0" fontId="11" fillId="2" borderId="0" xfId="0" applyFont="1" applyFill="1" applyAlignment="1">
      <alignment horizontal="center"/>
    </xf>
    <xf numFmtId="0" fontId="4" fillId="4" borderId="1" xfId="0" applyFont="1" applyFill="1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2" fillId="0" borderId="0" xfId="0" applyFont="1"/>
    <xf numFmtId="0" fontId="8" fillId="0" borderId="0" xfId="0" applyFont="1"/>
    <xf numFmtId="0" fontId="7" fillId="0" borderId="0" xfId="0" applyFont="1"/>
    <xf numFmtId="0" fontId="4" fillId="0" borderId="0" xfId="0" applyFont="1"/>
    <xf numFmtId="0" fontId="4" fillId="0" borderId="0" xfId="0" applyFont="1" applyAlignment="1">
      <alignment vertical="center"/>
    </xf>
    <xf numFmtId="0" fontId="13" fillId="2" borderId="0" xfId="0" applyFont="1" applyFill="1"/>
    <xf numFmtId="0" fontId="6" fillId="2" borderId="0" xfId="0" applyFont="1" applyFill="1"/>
    <xf numFmtId="0" fontId="7" fillId="2" borderId="0" xfId="0" applyFont="1" applyFill="1"/>
    <xf numFmtId="43" fontId="7" fillId="2" borderId="0" xfId="1" applyFont="1" applyFill="1"/>
    <xf numFmtId="164" fontId="7" fillId="2" borderId="0" xfId="1" applyNumberFormat="1" applyFont="1" applyFill="1"/>
    <xf numFmtId="0" fontId="8" fillId="2" borderId="0" xfId="0" applyFont="1" applyFill="1" applyAlignment="1">
      <alignment horizontal="center"/>
    </xf>
    <xf numFmtId="0" fontId="8" fillId="2" borderId="0" xfId="0" applyFont="1" applyFill="1"/>
    <xf numFmtId="165" fontId="8" fillId="2" borderId="0" xfId="2" applyNumberFormat="1" applyFont="1" applyFill="1" applyAlignment="1">
      <alignment horizontal="center"/>
    </xf>
    <xf numFmtId="43" fontId="8" fillId="2" borderId="0" xfId="1" applyFont="1" applyFill="1"/>
    <xf numFmtId="0" fontId="9" fillId="3" borderId="1" xfId="0" applyFont="1" applyFill="1" applyBorder="1" applyAlignment="1">
      <alignment horizontal="center" vertical="center"/>
    </xf>
    <xf numFmtId="0" fontId="15" fillId="2" borderId="0" xfId="0" applyFont="1" applyFill="1" applyAlignment="1">
      <alignment horizontal="center"/>
    </xf>
    <xf numFmtId="164" fontId="16" fillId="4" borderId="1" xfId="0" applyNumberFormat="1" applyFont="1" applyFill="1" applyBorder="1" applyAlignment="1">
      <alignment vertical="center"/>
    </xf>
    <xf numFmtId="0" fontId="17" fillId="0" borderId="0" xfId="0" applyFont="1"/>
    <xf numFmtId="164" fontId="17" fillId="4" borderId="1" xfId="0" applyNumberFormat="1" applyFont="1" applyFill="1" applyBorder="1" applyAlignment="1">
      <alignment vertical="center"/>
    </xf>
    <xf numFmtId="165" fontId="17" fillId="4" borderId="1" xfId="2" applyNumberFormat="1" applyFont="1" applyFill="1" applyBorder="1" applyAlignment="1">
      <alignment horizontal="center" vertical="center"/>
    </xf>
    <xf numFmtId="165" fontId="16" fillId="4" borderId="1" xfId="2" applyNumberFormat="1" applyFont="1" applyFill="1" applyBorder="1" applyAlignment="1">
      <alignment horizontal="center" vertical="center"/>
    </xf>
    <xf numFmtId="43" fontId="16" fillId="4" borderId="1" xfId="1" applyFont="1" applyFill="1" applyBorder="1" applyAlignment="1">
      <alignment vertical="center"/>
    </xf>
    <xf numFmtId="164" fontId="19" fillId="2" borderId="1" xfId="1" applyNumberFormat="1" applyFont="1" applyFill="1" applyBorder="1"/>
    <xf numFmtId="0" fontId="20" fillId="0" borderId="0" xfId="0" applyFont="1"/>
    <xf numFmtId="164" fontId="20" fillId="2" borderId="1" xfId="1" applyNumberFormat="1" applyFont="1" applyFill="1" applyBorder="1"/>
    <xf numFmtId="0" fontId="19" fillId="0" borderId="0" xfId="0" applyFont="1"/>
    <xf numFmtId="164" fontId="19" fillId="2" borderId="2" xfId="1" applyNumberFormat="1" applyFont="1" applyFill="1" applyBorder="1" applyAlignment="1">
      <alignment horizontal="center"/>
    </xf>
    <xf numFmtId="43" fontId="19" fillId="2" borderId="1" xfId="1" applyFont="1" applyFill="1" applyBorder="1"/>
    <xf numFmtId="0" fontId="16" fillId="0" borderId="0" xfId="0" applyFont="1" applyAlignment="1">
      <alignment vertical="center"/>
    </xf>
    <xf numFmtId="164" fontId="21" fillId="3" borderId="1" xfId="0" applyNumberFormat="1" applyFont="1" applyFill="1" applyBorder="1" applyAlignment="1">
      <alignment vertical="center"/>
    </xf>
    <xf numFmtId="164" fontId="22" fillId="3" borderId="1" xfId="0" applyNumberFormat="1" applyFont="1" applyFill="1" applyBorder="1" applyAlignment="1">
      <alignment vertical="center"/>
    </xf>
    <xf numFmtId="165" fontId="17" fillId="3" borderId="1" xfId="2" applyNumberFormat="1" applyFont="1" applyFill="1" applyBorder="1" applyAlignment="1">
      <alignment horizontal="center" vertical="center"/>
    </xf>
    <xf numFmtId="43" fontId="22" fillId="3" borderId="1" xfId="1" applyFont="1" applyFill="1" applyBorder="1" applyAlignment="1">
      <alignment vertical="center"/>
    </xf>
    <xf numFmtId="165" fontId="16" fillId="3" borderId="1" xfId="2" applyNumberFormat="1" applyFont="1" applyFill="1" applyBorder="1" applyAlignment="1">
      <alignment horizontal="center" vertical="center"/>
    </xf>
    <xf numFmtId="0" fontId="21" fillId="0" borderId="0" xfId="0" applyFont="1" applyAlignment="1">
      <alignment vertical="center"/>
    </xf>
    <xf numFmtId="43" fontId="21" fillId="3" borderId="1" xfId="1" applyFont="1" applyFill="1" applyBorder="1" applyAlignment="1">
      <alignment vertical="center"/>
    </xf>
    <xf numFmtId="0" fontId="19" fillId="2" borderId="0" xfId="0" applyFont="1" applyFill="1"/>
    <xf numFmtId="0" fontId="20" fillId="2" borderId="0" xfId="0" applyFont="1" applyFill="1"/>
    <xf numFmtId="0" fontId="20" fillId="2" borderId="0" xfId="0" applyFont="1" applyFill="1" applyAlignment="1">
      <alignment horizontal="center"/>
    </xf>
    <xf numFmtId="43" fontId="20" fillId="2" borderId="0" xfId="1" applyFont="1" applyFill="1"/>
    <xf numFmtId="0" fontId="19" fillId="2" borderId="0" xfId="0" applyFont="1" applyFill="1" applyAlignment="1">
      <alignment horizontal="center"/>
    </xf>
    <xf numFmtId="43" fontId="19" fillId="2" borderId="0" xfId="1" applyFont="1" applyFill="1"/>
    <xf numFmtId="164" fontId="19" fillId="2" borderId="0" xfId="1" applyNumberFormat="1" applyFont="1" applyFill="1"/>
    <xf numFmtId="165" fontId="19" fillId="2" borderId="0" xfId="2" applyNumberFormat="1" applyFont="1" applyFill="1"/>
    <xf numFmtId="0" fontId="23" fillId="0" borderId="0" xfId="0" applyFont="1"/>
    <xf numFmtId="164" fontId="20" fillId="2" borderId="0" xfId="0" applyNumberFormat="1" applyFont="1" applyFill="1"/>
    <xf numFmtId="0" fontId="24" fillId="0" borderId="0" xfId="0" applyFont="1" applyAlignment="1">
      <alignment vertical="center"/>
    </xf>
    <xf numFmtId="0" fontId="25" fillId="0" borderId="0" xfId="0" applyFont="1"/>
    <xf numFmtId="164" fontId="19" fillId="2" borderId="0" xfId="0" applyNumberFormat="1" applyFont="1" applyFill="1"/>
    <xf numFmtId="164" fontId="8" fillId="2" borderId="0" xfId="0" applyNumberFormat="1" applyFont="1" applyFill="1"/>
    <xf numFmtId="0" fontId="14" fillId="0" borderId="0" xfId="0" applyFont="1"/>
    <xf numFmtId="9" fontId="18" fillId="0" borderId="0" xfId="2" applyFont="1" applyFill="1"/>
    <xf numFmtId="0" fontId="18" fillId="0" borderId="0" xfId="0" applyFont="1"/>
    <xf numFmtId="0" fontId="15" fillId="0" borderId="0" xfId="0" applyFont="1" applyAlignment="1">
      <alignment horizontal="center"/>
    </xf>
    <xf numFmtId="0" fontId="26" fillId="0" borderId="0" xfId="0" applyFont="1"/>
    <xf numFmtId="43" fontId="7" fillId="0" borderId="0" xfId="1" applyFont="1" applyFill="1"/>
    <xf numFmtId="43" fontId="8" fillId="0" borderId="0" xfId="1" applyFont="1" applyFill="1"/>
    <xf numFmtId="164" fontId="21" fillId="5" borderId="1" xfId="0" applyNumberFormat="1" applyFont="1" applyFill="1" applyBorder="1" applyAlignment="1">
      <alignment vertical="center"/>
    </xf>
    <xf numFmtId="165" fontId="17" fillId="0" borderId="1" xfId="2" applyNumberFormat="1" applyFont="1" applyFill="1" applyBorder="1" applyAlignment="1">
      <alignment horizontal="center" vertical="center"/>
    </xf>
    <xf numFmtId="165" fontId="16" fillId="0" borderId="1" xfId="2" applyNumberFormat="1" applyFont="1" applyFill="1" applyBorder="1" applyAlignment="1">
      <alignment horizontal="center" vertical="center"/>
    </xf>
    <xf numFmtId="0" fontId="15" fillId="0" borderId="3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164" fontId="21" fillId="0" borderId="3" xfId="0" applyNumberFormat="1" applyFont="1" applyBorder="1" applyAlignment="1">
      <alignment vertical="center"/>
    </xf>
    <xf numFmtId="0" fontId="22" fillId="0" borderId="3" xfId="0" applyFont="1" applyBorder="1" applyAlignment="1">
      <alignment vertical="center"/>
    </xf>
    <xf numFmtId="164" fontId="22" fillId="0" borderId="3" xfId="0" applyNumberFormat="1" applyFont="1" applyBorder="1" applyAlignment="1">
      <alignment vertical="center"/>
    </xf>
    <xf numFmtId="165" fontId="17" fillId="0" borderId="3" xfId="2" applyNumberFormat="1" applyFont="1" applyFill="1" applyBorder="1" applyAlignment="1">
      <alignment horizontal="center" vertical="center"/>
    </xf>
    <xf numFmtId="43" fontId="22" fillId="0" borderId="3" xfId="1" applyFont="1" applyFill="1" applyBorder="1" applyAlignment="1">
      <alignment vertical="center"/>
    </xf>
    <xf numFmtId="0" fontId="21" fillId="0" borderId="3" xfId="0" applyFont="1" applyBorder="1" applyAlignment="1">
      <alignment vertical="center"/>
    </xf>
    <xf numFmtId="0" fontId="9" fillId="0" borderId="3" xfId="0" applyFont="1" applyBorder="1" applyAlignment="1">
      <alignment vertical="center"/>
    </xf>
    <xf numFmtId="10" fontId="17" fillId="4" borderId="1" xfId="2" applyNumberFormat="1" applyFont="1" applyFill="1" applyBorder="1" applyAlignment="1">
      <alignment horizontal="center" vertical="center"/>
    </xf>
    <xf numFmtId="10" fontId="17" fillId="3" borderId="1" xfId="2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64" fontId="16" fillId="0" borderId="1" xfId="0" applyNumberFormat="1" applyFont="1" applyBorder="1" applyAlignment="1">
      <alignment vertical="center"/>
    </xf>
    <xf numFmtId="164" fontId="17" fillId="0" borderId="1" xfId="0" applyNumberFormat="1" applyFont="1" applyBorder="1" applyAlignment="1">
      <alignment vertical="center"/>
    </xf>
    <xf numFmtId="164" fontId="27" fillId="0" borderId="1" xfId="0" applyNumberFormat="1" applyFont="1" applyBorder="1" applyAlignment="1">
      <alignment horizontal="center" vertical="center"/>
    </xf>
    <xf numFmtId="0" fontId="16" fillId="0" borderId="0" xfId="0" applyFont="1"/>
    <xf numFmtId="43" fontId="17" fillId="0" borderId="1" xfId="0" applyNumberFormat="1" applyFont="1" applyBorder="1" applyAlignment="1">
      <alignment vertical="center"/>
    </xf>
    <xf numFmtId="43" fontId="27" fillId="0" borderId="1" xfId="0" applyNumberFormat="1" applyFont="1" applyBorder="1" applyAlignment="1">
      <alignment horizontal="center" vertical="center"/>
    </xf>
    <xf numFmtId="164" fontId="28" fillId="0" borderId="1" xfId="1" applyNumberFormat="1" applyFont="1" applyFill="1" applyBorder="1" applyAlignment="1">
      <alignment horizontal="center" vertical="center"/>
    </xf>
    <xf numFmtId="43" fontId="28" fillId="0" borderId="1" xfId="1" applyFont="1" applyFill="1" applyBorder="1" applyAlignment="1">
      <alignment horizontal="center" vertical="center"/>
    </xf>
    <xf numFmtId="165" fontId="16" fillId="0" borderId="0" xfId="0" applyNumberFormat="1" applyFont="1"/>
    <xf numFmtId="165" fontId="19" fillId="0" borderId="0" xfId="0" applyNumberFormat="1" applyFont="1"/>
    <xf numFmtId="164" fontId="21" fillId="5" borderId="14" xfId="0" applyNumberFormat="1" applyFont="1" applyFill="1" applyBorder="1" applyAlignment="1">
      <alignment vertical="center"/>
    </xf>
    <xf numFmtId="0" fontId="9" fillId="3" borderId="14" xfId="0" applyFont="1" applyFill="1" applyBorder="1" applyAlignment="1">
      <alignment horizontal="center" vertical="center"/>
    </xf>
    <xf numFmtId="165" fontId="17" fillId="3" borderId="14" xfId="2" applyNumberFormat="1" applyFont="1" applyFill="1" applyBorder="1" applyAlignment="1">
      <alignment horizontal="center" vertical="center"/>
    </xf>
    <xf numFmtId="0" fontId="16" fillId="0" borderId="14" xfId="0" applyFont="1" applyBorder="1" applyAlignment="1">
      <alignment vertical="center"/>
    </xf>
    <xf numFmtId="10" fontId="22" fillId="3" borderId="14" xfId="2" applyNumberFormat="1" applyFont="1" applyFill="1" applyBorder="1" applyAlignment="1">
      <alignment horizontal="center" vertical="center"/>
    </xf>
    <xf numFmtId="0" fontId="21" fillId="0" borderId="14" xfId="0" applyFont="1" applyBorder="1" applyAlignment="1">
      <alignment vertical="center"/>
    </xf>
    <xf numFmtId="43" fontId="22" fillId="3" borderId="14" xfId="1" applyFont="1" applyFill="1" applyBorder="1" applyAlignment="1">
      <alignment vertical="center"/>
    </xf>
    <xf numFmtId="10" fontId="17" fillId="3" borderId="14" xfId="2" applyNumberFormat="1" applyFont="1" applyFill="1" applyBorder="1" applyAlignment="1">
      <alignment horizontal="center" vertical="center"/>
    </xf>
    <xf numFmtId="9" fontId="18" fillId="0" borderId="14" xfId="2" applyFont="1" applyFill="1" applyBorder="1"/>
    <xf numFmtId="165" fontId="22" fillId="3" borderId="14" xfId="2" applyNumberFormat="1" applyFont="1" applyFill="1" applyBorder="1" applyAlignment="1">
      <alignment horizontal="center" vertical="center"/>
    </xf>
    <xf numFmtId="43" fontId="21" fillId="3" borderId="14" xfId="1" applyFont="1" applyFill="1" applyBorder="1" applyAlignment="1">
      <alignment vertical="center"/>
    </xf>
    <xf numFmtId="164" fontId="20" fillId="2" borderId="0" xfId="1" applyNumberFormat="1" applyFont="1" applyFill="1"/>
    <xf numFmtId="49" fontId="4" fillId="0" borderId="1" xfId="0" applyNumberFormat="1" applyFont="1" applyBorder="1" applyAlignment="1">
      <alignment horizontal="center" vertical="center"/>
    </xf>
    <xf numFmtId="0" fontId="41" fillId="0" borderId="5" xfId="0" applyFont="1" applyBorder="1" applyAlignment="1">
      <alignment horizontal="center"/>
    </xf>
    <xf numFmtId="0" fontId="42" fillId="0" borderId="0" xfId="0" applyFont="1"/>
    <xf numFmtId="10" fontId="20" fillId="0" borderId="1" xfId="2" applyNumberFormat="1" applyFont="1" applyFill="1" applyBorder="1" applyAlignment="1">
      <alignment horizontal="center" vertical="center"/>
    </xf>
    <xf numFmtId="164" fontId="2" fillId="2" borderId="0" xfId="0" applyNumberFormat="1" applyFont="1" applyFill="1"/>
    <xf numFmtId="165" fontId="16" fillId="0" borderId="3" xfId="2" applyNumberFormat="1" applyFont="1" applyFill="1" applyBorder="1" applyAlignment="1">
      <alignment horizontal="center" vertical="center"/>
    </xf>
    <xf numFmtId="0" fontId="43" fillId="2" borderId="0" xfId="0" applyFont="1" applyFill="1" applyAlignment="1">
      <alignment horizontal="center"/>
    </xf>
    <xf numFmtId="165" fontId="16" fillId="3" borderId="14" xfId="2" applyNumberFormat="1" applyFont="1" applyFill="1" applyBorder="1" applyAlignment="1">
      <alignment horizontal="center" vertical="center"/>
    </xf>
    <xf numFmtId="0" fontId="7" fillId="2" borderId="0" xfId="0" applyFont="1" applyFill="1" applyAlignment="1">
      <alignment horizontal="center"/>
    </xf>
    <xf numFmtId="0" fontId="43" fillId="2" borderId="0" xfId="0" applyFont="1" applyFill="1"/>
    <xf numFmtId="165" fontId="16" fillId="2" borderId="1" xfId="2" applyNumberFormat="1" applyFont="1" applyFill="1" applyBorder="1" applyAlignment="1">
      <alignment horizontal="center" vertical="center"/>
    </xf>
    <xf numFmtId="0" fontId="43" fillId="0" borderId="0" xfId="0" applyFont="1"/>
    <xf numFmtId="165" fontId="40" fillId="2" borderId="0" xfId="2" applyNumberFormat="1" applyFont="1" applyFill="1" applyAlignment="1">
      <alignment horizontal="center"/>
    </xf>
    <xf numFmtId="165" fontId="16" fillId="2" borderId="0" xfId="2" applyNumberFormat="1" applyFont="1" applyFill="1"/>
    <xf numFmtId="165" fontId="45" fillId="2" borderId="0" xfId="2" applyNumberFormat="1" applyFont="1" applyFill="1"/>
    <xf numFmtId="165" fontId="46" fillId="0" borderId="1" xfId="2" applyNumberFormat="1" applyFont="1" applyFill="1" applyBorder="1" applyAlignment="1">
      <alignment horizontal="center" vertical="center"/>
    </xf>
    <xf numFmtId="165" fontId="46" fillId="0" borderId="3" xfId="2" applyNumberFormat="1" applyFont="1" applyFill="1" applyBorder="1" applyAlignment="1">
      <alignment horizontal="center" vertical="center"/>
    </xf>
    <xf numFmtId="165" fontId="46" fillId="5" borderId="1" xfId="2" applyNumberFormat="1" applyFont="1" applyFill="1" applyBorder="1" applyAlignment="1">
      <alignment horizontal="center" vertical="center"/>
    </xf>
    <xf numFmtId="165" fontId="47" fillId="2" borderId="1" xfId="2" applyNumberFormat="1" applyFont="1" applyFill="1" applyBorder="1" applyAlignment="1">
      <alignment horizontal="center" vertical="center"/>
    </xf>
    <xf numFmtId="165" fontId="47" fillId="4" borderId="1" xfId="2" applyNumberFormat="1" applyFont="1" applyFill="1" applyBorder="1" applyAlignment="1">
      <alignment horizontal="center" vertical="center"/>
    </xf>
    <xf numFmtId="165" fontId="48" fillId="2" borderId="0" xfId="2" applyNumberFormat="1" applyFont="1" applyFill="1" applyAlignment="1">
      <alignment horizontal="center"/>
    </xf>
    <xf numFmtId="165" fontId="47" fillId="5" borderId="14" xfId="2" applyNumberFormat="1" applyFont="1" applyFill="1" applyBorder="1" applyAlignment="1">
      <alignment horizontal="center" vertical="center"/>
    </xf>
    <xf numFmtId="10" fontId="19" fillId="0" borderId="1" xfId="2" applyNumberFormat="1" applyFont="1" applyFill="1" applyBorder="1" applyAlignment="1">
      <alignment horizontal="center" vertical="center"/>
    </xf>
    <xf numFmtId="10" fontId="16" fillId="4" borderId="1" xfId="2" applyNumberFormat="1" applyFont="1" applyFill="1" applyBorder="1" applyAlignment="1">
      <alignment horizontal="center" vertical="center"/>
    </xf>
    <xf numFmtId="10" fontId="21" fillId="3" borderId="14" xfId="2" applyNumberFormat="1" applyFont="1" applyFill="1" applyBorder="1" applyAlignment="1">
      <alignment horizontal="center" vertical="center"/>
    </xf>
    <xf numFmtId="164" fontId="20" fillId="0" borderId="1" xfId="1" applyNumberFormat="1" applyFont="1" applyFill="1" applyBorder="1"/>
    <xf numFmtId="165" fontId="54" fillId="2" borderId="1" xfId="2" applyNumberFormat="1" applyFont="1" applyFill="1" applyBorder="1" applyAlignment="1">
      <alignment horizontal="center" vertical="center"/>
    </xf>
    <xf numFmtId="0" fontId="29" fillId="6" borderId="0" xfId="0" applyFont="1" applyFill="1"/>
    <xf numFmtId="0" fontId="11" fillId="6" borderId="0" xfId="0" applyFont="1" applyFill="1" applyAlignment="1">
      <alignment horizontal="center"/>
    </xf>
    <xf numFmtId="0" fontId="31" fillId="6" borderId="0" xfId="0" applyFont="1" applyFill="1" applyAlignment="1">
      <alignment vertical="center"/>
    </xf>
    <xf numFmtId="0" fontId="58" fillId="6" borderId="0" xfId="0" applyFont="1" applyFill="1" applyAlignment="1">
      <alignment vertical="center"/>
    </xf>
    <xf numFmtId="0" fontId="37" fillId="6" borderId="6" xfId="0" applyFont="1" applyFill="1" applyBorder="1"/>
    <xf numFmtId="43" fontId="40" fillId="6" borderId="6" xfId="1" applyFont="1" applyFill="1" applyBorder="1" applyAlignment="1">
      <alignment horizontal="center" vertical="center" wrapText="1"/>
    </xf>
    <xf numFmtId="0" fontId="37" fillId="6" borderId="0" xfId="0" applyFont="1" applyFill="1"/>
    <xf numFmtId="43" fontId="47" fillId="6" borderId="6" xfId="1" applyFont="1" applyFill="1" applyBorder="1" applyAlignment="1">
      <alignment horizontal="center" vertical="center" wrapText="1"/>
    </xf>
    <xf numFmtId="43" fontId="56" fillId="6" borderId="6" xfId="1" applyFont="1" applyFill="1" applyBorder="1" applyAlignment="1">
      <alignment horizontal="center" vertical="center" wrapText="1"/>
    </xf>
    <xf numFmtId="43" fontId="40" fillId="6" borderId="7" xfId="1" applyFont="1" applyFill="1" applyBorder="1" applyAlignment="1">
      <alignment horizontal="center" vertical="center" wrapText="1"/>
    </xf>
    <xf numFmtId="0" fontId="52" fillId="6" borderId="0" xfId="0" applyFont="1" applyFill="1"/>
    <xf numFmtId="165" fontId="52" fillId="6" borderId="0" xfId="2" applyNumberFormat="1" applyFont="1" applyFill="1"/>
    <xf numFmtId="0" fontId="53" fillId="6" borderId="0" xfId="0" applyFont="1" applyFill="1"/>
    <xf numFmtId="0" fontId="52" fillId="6" borderId="0" xfId="0" applyFont="1" applyFill="1" applyAlignment="1">
      <alignment horizontal="center"/>
    </xf>
    <xf numFmtId="43" fontId="52" fillId="6" borderId="0" xfId="1" applyFont="1" applyFill="1"/>
    <xf numFmtId="0" fontId="49" fillId="6" borderId="0" xfId="0" applyFont="1" applyFill="1" applyAlignment="1">
      <alignment horizontal="center"/>
    </xf>
    <xf numFmtId="0" fontId="50" fillId="6" borderId="0" xfId="0" applyFont="1" applyFill="1"/>
    <xf numFmtId="43" fontId="37" fillId="6" borderId="0" xfId="1" applyFont="1" applyFill="1"/>
    <xf numFmtId="0" fontId="51" fillId="6" borderId="0" xfId="0" applyFont="1" applyFill="1"/>
    <xf numFmtId="0" fontId="36" fillId="6" borderId="0" xfId="0" applyFont="1" applyFill="1"/>
    <xf numFmtId="43" fontId="59" fillId="6" borderId="6" xfId="1" applyFont="1" applyFill="1" applyBorder="1" applyAlignment="1">
      <alignment horizontal="center" vertical="center" wrapText="1"/>
    </xf>
    <xf numFmtId="0" fontId="58" fillId="6" borderId="0" xfId="0" applyFont="1" applyFill="1"/>
    <xf numFmtId="43" fontId="4" fillId="6" borderId="7" xfId="1" applyFont="1" applyFill="1" applyBorder="1" applyAlignment="1">
      <alignment horizontal="center" vertical="center" wrapText="1"/>
    </xf>
    <xf numFmtId="0" fontId="5" fillId="6" borderId="0" xfId="0" applyFont="1" applyFill="1" applyAlignment="1">
      <alignment horizontal="center" vertical="center"/>
    </xf>
    <xf numFmtId="166" fontId="57" fillId="6" borderId="10" xfId="0" applyNumberFormat="1" applyFont="1" applyFill="1" applyBorder="1" applyAlignment="1">
      <alignment vertical="center"/>
    </xf>
    <xf numFmtId="0" fontId="11" fillId="0" borderId="0" xfId="0" applyFont="1" applyAlignment="1">
      <alignment horizontal="center"/>
    </xf>
    <xf numFmtId="0" fontId="35" fillId="0" borderId="0" xfId="0" applyFont="1" applyAlignment="1">
      <alignment horizontal="center"/>
    </xf>
    <xf numFmtId="0" fontId="39" fillId="0" borderId="0" xfId="0" applyFont="1" applyAlignment="1">
      <alignment horizontal="center" vertical="center"/>
    </xf>
    <xf numFmtId="0" fontId="35" fillId="0" borderId="5" xfId="0" applyFont="1" applyBorder="1" applyAlignment="1">
      <alignment horizontal="center"/>
    </xf>
    <xf numFmtId="0" fontId="32" fillId="0" borderId="0" xfId="0" applyFont="1" applyAlignment="1">
      <alignment horizontal="center"/>
    </xf>
    <xf numFmtId="0" fontId="3" fillId="0" borderId="0" xfId="0" applyFont="1"/>
    <xf numFmtId="0" fontId="33" fillId="0" borderId="0" xfId="0" applyFont="1" applyAlignment="1">
      <alignment horizontal="center"/>
    </xf>
    <xf numFmtId="0" fontId="34" fillId="0" borderId="0" xfId="0" applyFont="1" applyAlignment="1">
      <alignment horizontal="center" vertical="center"/>
    </xf>
    <xf numFmtId="0" fontId="31" fillId="4" borderId="8" xfId="0" applyFont="1" applyFill="1" applyBorder="1" applyAlignment="1">
      <alignment vertical="center"/>
    </xf>
    <xf numFmtId="0" fontId="29" fillId="4" borderId="16" xfId="0" applyFont="1" applyFill="1" applyBorder="1"/>
    <xf numFmtId="0" fontId="30" fillId="4" borderId="16" xfId="0" applyFont="1" applyFill="1" applyBorder="1"/>
    <xf numFmtId="165" fontId="44" fillId="4" borderId="16" xfId="2" applyNumberFormat="1" applyFont="1" applyFill="1" applyBorder="1"/>
    <xf numFmtId="0" fontId="14" fillId="4" borderId="16" xfId="0" applyFont="1" applyFill="1" applyBorder="1" applyAlignment="1">
      <alignment horizontal="center"/>
    </xf>
    <xf numFmtId="0" fontId="14" fillId="4" borderId="16" xfId="0" applyFont="1" applyFill="1" applyBorder="1"/>
    <xf numFmtId="0" fontId="30" fillId="4" borderId="16" xfId="0" applyFont="1" applyFill="1" applyBorder="1" applyAlignment="1">
      <alignment horizontal="center"/>
    </xf>
    <xf numFmtId="43" fontId="30" fillId="4" borderId="16" xfId="1" applyFont="1" applyFill="1" applyBorder="1"/>
    <xf numFmtId="164" fontId="14" fillId="4" borderId="16" xfId="1" applyNumberFormat="1" applyFont="1" applyFill="1" applyBorder="1"/>
    <xf numFmtId="43" fontId="14" fillId="4" borderId="16" xfId="1" applyFont="1" applyFill="1" applyBorder="1"/>
    <xf numFmtId="0" fontId="14" fillId="4" borderId="19" xfId="0" applyFont="1" applyFill="1" applyBorder="1"/>
    <xf numFmtId="0" fontId="30" fillId="4" borderId="0" xfId="0" applyFont="1" applyFill="1" applyAlignment="1">
      <alignment horizontal="center"/>
    </xf>
    <xf numFmtId="0" fontId="11" fillId="4" borderId="0" xfId="0" applyFont="1" applyFill="1" applyAlignment="1">
      <alignment horizontal="center"/>
    </xf>
    <xf numFmtId="166" fontId="38" fillId="4" borderId="0" xfId="0" applyNumberFormat="1" applyFont="1" applyFill="1" applyAlignment="1">
      <alignment horizontal="center" vertical="center"/>
    </xf>
    <xf numFmtId="0" fontId="37" fillId="4" borderId="0" xfId="0" applyFont="1" applyFill="1" applyAlignment="1">
      <alignment horizontal="center"/>
    </xf>
    <xf numFmtId="0" fontId="31" fillId="4" borderId="0" xfId="0" applyFont="1" applyFill="1" applyAlignment="1">
      <alignment vertical="center"/>
    </xf>
    <xf numFmtId="0" fontId="58" fillId="4" borderId="0" xfId="0" applyFont="1" applyFill="1" applyAlignment="1">
      <alignment vertical="center"/>
    </xf>
    <xf numFmtId="0" fontId="39" fillId="4" borderId="0" xfId="0" applyFont="1" applyFill="1" applyAlignment="1">
      <alignment vertical="center"/>
    </xf>
    <xf numFmtId="0" fontId="37" fillId="6" borderId="17" xfId="0" applyFont="1" applyFill="1" applyBorder="1"/>
    <xf numFmtId="0" fontId="43" fillId="6" borderId="17" xfId="0" applyFont="1" applyFill="1" applyBorder="1"/>
    <xf numFmtId="0" fontId="37" fillId="6" borderId="12" xfId="0" applyFont="1" applyFill="1" applyBorder="1"/>
    <xf numFmtId="0" fontId="61" fillId="0" borderId="0" xfId="0" applyFont="1" applyAlignment="1">
      <alignment horizontal="center"/>
    </xf>
    <xf numFmtId="0" fontId="61" fillId="6" borderId="0" xfId="0" applyFont="1" applyFill="1" applyAlignment="1">
      <alignment horizontal="center"/>
    </xf>
    <xf numFmtId="0" fontId="61" fillId="4" borderId="0" xfId="0" applyFont="1" applyFill="1" applyAlignment="1">
      <alignment horizontal="center"/>
    </xf>
    <xf numFmtId="0" fontId="62" fillId="4" borderId="20" xfId="0" applyFont="1" applyFill="1" applyBorder="1" applyAlignment="1">
      <alignment horizontal="center"/>
    </xf>
    <xf numFmtId="0" fontId="64" fillId="6" borderId="0" xfId="0" applyFont="1" applyFill="1" applyAlignment="1">
      <alignment horizontal="center"/>
    </xf>
    <xf numFmtId="0" fontId="63" fillId="6" borderId="0" xfId="0" applyFont="1" applyFill="1" applyAlignment="1">
      <alignment horizontal="center"/>
    </xf>
    <xf numFmtId="164" fontId="63" fillId="6" borderId="0" xfId="1" applyNumberFormat="1" applyFont="1" applyFill="1" applyAlignment="1">
      <alignment horizontal="center"/>
    </xf>
    <xf numFmtId="0" fontId="30" fillId="6" borderId="16" xfId="0" applyFont="1" applyFill="1" applyBorder="1" applyAlignment="1">
      <alignment horizontal="center" vertical="center"/>
    </xf>
    <xf numFmtId="0" fontId="30" fillId="6" borderId="17" xfId="0" applyFont="1" applyFill="1" applyBorder="1" applyAlignment="1">
      <alignment horizontal="center" vertical="center"/>
    </xf>
    <xf numFmtId="0" fontId="4" fillId="6" borderId="9" xfId="0" applyFont="1" applyFill="1" applyBorder="1" applyAlignment="1">
      <alignment horizontal="center" vertical="center"/>
    </xf>
    <xf numFmtId="0" fontId="4" fillId="6" borderId="11" xfId="0" applyFont="1" applyFill="1" applyBorder="1" applyAlignment="1">
      <alignment horizontal="center" vertical="center"/>
    </xf>
    <xf numFmtId="0" fontId="4" fillId="6" borderId="10" xfId="0" applyFont="1" applyFill="1" applyBorder="1" applyAlignment="1">
      <alignment horizontal="center" vertical="center"/>
    </xf>
    <xf numFmtId="0" fontId="30" fillId="6" borderId="0" xfId="0" applyFont="1" applyFill="1" applyAlignment="1">
      <alignment horizontal="center" vertical="center"/>
    </xf>
    <xf numFmtId="0" fontId="55" fillId="6" borderId="9" xfId="0" applyFont="1" applyFill="1" applyBorder="1" applyAlignment="1">
      <alignment horizontal="center" vertical="center" wrapText="1"/>
    </xf>
    <xf numFmtId="0" fontId="55" fillId="6" borderId="10" xfId="0" applyFont="1" applyFill="1" applyBorder="1" applyAlignment="1">
      <alignment horizontal="center" vertical="center" wrapText="1"/>
    </xf>
    <xf numFmtId="0" fontId="55" fillId="6" borderId="11" xfId="0" applyFont="1" applyFill="1" applyBorder="1" applyAlignment="1">
      <alignment horizontal="center" vertical="center" wrapText="1"/>
    </xf>
    <xf numFmtId="166" fontId="57" fillId="6" borderId="9" xfId="0" applyNumberFormat="1" applyFont="1" applyFill="1" applyBorder="1" applyAlignment="1">
      <alignment horizontal="center" vertical="center"/>
    </xf>
    <xf numFmtId="166" fontId="57" fillId="6" borderId="10" xfId="0" applyNumberFormat="1" applyFont="1" applyFill="1" applyBorder="1" applyAlignment="1">
      <alignment horizontal="center" vertical="center"/>
    </xf>
    <xf numFmtId="166" fontId="57" fillId="6" borderId="11" xfId="0" applyNumberFormat="1" applyFont="1" applyFill="1" applyBorder="1" applyAlignment="1">
      <alignment horizontal="center" vertical="center"/>
    </xf>
    <xf numFmtId="0" fontId="5" fillId="6" borderId="9" xfId="0" applyFont="1" applyFill="1" applyBorder="1" applyAlignment="1">
      <alignment horizontal="center" vertical="center"/>
    </xf>
    <xf numFmtId="0" fontId="5" fillId="6" borderId="11" xfId="0" applyFont="1" applyFill="1" applyBorder="1" applyAlignment="1">
      <alignment horizontal="center" vertical="center"/>
    </xf>
    <xf numFmtId="0" fontId="5" fillId="6" borderId="10" xfId="0" applyFont="1" applyFill="1" applyBorder="1" applyAlignment="1">
      <alignment horizontal="center" vertical="center"/>
    </xf>
    <xf numFmtId="0" fontId="40" fillId="6" borderId="9" xfId="0" applyFont="1" applyFill="1" applyBorder="1" applyAlignment="1">
      <alignment horizontal="center" vertical="center"/>
    </xf>
    <xf numFmtId="0" fontId="40" fillId="6" borderId="11" xfId="0" applyFont="1" applyFill="1" applyBorder="1" applyAlignment="1">
      <alignment horizontal="center" vertical="center"/>
    </xf>
    <xf numFmtId="0" fontId="12" fillId="3" borderId="15" xfId="0" applyFont="1" applyFill="1" applyBorder="1" applyAlignment="1">
      <alignment horizontal="center" vertical="center" textRotation="255" wrapText="1"/>
    </xf>
    <xf numFmtId="0" fontId="12" fillId="3" borderId="4" xfId="0" applyFont="1" applyFill="1" applyBorder="1" applyAlignment="1">
      <alignment horizontal="center" vertical="top" textRotation="255"/>
    </xf>
    <xf numFmtId="0" fontId="12" fillId="3" borderId="4" xfId="0" applyFont="1" applyFill="1" applyBorder="1" applyAlignment="1">
      <alignment horizontal="center" vertical="center" textRotation="255"/>
    </xf>
    <xf numFmtId="0" fontId="12" fillId="3" borderId="4" xfId="0" quotePrefix="1" applyFont="1" applyFill="1" applyBorder="1" applyAlignment="1">
      <alignment horizontal="center" vertical="top" textRotation="255"/>
    </xf>
    <xf numFmtId="0" fontId="12" fillId="3" borderId="1" xfId="0" applyFont="1" applyFill="1" applyBorder="1" applyAlignment="1">
      <alignment horizontal="center" vertical="center" textRotation="255"/>
    </xf>
    <xf numFmtId="0" fontId="5" fillId="4" borderId="7" xfId="0" applyFont="1" applyFill="1" applyBorder="1" applyAlignment="1">
      <alignment horizontal="center" vertical="center"/>
    </xf>
    <xf numFmtId="0" fontId="47" fillId="4" borderId="7" xfId="0" applyFont="1" applyFill="1" applyBorder="1" applyAlignment="1">
      <alignment horizontal="center" vertical="center" wrapText="1"/>
    </xf>
    <xf numFmtId="0" fontId="30" fillId="4" borderId="18" xfId="0" applyFont="1" applyFill="1" applyBorder="1" applyAlignment="1">
      <alignment horizontal="center" vertical="center"/>
    </xf>
    <xf numFmtId="0" fontId="30" fillId="4" borderId="16" xfId="0" applyFont="1" applyFill="1" applyBorder="1" applyAlignment="1">
      <alignment horizontal="center" vertical="center"/>
    </xf>
    <xf numFmtId="0" fontId="30" fillId="4" borderId="8" xfId="0" applyFont="1" applyFill="1" applyBorder="1" applyAlignment="1">
      <alignment horizontal="center" vertical="center"/>
    </xf>
    <xf numFmtId="0" fontId="30" fillId="4" borderId="0" xfId="0" applyFont="1" applyFill="1" applyAlignment="1">
      <alignment horizontal="center" vertical="center"/>
    </xf>
    <xf numFmtId="0" fontId="5" fillId="4" borderId="6" xfId="0" applyFont="1" applyFill="1" applyBorder="1" applyAlignment="1">
      <alignment horizontal="center" vertical="center"/>
    </xf>
    <xf numFmtId="0" fontId="60" fillId="4" borderId="7" xfId="0" applyFont="1" applyFill="1" applyBorder="1" applyAlignment="1">
      <alignment horizontal="center" vertical="center"/>
    </xf>
    <xf numFmtId="0" fontId="55" fillId="4" borderId="9" xfId="0" applyFont="1" applyFill="1" applyBorder="1" applyAlignment="1">
      <alignment horizontal="center" vertical="center" wrapText="1"/>
    </xf>
    <xf numFmtId="0" fontId="55" fillId="4" borderId="10" xfId="0" applyFont="1" applyFill="1" applyBorder="1" applyAlignment="1">
      <alignment horizontal="center" vertical="center" wrapText="1"/>
    </xf>
    <xf numFmtId="0" fontId="55" fillId="4" borderId="11" xfId="0" applyFont="1" applyFill="1" applyBorder="1" applyAlignment="1">
      <alignment horizontal="center" vertical="center" wrapText="1"/>
    </xf>
    <xf numFmtId="166" fontId="57" fillId="4" borderId="9" xfId="0" applyNumberFormat="1" applyFont="1" applyFill="1" applyBorder="1" applyAlignment="1">
      <alignment horizontal="center" vertical="center"/>
    </xf>
    <xf numFmtId="166" fontId="57" fillId="4" borderId="10" xfId="0" applyNumberFormat="1" applyFont="1" applyFill="1" applyBorder="1" applyAlignment="1">
      <alignment horizontal="center" vertical="center"/>
    </xf>
    <xf numFmtId="166" fontId="57" fillId="4" borderId="11" xfId="0" applyNumberFormat="1" applyFont="1" applyFill="1" applyBorder="1" applyAlignment="1">
      <alignment horizontal="center" vertical="center"/>
    </xf>
    <xf numFmtId="0" fontId="60" fillId="4" borderId="12" xfId="0" applyFont="1" applyFill="1" applyBorder="1" applyAlignment="1">
      <alignment horizontal="center" vertical="center"/>
    </xf>
    <xf numFmtId="0" fontId="60" fillId="4" borderId="13" xfId="0" applyFont="1" applyFill="1" applyBorder="1" applyAlignment="1">
      <alignment horizontal="center" vertical="center"/>
    </xf>
    <xf numFmtId="0" fontId="60" fillId="4" borderId="7" xfId="0" applyFont="1" applyFill="1" applyBorder="1" applyAlignment="1">
      <alignment horizontal="center" vertical="center" wrapText="1"/>
    </xf>
    <xf numFmtId="0" fontId="40" fillId="4" borderId="12" xfId="0" applyFont="1" applyFill="1" applyBorder="1" applyAlignment="1">
      <alignment horizontal="center" vertical="center"/>
    </xf>
    <xf numFmtId="0" fontId="40" fillId="4" borderId="13" xfId="0" applyFont="1" applyFill="1" applyBorder="1" applyAlignment="1">
      <alignment horizontal="center" vertical="center"/>
    </xf>
    <xf numFmtId="0" fontId="11" fillId="4" borderId="16" xfId="0" applyFont="1" applyFill="1" applyBorder="1" applyAlignment="1">
      <alignment horizontal="center" vertical="center"/>
    </xf>
    <xf numFmtId="0" fontId="11" fillId="4" borderId="17" xfId="0" applyFont="1" applyFill="1" applyBorder="1" applyAlignment="1">
      <alignment horizontal="center" vertical="center"/>
    </xf>
  </cellXfs>
  <cellStyles count="3">
    <cellStyle name="Normal" xfId="0" builtinId="0"/>
    <cellStyle name="Porcentagem" xfId="2" builtinId="5"/>
    <cellStyle name="Vírgula" xfId="1" builtinId="3"/>
  </cellStyles>
  <dxfs count="184"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/>
        <i val="0"/>
        <color rgb="FFFF0000"/>
      </font>
    </dxf>
    <dxf>
      <font>
        <b/>
        <i val="0"/>
        <color rgb="FFFF66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66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66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66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6600"/>
      </font>
    </dxf>
    <dxf>
      <font>
        <b/>
        <i val="0"/>
        <color rgb="FF008000"/>
      </font>
    </dxf>
    <dxf>
      <font>
        <b val="0"/>
        <i val="0"/>
        <color rgb="FFFF0000"/>
      </font>
    </dxf>
    <dxf>
      <font>
        <b val="0"/>
        <i val="0"/>
        <color rgb="FFFF6600"/>
      </font>
    </dxf>
    <dxf>
      <font>
        <b/>
        <i val="0"/>
        <color rgb="FF008000"/>
      </font>
    </dxf>
    <dxf>
      <font>
        <b val="0"/>
        <i val="0"/>
        <color rgb="FFFF99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0000"/>
      </font>
    </dxf>
    <dxf>
      <font>
        <b/>
        <i val="0"/>
        <color rgb="FFFF0000"/>
      </font>
    </dxf>
    <dxf>
      <font>
        <b/>
        <i val="0"/>
        <color rgb="FFFF66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66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66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6600"/>
      </font>
    </dxf>
    <dxf>
      <font>
        <b/>
        <i val="0"/>
        <color rgb="FF008000"/>
      </font>
    </dxf>
    <dxf>
      <font>
        <b val="0"/>
        <i val="0"/>
        <color rgb="FFFF0000"/>
      </font>
    </dxf>
    <dxf>
      <font>
        <b val="0"/>
        <i val="0"/>
        <color rgb="FFFF6600"/>
      </font>
    </dxf>
    <dxf>
      <font>
        <b/>
        <i val="0"/>
        <color rgb="FF008000"/>
      </font>
    </dxf>
    <dxf>
      <font>
        <b val="0"/>
        <i val="0"/>
        <color rgb="FFFF99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6600"/>
      </font>
    </dxf>
    <dxf>
      <font>
        <b/>
        <i val="0"/>
        <color rgb="FF008000"/>
      </font>
    </dxf>
    <dxf>
      <font>
        <b/>
        <i val="0"/>
        <color rgb="FF00B05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/>
        <i val="0"/>
        <color rgb="FFFF0000"/>
      </font>
    </dxf>
    <dxf>
      <font>
        <b/>
        <i val="0"/>
        <color rgb="FFFF66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66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6600"/>
      </font>
    </dxf>
    <dxf>
      <font>
        <b/>
        <i val="0"/>
        <color rgb="FF008000"/>
      </font>
    </dxf>
    <dxf>
      <font>
        <b val="0"/>
        <i val="0"/>
        <color rgb="FFFF0000"/>
      </font>
    </dxf>
    <dxf>
      <font>
        <b/>
        <i val="0"/>
        <color rgb="FF00B05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66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66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FF66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FF66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FF6600"/>
      </font>
    </dxf>
    <dxf>
      <font>
        <b/>
        <i val="0"/>
        <color rgb="FFFF0000"/>
      </font>
    </dxf>
    <dxf>
      <font>
        <b val="0"/>
        <i val="0"/>
        <color rgb="FF008000"/>
      </font>
    </dxf>
    <dxf>
      <font>
        <b val="0"/>
        <i val="0"/>
        <color rgb="FFFF6600"/>
      </font>
    </dxf>
    <dxf>
      <font>
        <b val="0"/>
        <i val="0"/>
        <color rgb="FFFF0000"/>
      </font>
    </dxf>
    <dxf>
      <font>
        <b/>
        <i val="0"/>
        <color rgb="FF008000"/>
      </font>
    </dxf>
    <dxf>
      <font>
        <b/>
        <i val="0"/>
        <color rgb="FFFF66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FF6600"/>
      </font>
    </dxf>
    <dxf>
      <font>
        <b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/>
        <i val="0"/>
        <color rgb="FF00B05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/>
        <i val="0"/>
        <color rgb="FF00B05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/>
        <i val="0"/>
        <color rgb="FF00B05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/>
        <i val="0"/>
        <color rgb="FF00B05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/>
        <i val="0"/>
        <color rgb="FF00B05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/>
        <i val="0"/>
        <color rgb="FFFF0000"/>
      </font>
    </dxf>
    <dxf>
      <font>
        <b/>
        <i val="0"/>
        <color rgb="FFFF6600"/>
      </font>
    </dxf>
    <dxf>
      <font>
        <b/>
        <i val="0"/>
        <color rgb="FF008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/>
        <i val="0"/>
        <color rgb="FF00B05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0000"/>
      </font>
    </dxf>
    <dxf>
      <font>
        <b val="0"/>
        <i val="0"/>
        <color rgb="FFFF66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6600"/>
      </font>
    </dxf>
    <dxf>
      <font>
        <b/>
        <i val="0"/>
        <color rgb="FFFF0000"/>
      </font>
    </dxf>
    <dxf>
      <font>
        <b val="0"/>
        <i val="0"/>
        <color rgb="FF008000"/>
      </font>
    </dxf>
    <dxf>
      <font>
        <b val="0"/>
        <i val="0"/>
        <color rgb="FFFF6600"/>
      </font>
    </dxf>
    <dxf>
      <font>
        <b val="0"/>
        <i val="0"/>
        <color rgb="FFFF0000"/>
      </font>
    </dxf>
    <dxf>
      <font>
        <b val="0"/>
        <i val="0"/>
        <color rgb="FF008000"/>
      </font>
    </dxf>
    <dxf>
      <font>
        <b val="0"/>
        <i val="0"/>
        <color rgb="FFFF6600"/>
      </font>
    </dxf>
    <dxf>
      <font>
        <b val="0"/>
        <i val="0"/>
        <color rgb="FFFF0000"/>
      </font>
    </dxf>
    <dxf>
      <font>
        <b val="0"/>
        <i val="0"/>
        <color rgb="FF008000"/>
      </font>
    </dxf>
    <dxf>
      <font>
        <b val="0"/>
        <i val="0"/>
        <color rgb="FFFF6600"/>
      </font>
    </dxf>
    <dxf>
      <font>
        <b val="0"/>
        <i val="0"/>
        <color rgb="FFFF0000"/>
      </font>
    </dxf>
    <dxf>
      <font>
        <b val="0"/>
        <i val="0"/>
        <color rgb="FF008000"/>
      </font>
    </dxf>
    <dxf>
      <font>
        <b val="0"/>
        <i val="0"/>
        <color rgb="FFFF6600"/>
      </font>
    </dxf>
    <dxf>
      <font>
        <b val="0"/>
        <i val="0"/>
        <color rgb="FFFF0000"/>
      </font>
    </dxf>
    <dxf>
      <font>
        <b/>
        <i val="0"/>
        <color rgb="FF008000"/>
      </font>
    </dxf>
    <dxf>
      <font>
        <b/>
        <i val="0"/>
        <color rgb="FFFF6600"/>
      </font>
    </dxf>
    <dxf>
      <font>
        <b/>
        <i val="0"/>
        <color rgb="FFFF0000"/>
      </font>
    </dxf>
  </dxfs>
  <tableStyles count="0" defaultTableStyle="TableStyleMedium9" defaultPivotStyle="PivotStyleLight16"/>
  <colors>
    <mruColors>
      <color rgb="FFFFFF2D"/>
      <color rgb="FF7A0B0B"/>
      <color rgb="FFF0F030"/>
      <color rgb="FF99CCFF"/>
      <color rgb="FFFF9900"/>
      <color rgb="FFFFAA2D"/>
      <color rgb="FFD9D9D9"/>
      <color rgb="FFC00000"/>
      <color rgb="FF0082D2"/>
      <color rgb="FFFCD8D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Ápice">
      <a:dk1>
        <a:sysClr val="windowText" lastClr="000000"/>
      </a:dk1>
      <a:lt1>
        <a:sysClr val="window" lastClr="FFFFFF"/>
      </a:lt1>
      <a:dk2>
        <a:srgbClr val="69676D"/>
      </a:dk2>
      <a:lt2>
        <a:srgbClr val="C9C2D1"/>
      </a:lt2>
      <a:accent1>
        <a:srgbClr val="CEB966"/>
      </a:accent1>
      <a:accent2>
        <a:srgbClr val="9CB084"/>
      </a:accent2>
      <a:accent3>
        <a:srgbClr val="6BB1C9"/>
      </a:accent3>
      <a:accent4>
        <a:srgbClr val="6585CF"/>
      </a:accent4>
      <a:accent5>
        <a:srgbClr val="7E6BC9"/>
      </a:accent5>
      <a:accent6>
        <a:srgbClr val="A379BB"/>
      </a:accent6>
      <a:hlink>
        <a:srgbClr val="410082"/>
      </a:hlink>
      <a:folHlink>
        <a:srgbClr val="932968"/>
      </a:folHlink>
    </a:clrScheme>
    <a:fontScheme name="Escritório 2">
      <a:majorFont>
        <a:latin typeface="Calibri"/>
        <a:ea typeface=""/>
        <a:cs typeface=""/>
        <a:font script="Jpan" typeface="HGｺﾞｼｯｸM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</a:majorFont>
      <a:minorFont>
        <a:latin typeface="Cambria"/>
        <a:ea typeface=""/>
        <a:cs typeface=""/>
        <a:font script="Jpan" typeface="HG明朝B"/>
        <a:font script="Hang" typeface="맑은 고딕"/>
        <a:font script="Hans" typeface="黑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C29"/>
  <sheetViews>
    <sheetView showGridLines="0" tabSelected="1" zoomScale="80" zoomScaleNormal="80" workbookViewId="0">
      <pane xSplit="2" ySplit="7" topLeftCell="C8" activePane="bottomRight" state="frozen"/>
      <selection sqref="A1:XFD1048576"/>
      <selection pane="topRight" sqref="A1:XFD1048576"/>
      <selection pane="bottomLeft" sqref="A1:XFD1048576"/>
      <selection pane="bottomRight" activeCell="E8" sqref="E8"/>
    </sheetView>
  </sheetViews>
  <sheetFormatPr defaultColWidth="9" defaultRowHeight="14" x14ac:dyDescent="0.3"/>
  <cols>
    <col min="1" max="1" width="8.75" style="7" hidden="1" customWidth="1"/>
    <col min="2" max="2" width="19.4140625" style="1" customWidth="1"/>
    <col min="3" max="3" width="1.1640625" customWidth="1"/>
    <col min="4" max="4" width="10.58203125" style="1" customWidth="1"/>
    <col min="5" max="5" width="7.33203125" style="5" customWidth="1"/>
    <col min="6" max="6" width="1.1640625" customWidth="1"/>
    <col min="7" max="7" width="10.33203125" style="1" bestFit="1" customWidth="1"/>
    <col min="8" max="8" width="10.9140625" style="1" bestFit="1" customWidth="1"/>
    <col min="9" max="9" width="10.33203125" style="1" bestFit="1" customWidth="1"/>
    <col min="10" max="10" width="7" style="3" bestFit="1" customWidth="1"/>
    <col min="11" max="11" width="0.6640625" style="11" customWidth="1"/>
    <col min="12" max="12" width="5.9140625" style="4" bestFit="1" customWidth="1"/>
    <col min="13" max="13" width="6.83203125" style="4" customWidth="1"/>
    <col min="14" max="14" width="6.83203125" style="1" customWidth="1"/>
    <col min="15" max="15" width="0.6640625" style="11" customWidth="1"/>
    <col min="16" max="16" width="9.1640625" style="1" bestFit="1" customWidth="1"/>
    <col min="17" max="17" width="8.6640625" style="1" bestFit="1" customWidth="1"/>
    <col min="18" max="18" width="7.75" style="1" customWidth="1"/>
    <col min="19" max="19" width="8.6640625" style="1" customWidth="1"/>
    <col min="20" max="20" width="6.1640625" style="1" customWidth="1"/>
    <col min="21" max="21" width="0.6640625" style="1" customWidth="1"/>
    <col min="22" max="22" width="8.08203125" style="18" bestFit="1" customWidth="1"/>
    <col min="23" max="23" width="7.83203125" style="18" bestFit="1" customWidth="1"/>
    <col min="24" max="24" width="6.5" style="19" customWidth="1"/>
    <col min="25" max="25" width="6.6640625" style="18" customWidth="1"/>
    <col min="26" max="26" width="0.58203125" style="13" customWidth="1"/>
    <col min="27" max="27" width="7.83203125" style="1" bestFit="1" customWidth="1"/>
    <col min="28" max="28" width="7.6640625" style="1" customWidth="1"/>
    <col min="29" max="29" width="7.1640625" style="1" customWidth="1"/>
    <col min="30" max="16384" width="9" style="11"/>
  </cols>
  <sheetData>
    <row r="1" spans="1:29" s="1" customFormat="1" ht="14.5" thickBot="1" x14ac:dyDescent="0.35">
      <c r="A1" s="158"/>
      <c r="B1" s="198"/>
      <c r="C1" s="132"/>
      <c r="D1" s="142"/>
      <c r="E1" s="143"/>
      <c r="F1" s="144"/>
      <c r="G1" s="142"/>
      <c r="H1" s="142"/>
      <c r="I1" s="142"/>
      <c r="J1" s="145"/>
      <c r="K1" s="142"/>
      <c r="L1" s="146"/>
      <c r="M1" s="146"/>
      <c r="N1" s="142"/>
      <c r="O1" s="142"/>
      <c r="P1" s="142"/>
      <c r="Q1" s="142"/>
      <c r="R1" s="142"/>
      <c r="S1" s="142"/>
      <c r="T1" s="142"/>
      <c r="U1" s="142"/>
      <c r="V1" s="147"/>
      <c r="W1" s="148"/>
      <c r="X1" s="149"/>
      <c r="Y1" s="138"/>
      <c r="Z1" s="138"/>
      <c r="AA1" s="150"/>
      <c r="AB1" s="150"/>
      <c r="AC1" s="150"/>
    </row>
    <row r="2" spans="1:29" s="2" customFormat="1" ht="33.75" customHeight="1" thickBot="1" x14ac:dyDescent="0.4">
      <c r="A2" s="158"/>
      <c r="B2" s="198"/>
      <c r="C2" s="151"/>
      <c r="D2" s="199" t="s">
        <v>82</v>
      </c>
      <c r="E2" s="200"/>
      <c r="F2" s="200"/>
      <c r="G2" s="200"/>
      <c r="H2" s="200"/>
      <c r="I2" s="200"/>
      <c r="J2" s="200"/>
      <c r="K2" s="200"/>
      <c r="L2" s="200"/>
      <c r="M2" s="200"/>
      <c r="N2" s="200"/>
      <c r="O2" s="200"/>
      <c r="P2" s="200"/>
      <c r="Q2" s="200"/>
      <c r="R2" s="200"/>
      <c r="S2" s="200"/>
      <c r="T2" s="200"/>
      <c r="U2" s="200"/>
      <c r="V2" s="200"/>
      <c r="W2" s="200"/>
      <c r="X2" s="200"/>
      <c r="Y2" s="200"/>
      <c r="Z2" s="200"/>
      <c r="AA2" s="200"/>
      <c r="AB2" s="200"/>
      <c r="AC2" s="201"/>
    </row>
    <row r="3" spans="1:29" s="186" customFormat="1" ht="12.75" customHeight="1" thickBot="1" x14ac:dyDescent="0.3">
      <c r="B3" s="198"/>
      <c r="C3" s="187"/>
      <c r="D3" s="193"/>
      <c r="E3" s="193"/>
      <c r="F3" s="187"/>
      <c r="G3" s="187">
        <v>10</v>
      </c>
      <c r="H3" s="187"/>
      <c r="I3" s="187"/>
      <c r="J3" s="187"/>
      <c r="K3" s="187"/>
      <c r="L3" s="187">
        <v>33</v>
      </c>
      <c r="M3" s="190"/>
      <c r="N3" s="190"/>
      <c r="O3" s="190"/>
      <c r="P3" s="190"/>
      <c r="Q3" s="190"/>
      <c r="R3" s="190"/>
      <c r="S3" s="190"/>
      <c r="T3" s="190"/>
      <c r="U3" s="190"/>
      <c r="V3" s="190"/>
      <c r="W3" s="191"/>
      <c r="X3" s="192"/>
      <c r="Y3" s="191"/>
      <c r="Z3" s="191"/>
      <c r="AA3" s="190"/>
      <c r="AB3" s="190"/>
      <c r="AC3" s="190"/>
    </row>
    <row r="4" spans="1:29" s="8" customFormat="1" ht="20.25" customHeight="1" thickBot="1" x14ac:dyDescent="0.3">
      <c r="A4" s="157"/>
      <c r="B4" s="198"/>
      <c r="C4" s="133"/>
      <c r="D4" s="194"/>
      <c r="E4" s="194"/>
      <c r="F4" s="133"/>
      <c r="G4" s="202" t="s">
        <v>35</v>
      </c>
      <c r="H4" s="203"/>
      <c r="I4" s="203"/>
      <c r="J4" s="203"/>
      <c r="K4" s="203"/>
      <c r="L4" s="203"/>
      <c r="M4" s="203"/>
      <c r="N4" s="203"/>
      <c r="O4" s="203"/>
      <c r="P4" s="203"/>
      <c r="Q4" s="203"/>
      <c r="R4" s="203"/>
      <c r="S4" s="203"/>
      <c r="T4" s="204"/>
      <c r="U4" s="156"/>
      <c r="V4" s="203" t="s">
        <v>6</v>
      </c>
      <c r="W4" s="203"/>
      <c r="X4" s="203"/>
      <c r="Y4" s="203"/>
      <c r="Z4" s="203"/>
      <c r="AA4" s="203"/>
      <c r="AB4" s="203"/>
      <c r="AC4" s="204"/>
    </row>
    <row r="5" spans="1:29" s="57" customFormat="1" ht="25.5" customHeight="1" thickBot="1" x14ac:dyDescent="0.35">
      <c r="A5" s="159"/>
      <c r="B5" s="198"/>
      <c r="C5" s="134"/>
      <c r="D5" s="205" t="s">
        <v>5</v>
      </c>
      <c r="E5" s="206"/>
      <c r="F5" s="135"/>
      <c r="G5" s="205" t="s">
        <v>36</v>
      </c>
      <c r="H5" s="207"/>
      <c r="I5" s="207"/>
      <c r="J5" s="206"/>
      <c r="K5" s="135"/>
      <c r="L5" s="205" t="s">
        <v>47</v>
      </c>
      <c r="M5" s="207"/>
      <c r="N5" s="206"/>
      <c r="O5" s="135"/>
      <c r="P5" s="205" t="s">
        <v>45</v>
      </c>
      <c r="Q5" s="207"/>
      <c r="R5" s="207"/>
      <c r="S5" s="207"/>
      <c r="T5" s="206"/>
      <c r="U5" s="155"/>
      <c r="V5" s="208" t="s">
        <v>36</v>
      </c>
      <c r="W5" s="209"/>
      <c r="X5" s="195" t="s">
        <v>47</v>
      </c>
      <c r="Y5" s="196"/>
      <c r="Z5" s="135"/>
      <c r="AA5" s="195" t="s">
        <v>45</v>
      </c>
      <c r="AB5" s="197"/>
      <c r="AC5" s="196"/>
    </row>
    <row r="6" spans="1:29" s="58" customFormat="1" ht="33" customHeight="1" thickBot="1" x14ac:dyDescent="0.35">
      <c r="A6" s="160"/>
      <c r="B6" s="152" t="s">
        <v>0</v>
      </c>
      <c r="C6" s="153"/>
      <c r="D6" s="137" t="s">
        <v>2</v>
      </c>
      <c r="E6" s="137" t="s">
        <v>13</v>
      </c>
      <c r="F6" s="153"/>
      <c r="G6" s="137" t="s">
        <v>1</v>
      </c>
      <c r="H6" s="140" t="s">
        <v>37</v>
      </c>
      <c r="I6" s="137" t="s">
        <v>2</v>
      </c>
      <c r="J6" s="137" t="s">
        <v>3</v>
      </c>
      <c r="K6" s="153"/>
      <c r="L6" s="137" t="s">
        <v>1</v>
      </c>
      <c r="M6" s="137" t="s">
        <v>2</v>
      </c>
      <c r="N6" s="137" t="s">
        <v>3</v>
      </c>
      <c r="O6" s="153"/>
      <c r="P6" s="137" t="s">
        <v>1</v>
      </c>
      <c r="Q6" s="137" t="s">
        <v>2</v>
      </c>
      <c r="R6" s="137" t="s">
        <v>11</v>
      </c>
      <c r="S6" s="137" t="s">
        <v>43</v>
      </c>
      <c r="T6" s="137" t="s">
        <v>3</v>
      </c>
      <c r="U6" s="137"/>
      <c r="V6" s="137" t="s">
        <v>46</v>
      </c>
      <c r="W6" s="137" t="s">
        <v>2</v>
      </c>
      <c r="X6" s="137" t="s">
        <v>2</v>
      </c>
      <c r="Y6" s="154" t="s">
        <v>3</v>
      </c>
      <c r="Z6" s="153"/>
      <c r="AA6" s="137" t="s">
        <v>1</v>
      </c>
      <c r="AB6" s="137" t="s">
        <v>2</v>
      </c>
      <c r="AC6" s="137" t="s">
        <v>3</v>
      </c>
    </row>
    <row r="7" spans="1:29" ht="6" customHeight="1" x14ac:dyDescent="0.25">
      <c r="C7" s="22"/>
      <c r="D7" s="12"/>
      <c r="E7" s="23"/>
      <c r="F7" s="12"/>
      <c r="G7" s="22"/>
      <c r="H7" s="60"/>
      <c r="I7" s="12"/>
      <c r="J7" s="21"/>
      <c r="L7" s="24"/>
      <c r="M7" s="67"/>
      <c r="N7" s="22"/>
      <c r="P7" s="12"/>
      <c r="Q7" s="12"/>
      <c r="R7" s="12"/>
      <c r="S7" s="12"/>
      <c r="T7" s="22"/>
      <c r="U7" s="22"/>
      <c r="X7" s="66"/>
      <c r="AA7" s="12"/>
      <c r="AB7" s="12"/>
      <c r="AC7" s="22"/>
    </row>
    <row r="8" spans="1:29" s="14" customFormat="1" ht="14.25" customHeight="1" x14ac:dyDescent="0.3">
      <c r="A8" s="64" t="s">
        <v>4</v>
      </c>
      <c r="B8" s="105" t="s">
        <v>60</v>
      </c>
      <c r="C8" s="64"/>
      <c r="D8" s="83">
        <v>28681052.949999999</v>
      </c>
      <c r="E8" s="120">
        <v>3.9088402598426764</v>
      </c>
      <c r="F8" s="64"/>
      <c r="G8" s="84">
        <v>7337484.021706827</v>
      </c>
      <c r="H8" s="84">
        <v>6289272.0186058525</v>
      </c>
      <c r="I8" s="85">
        <v>6904157.0000000428</v>
      </c>
      <c r="J8" s="70">
        <v>1.097767274109809</v>
      </c>
      <c r="K8" s="86"/>
      <c r="L8" s="87">
        <v>2.95</v>
      </c>
      <c r="M8" s="88">
        <v>-3.7847653536843135</v>
      </c>
      <c r="N8" s="70">
        <v>-1.2829713063336656</v>
      </c>
      <c r="O8" s="86"/>
      <c r="P8" s="84">
        <v>185533.52454887267</v>
      </c>
      <c r="Q8" s="84">
        <v>-261306.14209997191</v>
      </c>
      <c r="R8" s="83">
        <v>1860</v>
      </c>
      <c r="S8" s="85">
        <v>-259446.14209997191</v>
      </c>
      <c r="T8" s="70">
        <v>-1.3983787713342848</v>
      </c>
      <c r="U8" s="69"/>
      <c r="V8" s="83">
        <v>349404.00103365845</v>
      </c>
      <c r="W8" s="89">
        <v>372176.48000000039</v>
      </c>
      <c r="X8" s="90">
        <v>-2.3727915315870831</v>
      </c>
      <c r="Y8" s="70">
        <v>-0.80433611240240099</v>
      </c>
      <c r="Z8" s="91"/>
      <c r="AA8" s="85">
        <v>10307.418030492925</v>
      </c>
      <c r="AB8" s="85">
        <v>-8830.9719999989029</v>
      </c>
      <c r="AC8" s="70">
        <v>-0.85675888703396119</v>
      </c>
    </row>
    <row r="9" spans="1:29" s="14" customFormat="1" ht="14.25" customHeight="1" x14ac:dyDescent="0.3">
      <c r="A9" s="64" t="s">
        <v>24</v>
      </c>
      <c r="B9" s="82" t="s">
        <v>48</v>
      </c>
      <c r="C9" s="28"/>
      <c r="D9" s="83">
        <v>1242180.2399999998</v>
      </c>
      <c r="E9" s="120">
        <v>0.75980794451187861</v>
      </c>
      <c r="F9" s="28"/>
      <c r="G9" s="84">
        <v>1634860.8210434155</v>
      </c>
      <c r="H9" s="84">
        <v>1401309.2751800704</v>
      </c>
      <c r="I9" s="85">
        <v>1315611.3500000031</v>
      </c>
      <c r="J9" s="70">
        <v>0.93884438881698329</v>
      </c>
      <c r="K9" s="86"/>
      <c r="L9" s="87">
        <v>3.55</v>
      </c>
      <c r="M9" s="88">
        <v>-1.920619474740249</v>
      </c>
      <c r="N9" s="70">
        <v>-0.54101957034936599</v>
      </c>
      <c r="O9" s="86"/>
      <c r="P9" s="84">
        <v>49746.479268892501</v>
      </c>
      <c r="Q9" s="84">
        <v>-25267.887799993157</v>
      </c>
      <c r="R9" s="83">
        <v>86.07</v>
      </c>
      <c r="S9" s="85">
        <v>-25181.817799993158</v>
      </c>
      <c r="T9" s="70">
        <v>-0.5062030151697563</v>
      </c>
      <c r="U9" s="69"/>
      <c r="V9" s="83">
        <v>77850.515287781687</v>
      </c>
      <c r="W9" s="89">
        <v>91186.800000000032</v>
      </c>
      <c r="X9" s="90">
        <v>-1.8939693025744502</v>
      </c>
      <c r="Y9" s="70">
        <v>-0.53351247959843673</v>
      </c>
      <c r="Z9" s="91"/>
      <c r="AA9" s="85">
        <v>2763.6932927162497</v>
      </c>
      <c r="AB9" s="85">
        <v>-1727.0499999999593</v>
      </c>
      <c r="AC9" s="70">
        <v>-0.62490653523371154</v>
      </c>
    </row>
    <row r="10" spans="1:29" s="14" customFormat="1" ht="14.25" customHeight="1" x14ac:dyDescent="0.3">
      <c r="A10" s="64" t="s">
        <v>14</v>
      </c>
      <c r="B10" s="82" t="s">
        <v>61</v>
      </c>
      <c r="C10" s="28"/>
      <c r="D10" s="83">
        <v>13005740.150000006</v>
      </c>
      <c r="E10" s="120">
        <v>0.73337806711881703</v>
      </c>
      <c r="F10" s="28"/>
      <c r="G10" s="84">
        <v>17734018.418487694</v>
      </c>
      <c r="H10" s="84">
        <v>15200587.215846594</v>
      </c>
      <c r="I10" s="85">
        <v>15316166.690000754</v>
      </c>
      <c r="J10" s="70">
        <v>1.0076036190255642</v>
      </c>
      <c r="K10" s="86"/>
      <c r="L10" s="87">
        <v>3.7</v>
      </c>
      <c r="M10" s="88">
        <v>0.49478659758185656</v>
      </c>
      <c r="N10" s="70">
        <v>0.13372610745455582</v>
      </c>
      <c r="O10" s="86"/>
      <c r="P10" s="84">
        <v>562421.72698632407</v>
      </c>
      <c r="Q10" s="84">
        <v>75782.340045420395</v>
      </c>
      <c r="R10" s="83">
        <v>0</v>
      </c>
      <c r="S10" s="85">
        <v>75782.340045420395</v>
      </c>
      <c r="T10" s="70">
        <v>0.13474290982941192</v>
      </c>
      <c r="U10" s="69"/>
      <c r="V10" s="83">
        <v>844477.06754703308</v>
      </c>
      <c r="W10" s="89">
        <v>868276.36000000057</v>
      </c>
      <c r="X10" s="90">
        <v>0.38588171397420923</v>
      </c>
      <c r="Y10" s="70">
        <v>0.10429235512816465</v>
      </c>
      <c r="Z10" s="91"/>
      <c r="AA10" s="85">
        <v>31245.651499240226</v>
      </c>
      <c r="AB10" s="85">
        <v>3350.5197000008775</v>
      </c>
      <c r="AC10" s="70">
        <v>0.10723155188754344</v>
      </c>
    </row>
    <row r="11" spans="1:29" s="14" customFormat="1" ht="14.25" customHeight="1" x14ac:dyDescent="0.3">
      <c r="A11" s="64" t="s">
        <v>18</v>
      </c>
      <c r="B11" s="82" t="s">
        <v>64</v>
      </c>
      <c r="C11" s="28"/>
      <c r="D11" s="83">
        <v>5834970.549999998</v>
      </c>
      <c r="E11" s="120">
        <v>0.67223435201082971</v>
      </c>
      <c r="F11" s="28"/>
      <c r="G11" s="84">
        <v>8679964.8553306852</v>
      </c>
      <c r="H11" s="84">
        <v>7439969.8759977296</v>
      </c>
      <c r="I11" s="85">
        <v>6742218.5000002207</v>
      </c>
      <c r="J11" s="70">
        <v>0.90621583317849963</v>
      </c>
      <c r="K11" s="86"/>
      <c r="L11" s="87">
        <v>3.7</v>
      </c>
      <c r="M11" s="88">
        <v>-1.0420873218481896</v>
      </c>
      <c r="N11" s="70">
        <v>-0.2816452221211323</v>
      </c>
      <c r="O11" s="86"/>
      <c r="P11" s="84">
        <v>275278.88541191601</v>
      </c>
      <c r="Q11" s="84">
        <v>-70259.804199805483</v>
      </c>
      <c r="R11" s="83">
        <v>0</v>
      </c>
      <c r="S11" s="85">
        <v>-70259.804199805483</v>
      </c>
      <c r="T11" s="70">
        <v>-0.25523135962524551</v>
      </c>
      <c r="U11" s="69"/>
      <c r="V11" s="83">
        <v>413331.65977765166</v>
      </c>
      <c r="W11" s="89">
        <v>366163.58000000025</v>
      </c>
      <c r="X11" s="90">
        <v>-0.26287977630094744</v>
      </c>
      <c r="Y11" s="70">
        <v>-7.1048588189445247E-2</v>
      </c>
      <c r="Z11" s="91"/>
      <c r="AA11" s="85">
        <v>15293.271411773114</v>
      </c>
      <c r="AB11" s="85">
        <v>-962.56999999954132</v>
      </c>
      <c r="AC11" s="70">
        <v>-6.2940751790917196E-2</v>
      </c>
    </row>
    <row r="12" spans="1:29" s="14" customFormat="1" ht="14.25" customHeight="1" x14ac:dyDescent="0.3">
      <c r="A12" s="64" t="s">
        <v>16</v>
      </c>
      <c r="B12" s="82" t="s">
        <v>62</v>
      </c>
      <c r="C12" s="28"/>
      <c r="D12" s="83">
        <v>38210548.319999985</v>
      </c>
      <c r="E12" s="120">
        <v>1.4527537926784624</v>
      </c>
      <c r="F12" s="28"/>
      <c r="G12" s="84">
        <v>26302150.104561534</v>
      </c>
      <c r="H12" s="84">
        <v>22544700.089624174</v>
      </c>
      <c r="I12" s="85">
        <v>23119097.690000027</v>
      </c>
      <c r="J12" s="70">
        <v>1.0254781655152827</v>
      </c>
      <c r="K12" s="86"/>
      <c r="L12" s="87">
        <v>2.95</v>
      </c>
      <c r="M12" s="88">
        <v>-5.1329762294889436</v>
      </c>
      <c r="N12" s="70">
        <v>-1.7399919421996417</v>
      </c>
      <c r="O12" s="86"/>
      <c r="P12" s="84">
        <v>665068.65264391317</v>
      </c>
      <c r="Q12" s="84">
        <v>-1186697.7889000289</v>
      </c>
      <c r="R12" s="83">
        <v>2078.3200000000002</v>
      </c>
      <c r="S12" s="85">
        <v>-1184619.4689000288</v>
      </c>
      <c r="T12" s="70">
        <v>-1.7811987742779545</v>
      </c>
      <c r="U12" s="69"/>
      <c r="V12" s="83">
        <v>1252483.3383124541</v>
      </c>
      <c r="W12" s="89">
        <v>1158255.2300000009</v>
      </c>
      <c r="X12" s="90">
        <v>-5.478048219130442</v>
      </c>
      <c r="Y12" s="70">
        <v>-1.8569654980103192</v>
      </c>
      <c r="Z12" s="91"/>
      <c r="AA12" s="85">
        <v>36948.258480217395</v>
      </c>
      <c r="AB12" s="85">
        <v>-63449.780000000253</v>
      </c>
      <c r="AC12" s="70">
        <v>-1.7172603692261204</v>
      </c>
    </row>
    <row r="13" spans="1:29" s="14" customFormat="1" ht="14.25" customHeight="1" x14ac:dyDescent="0.3">
      <c r="A13" s="64" t="s">
        <v>19</v>
      </c>
      <c r="B13" s="82" t="s">
        <v>63</v>
      </c>
      <c r="C13" s="28"/>
      <c r="D13" s="83">
        <v>3076316.6999999997</v>
      </c>
      <c r="E13" s="120">
        <v>1.219651488092786</v>
      </c>
      <c r="F13" s="28"/>
      <c r="G13" s="84">
        <v>2522291.597258287</v>
      </c>
      <c r="H13" s="84">
        <v>2161964.2262213887</v>
      </c>
      <c r="I13" s="85">
        <v>2437807.9399999962</v>
      </c>
      <c r="J13" s="70">
        <v>1.1275893978415723</v>
      </c>
      <c r="K13" s="86"/>
      <c r="L13" s="87">
        <v>4.05</v>
      </c>
      <c r="M13" s="88">
        <v>-4.0650817635781467</v>
      </c>
      <c r="N13" s="70">
        <v>-1.0037238922415177</v>
      </c>
      <c r="O13" s="86"/>
      <c r="P13" s="84">
        <v>87559.551161966228</v>
      </c>
      <c r="Q13" s="84">
        <v>-99098.88599999994</v>
      </c>
      <c r="R13" s="83">
        <v>1232.95</v>
      </c>
      <c r="S13" s="85">
        <v>-97865.935999999943</v>
      </c>
      <c r="T13" s="70">
        <v>-1.1177071456084686</v>
      </c>
      <c r="U13" s="69"/>
      <c r="V13" s="83">
        <v>120109.12367896605</v>
      </c>
      <c r="W13" s="89">
        <v>180355.94999999998</v>
      </c>
      <c r="X13" s="90">
        <v>-5.3112303752662902</v>
      </c>
      <c r="Y13" s="70">
        <v>-1.311414907473158</v>
      </c>
      <c r="Z13" s="92"/>
      <c r="AA13" s="85">
        <v>4864.4195089981249</v>
      </c>
      <c r="AB13" s="85">
        <v>-9579.1200000000808</v>
      </c>
      <c r="AC13" s="70">
        <v>-1.9692216064590602</v>
      </c>
    </row>
    <row r="14" spans="1:29" s="14" customFormat="1" ht="14.25" customHeight="1" x14ac:dyDescent="0.3">
      <c r="A14" s="64" t="s">
        <v>20</v>
      </c>
      <c r="B14" s="82" t="s">
        <v>52</v>
      </c>
      <c r="C14" s="28"/>
      <c r="D14" s="83">
        <v>2020095.8100000005</v>
      </c>
      <c r="E14" s="120">
        <v>1.0304021672284096</v>
      </c>
      <c r="F14" s="28"/>
      <c r="G14" s="84">
        <v>1960492.5865341325</v>
      </c>
      <c r="H14" s="84">
        <v>1680422.2170292565</v>
      </c>
      <c r="I14" s="85">
        <v>1709869.5799999975</v>
      </c>
      <c r="J14" s="70">
        <v>1.0175237881719987</v>
      </c>
      <c r="K14" s="86"/>
      <c r="L14" s="87">
        <v>4.05</v>
      </c>
      <c r="M14" s="88">
        <v>-1.5739547808086813</v>
      </c>
      <c r="N14" s="70">
        <v>-0.38863081007621764</v>
      </c>
      <c r="O14" s="86"/>
      <c r="P14" s="84">
        <v>68057.099789684886</v>
      </c>
      <c r="Q14" s="84">
        <v>-26912.574000003282</v>
      </c>
      <c r="R14" s="83">
        <v>0</v>
      </c>
      <c r="S14" s="85">
        <v>-26912.574000003282</v>
      </c>
      <c r="T14" s="70">
        <v>-0.39544109406910549</v>
      </c>
      <c r="U14" s="69"/>
      <c r="V14" s="83">
        <v>93356.78983495869</v>
      </c>
      <c r="W14" s="89">
        <v>121608.4</v>
      </c>
      <c r="X14" s="90">
        <v>-0.14069751760567259</v>
      </c>
      <c r="Y14" s="70">
        <v>-3.4740127803869779E-2</v>
      </c>
      <c r="Z14" s="91"/>
      <c r="AA14" s="85">
        <v>3780.9499883158264</v>
      </c>
      <c r="AB14" s="85">
        <v>-171.09999999997675</v>
      </c>
      <c r="AC14" s="70">
        <v>-4.5253177251411078E-2</v>
      </c>
    </row>
    <row r="15" spans="1:29" s="14" customFormat="1" ht="14.25" customHeight="1" x14ac:dyDescent="0.3">
      <c r="A15" s="64" t="s">
        <v>17</v>
      </c>
      <c r="B15" s="82" t="s">
        <v>72</v>
      </c>
      <c r="C15" s="28"/>
      <c r="D15" s="83">
        <v>7971461.0699999984</v>
      </c>
      <c r="E15" s="120">
        <v>0.5061059593515056</v>
      </c>
      <c r="F15" s="28"/>
      <c r="G15" s="84">
        <v>15750577.36963651</v>
      </c>
      <c r="H15" s="84">
        <v>13500494.888259865</v>
      </c>
      <c r="I15" s="85">
        <v>12790778.810000209</v>
      </c>
      <c r="J15" s="70">
        <v>0.94743036576556683</v>
      </c>
      <c r="K15" s="86"/>
      <c r="L15" s="87">
        <v>3</v>
      </c>
      <c r="M15" s="88">
        <v>-8.3982759842580048</v>
      </c>
      <c r="N15" s="70">
        <v>-2.7994253280860018</v>
      </c>
      <c r="O15" s="86"/>
      <c r="P15" s="84">
        <v>405014.84664779599</v>
      </c>
      <c r="Q15" s="84">
        <v>-1074204.9049998093</v>
      </c>
      <c r="R15" s="83">
        <v>0</v>
      </c>
      <c r="S15" s="85">
        <v>-1074204.9049998093</v>
      </c>
      <c r="T15" s="70">
        <v>-2.6522605625219122</v>
      </c>
      <c r="U15" s="69"/>
      <c r="V15" s="83">
        <v>750027.49379221478</v>
      </c>
      <c r="W15" s="89">
        <v>848497.23999999953</v>
      </c>
      <c r="X15" s="90">
        <v>-9.9312292400622564</v>
      </c>
      <c r="Y15" s="70">
        <v>-3.3104097466874189</v>
      </c>
      <c r="Z15" s="91"/>
      <c r="AA15" s="85">
        <v>22500.824813766441</v>
      </c>
      <c r="AB15" s="85">
        <v>-84266.20600000117</v>
      </c>
      <c r="AC15" s="70">
        <v>-3.7450274244367021</v>
      </c>
    </row>
    <row r="16" spans="1:29" s="14" customFormat="1" ht="13" x14ac:dyDescent="0.3">
      <c r="A16" s="64" t="s">
        <v>22</v>
      </c>
      <c r="B16" s="82" t="s">
        <v>51</v>
      </c>
      <c r="C16" s="28"/>
      <c r="D16" s="83">
        <v>15815237.400000006</v>
      </c>
      <c r="E16" s="120">
        <v>0.88604938831802715</v>
      </c>
      <c r="F16" s="28"/>
      <c r="G16" s="84">
        <v>17849160.112871144</v>
      </c>
      <c r="H16" s="84">
        <v>15299280.096746694</v>
      </c>
      <c r="I16" s="85">
        <v>14467395.020000411</v>
      </c>
      <c r="J16" s="70">
        <v>0.94562586791759051</v>
      </c>
      <c r="K16" s="86"/>
      <c r="L16" s="87">
        <v>2.6</v>
      </c>
      <c r="M16" s="88">
        <v>-4.6535392886477567</v>
      </c>
      <c r="N16" s="70">
        <v>-1.7898228033260601</v>
      </c>
      <c r="O16" s="86"/>
      <c r="P16" s="84">
        <v>397781.28251541406</v>
      </c>
      <c r="Q16" s="84">
        <v>-673245.91129958804</v>
      </c>
      <c r="R16" s="83">
        <v>864.47</v>
      </c>
      <c r="S16" s="85">
        <v>-672381.44129958807</v>
      </c>
      <c r="T16" s="70">
        <v>-1.6903295123584234</v>
      </c>
      <c r="U16" s="69"/>
      <c r="V16" s="83">
        <v>849960.00537481636</v>
      </c>
      <c r="W16" s="89">
        <v>733734.18000000087</v>
      </c>
      <c r="X16" s="90">
        <v>-3.7167268396845277</v>
      </c>
      <c r="Y16" s="70">
        <v>-1.4295103229555874</v>
      </c>
      <c r="Z16" s="91"/>
      <c r="AA16" s="85">
        <v>22098.960139745228</v>
      </c>
      <c r="AB16" s="85">
        <v>-27270.895199999217</v>
      </c>
      <c r="AC16" s="70">
        <v>-1.2340352228135931</v>
      </c>
    </row>
    <row r="17" spans="1:29" s="14" customFormat="1" ht="13" x14ac:dyDescent="0.3">
      <c r="A17" s="64" t="s">
        <v>68</v>
      </c>
      <c r="B17" s="82" t="s">
        <v>77</v>
      </c>
      <c r="C17" s="28"/>
      <c r="D17" s="83">
        <v>59627.17</v>
      </c>
      <c r="E17" s="120"/>
      <c r="F17" s="28"/>
      <c r="G17" s="84"/>
      <c r="H17" s="84"/>
      <c r="I17" s="85">
        <v>0</v>
      </c>
      <c r="J17" s="70" t="s">
        <v>69</v>
      </c>
      <c r="K17" s="86"/>
      <c r="L17" s="87"/>
      <c r="M17" s="88">
        <v>0</v>
      </c>
      <c r="N17" s="70" t="s">
        <v>69</v>
      </c>
      <c r="O17" s="86"/>
      <c r="P17" s="84">
        <v>0</v>
      </c>
      <c r="Q17" s="84">
        <v>0</v>
      </c>
      <c r="R17" s="83">
        <v>0</v>
      </c>
      <c r="S17" s="85">
        <v>0</v>
      </c>
      <c r="T17" s="70" t="s">
        <v>69</v>
      </c>
      <c r="U17" s="69"/>
      <c r="V17" s="83">
        <v>0</v>
      </c>
      <c r="W17" s="89">
        <v>0</v>
      </c>
      <c r="X17" s="90">
        <v>0</v>
      </c>
      <c r="Y17" s="70">
        <v>0</v>
      </c>
      <c r="Z17" s="91"/>
      <c r="AA17" s="85">
        <v>0</v>
      </c>
      <c r="AB17" s="85">
        <v>0</v>
      </c>
      <c r="AC17" s="70" t="s">
        <v>69</v>
      </c>
    </row>
    <row r="18" spans="1:29" s="14" customFormat="1" ht="13" x14ac:dyDescent="0.3">
      <c r="A18" s="64" t="s">
        <v>59</v>
      </c>
      <c r="B18" s="82" t="s">
        <v>73</v>
      </c>
      <c r="C18" s="28"/>
      <c r="D18" s="83">
        <v>3062.24</v>
      </c>
      <c r="E18" s="120"/>
      <c r="F18" s="28"/>
      <c r="G18" s="84"/>
      <c r="H18" s="84"/>
      <c r="I18" s="85">
        <v>3068.77</v>
      </c>
      <c r="J18" s="70" t="s">
        <v>69</v>
      </c>
      <c r="K18" s="86"/>
      <c r="L18" s="87"/>
      <c r="M18" s="88">
        <v>6.3413028672725371</v>
      </c>
      <c r="N18" s="70" t="s">
        <v>69</v>
      </c>
      <c r="O18" s="86"/>
      <c r="P18" s="84">
        <v>0</v>
      </c>
      <c r="Q18" s="84">
        <v>194.59999999999943</v>
      </c>
      <c r="R18" s="83">
        <v>0</v>
      </c>
      <c r="S18" s="85">
        <v>194.59999999999943</v>
      </c>
      <c r="T18" s="70" t="s">
        <v>69</v>
      </c>
      <c r="U18" s="69"/>
      <c r="V18" s="83">
        <v>0</v>
      </c>
      <c r="W18" s="89">
        <v>371.47999999999996</v>
      </c>
      <c r="X18" s="90">
        <v>-2.500807580488861</v>
      </c>
      <c r="Y18" s="70">
        <v>0</v>
      </c>
      <c r="Z18" s="91"/>
      <c r="AA18" s="85">
        <v>0</v>
      </c>
      <c r="AB18" s="85">
        <v>-9.2900000000000187</v>
      </c>
      <c r="AC18" s="70" t="s">
        <v>69</v>
      </c>
    </row>
    <row r="19" spans="1:29" s="14" customFormat="1" ht="13" hidden="1" x14ac:dyDescent="0.3">
      <c r="A19" s="64"/>
      <c r="B19" s="82"/>
      <c r="C19" s="28"/>
      <c r="D19" s="83"/>
      <c r="E19" s="120"/>
      <c r="F19" s="28"/>
      <c r="G19" s="84"/>
      <c r="H19" s="84"/>
      <c r="I19" s="85"/>
      <c r="J19" s="70"/>
      <c r="K19" s="86"/>
      <c r="L19" s="87"/>
      <c r="M19" s="88"/>
      <c r="N19" s="70"/>
      <c r="O19" s="86"/>
      <c r="P19" s="84"/>
      <c r="Q19" s="84"/>
      <c r="R19" s="83"/>
      <c r="S19" s="85"/>
      <c r="T19" s="70"/>
      <c r="U19" s="69"/>
      <c r="V19" s="83"/>
      <c r="W19" s="89"/>
      <c r="X19" s="90"/>
      <c r="Y19" s="70"/>
      <c r="Z19" s="86"/>
      <c r="AA19" s="85"/>
      <c r="AB19" s="85"/>
      <c r="AC19" s="70"/>
    </row>
    <row r="20" spans="1:29" s="14" customFormat="1" ht="13" hidden="1" x14ac:dyDescent="0.3">
      <c r="A20" s="64"/>
      <c r="B20" s="82"/>
      <c r="C20" s="28"/>
      <c r="D20" s="83"/>
      <c r="E20" s="120"/>
      <c r="F20" s="28"/>
      <c r="G20" s="84"/>
      <c r="H20" s="84"/>
      <c r="I20" s="85"/>
      <c r="J20" s="70"/>
      <c r="K20" s="86"/>
      <c r="L20" s="87"/>
      <c r="M20" s="88"/>
      <c r="N20" s="70"/>
      <c r="O20" s="86"/>
      <c r="P20" s="84"/>
      <c r="Q20" s="84"/>
      <c r="R20" s="83"/>
      <c r="S20" s="85"/>
      <c r="T20" s="70"/>
      <c r="U20" s="69"/>
      <c r="V20" s="83"/>
      <c r="W20" s="89"/>
      <c r="X20" s="90"/>
      <c r="Y20" s="70"/>
      <c r="Z20" s="86"/>
      <c r="AA20" s="85"/>
      <c r="AB20" s="85"/>
      <c r="AC20" s="70"/>
    </row>
    <row r="21" spans="1:29" s="79" customFormat="1" ht="13" hidden="1" x14ac:dyDescent="0.3">
      <c r="A21" s="71"/>
      <c r="B21" s="72"/>
      <c r="C21" s="74"/>
      <c r="D21" s="73"/>
      <c r="E21" s="121"/>
      <c r="F21" s="74"/>
      <c r="G21" s="75"/>
      <c r="H21" s="75"/>
      <c r="I21" s="75"/>
      <c r="J21" s="110"/>
      <c r="K21" s="78"/>
      <c r="L21" s="77"/>
      <c r="M21" s="77"/>
      <c r="N21" s="110"/>
      <c r="O21" s="78"/>
      <c r="P21" s="75"/>
      <c r="Q21" s="75"/>
      <c r="R21" s="73"/>
      <c r="S21" s="75"/>
      <c r="T21" s="110"/>
      <c r="U21" s="76"/>
      <c r="V21" s="73"/>
      <c r="W21" s="76"/>
      <c r="X21" s="76"/>
      <c r="Y21" s="76"/>
      <c r="Z21" s="78"/>
      <c r="AA21" s="75"/>
      <c r="AB21" s="75"/>
      <c r="AC21" s="110"/>
    </row>
    <row r="22" spans="1:29" s="14" customFormat="1" ht="13" x14ac:dyDescent="0.3">
      <c r="A22" s="26"/>
      <c r="B22" s="25" t="s">
        <v>49</v>
      </c>
      <c r="C22" s="28"/>
      <c r="D22" s="68">
        <v>115920292.59999998</v>
      </c>
      <c r="E22" s="122">
        <v>1.1618635949403204</v>
      </c>
      <c r="F22" s="28"/>
      <c r="G22" s="41">
        <v>99770999.887430221</v>
      </c>
      <c r="H22" s="41">
        <v>85517999.903511629</v>
      </c>
      <c r="I22" s="41">
        <v>84806171.350001663</v>
      </c>
      <c r="J22" s="44">
        <v>0.99167627219634336</v>
      </c>
      <c r="K22" s="45"/>
      <c r="L22" s="43">
        <v>3.153092976937192</v>
      </c>
      <c r="M22" s="43">
        <v>-3.9395917845001431</v>
      </c>
      <c r="N22" s="44">
        <v>-1.2494372393442483</v>
      </c>
      <c r="O22" s="45"/>
      <c r="P22" s="41">
        <v>2696462.0489747794</v>
      </c>
      <c r="Q22" s="41">
        <v>-3341016.9592537796</v>
      </c>
      <c r="R22" s="40">
        <v>6121.81</v>
      </c>
      <c r="S22" s="41">
        <v>-3334895.1492537796</v>
      </c>
      <c r="T22" s="44">
        <v>-1.2367669519108337</v>
      </c>
      <c r="U22" s="42"/>
      <c r="V22" s="40">
        <v>4750999.9946395345</v>
      </c>
      <c r="W22" s="40">
        <v>4740625.700000003</v>
      </c>
      <c r="X22" s="46">
        <v>-4.0694304024044357</v>
      </c>
      <c r="Y22" s="44">
        <v>-1.2906154154570293</v>
      </c>
      <c r="Z22" s="45"/>
      <c r="AA22" s="41">
        <v>149803.44716526553</v>
      </c>
      <c r="AB22" s="41">
        <v>-192916.46349999824</v>
      </c>
      <c r="AC22" s="44">
        <v>-1.2877972246337546</v>
      </c>
    </row>
    <row r="23" spans="1:29" ht="14.5" x14ac:dyDescent="0.35">
      <c r="C23" s="55"/>
      <c r="D23" s="59"/>
      <c r="E23" s="54"/>
      <c r="F23" s="55"/>
      <c r="G23" s="104"/>
      <c r="H23" s="48"/>
      <c r="I23" s="48"/>
      <c r="J23" s="49"/>
      <c r="K23" s="34"/>
      <c r="L23" s="50"/>
      <c r="M23" s="50"/>
      <c r="N23" s="48"/>
      <c r="O23" s="34"/>
      <c r="P23" s="48"/>
      <c r="Q23" s="48"/>
      <c r="R23" s="48"/>
      <c r="S23" s="48"/>
      <c r="T23" s="48"/>
      <c r="U23" s="48"/>
      <c r="V23" s="47"/>
      <c r="W23" s="47"/>
      <c r="X23" s="52"/>
      <c r="Y23" s="47"/>
      <c r="Z23" s="36"/>
      <c r="AA23" s="48"/>
      <c r="AB23" s="48"/>
      <c r="AC23" s="48"/>
    </row>
    <row r="24" spans="1:29" ht="14.5" x14ac:dyDescent="0.35">
      <c r="C24" s="55"/>
      <c r="D24" s="59"/>
      <c r="E24" s="54"/>
      <c r="F24" s="55"/>
      <c r="G24" s="56"/>
      <c r="H24" s="48"/>
      <c r="I24" s="56"/>
      <c r="J24" s="49"/>
      <c r="K24" s="34"/>
      <c r="L24" s="50"/>
      <c r="M24" s="50"/>
      <c r="N24" s="48"/>
      <c r="O24" s="34"/>
      <c r="P24" s="56"/>
      <c r="Q24" s="56"/>
      <c r="R24" s="56"/>
      <c r="S24" s="56"/>
      <c r="T24" s="48"/>
      <c r="U24" s="48"/>
      <c r="V24" s="47"/>
      <c r="W24" s="59"/>
      <c r="X24" s="52"/>
      <c r="Y24" s="47"/>
      <c r="Z24" s="36"/>
      <c r="AA24" s="56"/>
      <c r="AB24" s="56"/>
      <c r="AC24" s="48"/>
    </row>
    <row r="25" spans="1:29" ht="14.5" x14ac:dyDescent="0.35">
      <c r="A25" s="65"/>
      <c r="B25" s="11"/>
      <c r="C25" s="55"/>
      <c r="D25" s="59"/>
      <c r="E25" s="54"/>
      <c r="F25" s="55"/>
      <c r="G25" s="56"/>
      <c r="H25" s="48"/>
      <c r="I25" s="48"/>
      <c r="J25" s="49"/>
      <c r="K25" s="34"/>
      <c r="L25" s="50"/>
      <c r="M25" s="50"/>
      <c r="N25" s="48"/>
      <c r="O25" s="34"/>
      <c r="P25" s="48"/>
      <c r="Q25" s="48"/>
      <c r="R25" s="48"/>
      <c r="S25" s="48"/>
      <c r="T25" s="48"/>
      <c r="U25" s="48"/>
      <c r="V25" s="47"/>
      <c r="W25" s="47"/>
      <c r="X25" s="52"/>
      <c r="Y25" s="47"/>
      <c r="Z25" s="36"/>
      <c r="AA25" s="48"/>
      <c r="AB25" s="48"/>
      <c r="AC25" s="48"/>
    </row>
    <row r="26" spans="1:29" x14ac:dyDescent="0.3">
      <c r="A26" s="65"/>
      <c r="B26" s="11"/>
    </row>
    <row r="27" spans="1:29" x14ac:dyDescent="0.3">
      <c r="A27" s="65"/>
      <c r="B27" s="11"/>
    </row>
    <row r="28" spans="1:29" x14ac:dyDescent="0.3">
      <c r="A28" s="65"/>
      <c r="B28" s="11"/>
    </row>
    <row r="29" spans="1:29" x14ac:dyDescent="0.3">
      <c r="I29" s="109"/>
    </row>
  </sheetData>
  <sortState ref="A8:B20">
    <sortCondition ref="A8:A20"/>
  </sortState>
  <mergeCells count="12">
    <mergeCell ref="D3:E4"/>
    <mergeCell ref="X5:Y5"/>
    <mergeCell ref="AA5:AC5"/>
    <mergeCell ref="B1:B5"/>
    <mergeCell ref="D2:AC2"/>
    <mergeCell ref="G4:T4"/>
    <mergeCell ref="V4:AC4"/>
    <mergeCell ref="D5:E5"/>
    <mergeCell ref="G5:J5"/>
    <mergeCell ref="L5:N5"/>
    <mergeCell ref="P5:T5"/>
    <mergeCell ref="V5:W5"/>
  </mergeCells>
  <conditionalFormatting sqref="E7">
    <cfRule type="cellIs" dxfId="183" priority="685" operator="greaterThanOrEqual">
      <formula>0.91</formula>
    </cfRule>
    <cfRule type="cellIs" dxfId="182" priority="686" operator="between">
      <formula>0.71</formula>
      <formula>0.9</formula>
    </cfRule>
    <cfRule type="cellIs" dxfId="181" priority="687" operator="between">
      <formula>0.1</formula>
      <formula>0.79</formula>
    </cfRule>
  </conditionalFormatting>
  <conditionalFormatting sqref="E8:E20">
    <cfRule type="cellIs" dxfId="180" priority="241" operator="greaterThanOrEqual">
      <formula>0.9</formula>
    </cfRule>
    <cfRule type="cellIs" dxfId="179" priority="242" operator="between">
      <formula>0.79</formula>
      <formula>0.9</formula>
    </cfRule>
    <cfRule type="cellIs" dxfId="178" priority="243" operator="between">
      <formula>0.0001</formula>
      <formula>0.79</formula>
    </cfRule>
  </conditionalFormatting>
  <conditionalFormatting sqref="E21">
    <cfRule type="cellIs" dxfId="177" priority="373" operator="greaterThanOrEqual">
      <formula>0.91</formula>
    </cfRule>
    <cfRule type="cellIs" dxfId="176" priority="374" operator="between">
      <formula>0.71</formula>
      <formula>0.9</formula>
    </cfRule>
    <cfRule type="cellIs" dxfId="175" priority="375" operator="between">
      <formula>0.1</formula>
      <formula>0.79</formula>
    </cfRule>
    <cfRule type="cellIs" dxfId="174" priority="376" operator="greaterThanOrEqual">
      <formula>0.9</formula>
    </cfRule>
    <cfRule type="cellIs" dxfId="173" priority="377" operator="between">
      <formula>0.79</formula>
      <formula>0.9</formula>
    </cfRule>
    <cfRule type="cellIs" dxfId="172" priority="378" operator="between">
      <formula>0.0001</formula>
      <formula>0.79</formula>
    </cfRule>
  </conditionalFormatting>
  <conditionalFormatting sqref="E22">
    <cfRule type="cellIs" dxfId="171" priority="235" operator="greaterThanOrEqual">
      <formula>0.9</formula>
    </cfRule>
    <cfRule type="cellIs" dxfId="170" priority="236" operator="between">
      <formula>0.79</formula>
      <formula>0.9</formula>
    </cfRule>
    <cfRule type="cellIs" dxfId="169" priority="237" operator="between">
      <formula>0.0001</formula>
      <formula>0.79</formula>
    </cfRule>
  </conditionalFormatting>
  <conditionalFormatting sqref="E23:E1048576">
    <cfRule type="cellIs" dxfId="168" priority="692" operator="greaterThanOrEqual">
      <formula>0.91</formula>
    </cfRule>
    <cfRule type="cellIs" dxfId="167" priority="693" operator="between">
      <formula>0.71</formula>
      <formula>0.9</formula>
    </cfRule>
    <cfRule type="cellIs" dxfId="166" priority="694" operator="between">
      <formula>0.1</formula>
      <formula>0.79</formula>
    </cfRule>
  </conditionalFormatting>
  <conditionalFormatting sqref="J7">
    <cfRule type="cellIs" dxfId="165" priority="688" operator="greaterThanOrEqual">
      <formula>1</formula>
    </cfRule>
    <cfRule type="cellIs" dxfId="164" priority="689" operator="between">
      <formula>0.9001</formula>
      <formula>0.9999</formula>
    </cfRule>
    <cfRule type="cellIs" dxfId="163" priority="690" operator="lessThan">
      <formula>0.9</formula>
    </cfRule>
  </conditionalFormatting>
  <conditionalFormatting sqref="J8:J20">
    <cfRule type="cellIs" dxfId="162" priority="287" operator="lessThanOrEqual">
      <formula>0.86</formula>
    </cfRule>
  </conditionalFormatting>
  <conditionalFormatting sqref="J8:J21">
    <cfRule type="cellIs" dxfId="161" priority="285" operator="between">
      <formula>0.86</formula>
      <formula>0.9999</formula>
    </cfRule>
  </conditionalFormatting>
  <conditionalFormatting sqref="J8:J22 N8:N22">
    <cfRule type="cellIs" dxfId="160" priority="278" operator="greaterThanOrEqual">
      <formula>1</formula>
    </cfRule>
  </conditionalFormatting>
  <conditionalFormatting sqref="J21:J22">
    <cfRule type="cellIs" dxfId="159" priority="281" operator="lessThanOrEqual">
      <formula>0.86</formula>
    </cfRule>
  </conditionalFormatting>
  <conditionalFormatting sqref="J22">
    <cfRule type="cellIs" dxfId="158" priority="280" operator="between">
      <formula>0.86</formula>
      <formula>0.9999</formula>
    </cfRule>
  </conditionalFormatting>
  <conditionalFormatting sqref="J23:J1048576">
    <cfRule type="cellIs" dxfId="157" priority="695" operator="greaterThanOrEqual">
      <formula>1</formula>
    </cfRule>
    <cfRule type="cellIs" dxfId="156" priority="696" operator="between">
      <formula>0.9001</formula>
      <formula>0.9999</formula>
    </cfRule>
    <cfRule type="cellIs" dxfId="155" priority="697" operator="lessThan">
      <formula>0.9</formula>
    </cfRule>
  </conditionalFormatting>
  <conditionalFormatting sqref="N8:N20">
    <cfRule type="cellIs" dxfId="154" priority="331" operator="lessThanOrEqual">
      <formula>0.86</formula>
    </cfRule>
  </conditionalFormatting>
  <conditionalFormatting sqref="N8:N21">
    <cfRule type="cellIs" dxfId="153" priority="351" operator="between">
      <formula>0.86</formula>
      <formula>0.9999</formula>
    </cfRule>
  </conditionalFormatting>
  <conditionalFormatting sqref="N14:N20">
    <cfRule type="cellIs" dxfId="152" priority="329" operator="between">
      <formula>0.86</formula>
      <formula>0.999999999</formula>
    </cfRule>
  </conditionalFormatting>
  <conditionalFormatting sqref="N21:N22">
    <cfRule type="cellIs" dxfId="151" priority="325" operator="lessThanOrEqual">
      <formula>0.86</formula>
    </cfRule>
  </conditionalFormatting>
  <conditionalFormatting sqref="N22">
    <cfRule type="cellIs" dxfId="150" priority="324" operator="between">
      <formula>0.86</formula>
      <formula>0.999999999</formula>
    </cfRule>
  </conditionalFormatting>
  <conditionalFormatting sqref="T8:U20">
    <cfRule type="cellIs" dxfId="149" priority="79" operator="greaterThanOrEqual">
      <formula>1</formula>
    </cfRule>
    <cfRule type="cellIs" dxfId="148" priority="83" operator="lessThanOrEqual">
      <formula>0.86</formula>
    </cfRule>
    <cfRule type="cellIs" dxfId="147" priority="84" operator="between">
      <formula>0.86</formula>
      <formula>0.9999</formula>
    </cfRule>
  </conditionalFormatting>
  <conditionalFormatting sqref="T22:U22">
    <cfRule type="cellIs" dxfId="146" priority="76" operator="greaterThanOrEqual">
      <formula>1</formula>
    </cfRule>
    <cfRule type="cellIs" dxfId="145" priority="77" operator="lessThanOrEqual">
      <formula>0.86</formula>
    </cfRule>
    <cfRule type="cellIs" dxfId="144" priority="78" operator="between">
      <formula>0.86</formula>
      <formula>0.9999</formula>
    </cfRule>
  </conditionalFormatting>
  <conditionalFormatting sqref="Y8:Y20 Y22">
    <cfRule type="cellIs" dxfId="143" priority="605" operator="greaterThanOrEqual">
      <formula>1</formula>
    </cfRule>
    <cfRule type="cellIs" dxfId="142" priority="626" operator="lessThanOrEqual">
      <formula>0.86</formula>
    </cfRule>
    <cfRule type="cellIs" dxfId="141" priority="627" operator="between">
      <formula>0.86</formula>
      <formula>0.9999</formula>
    </cfRule>
  </conditionalFormatting>
  <conditionalFormatting sqref="AC8:AC20">
    <cfRule type="cellIs" dxfId="140" priority="7" operator="greaterThanOrEqual">
      <formula>1</formula>
    </cfRule>
    <cfRule type="cellIs" dxfId="139" priority="11" operator="lessThanOrEqual">
      <formula>0.86</formula>
    </cfRule>
    <cfRule type="cellIs" dxfId="138" priority="12" operator="between">
      <formula>0.86</formula>
      <formula>0.9999</formula>
    </cfRule>
  </conditionalFormatting>
  <conditionalFormatting sqref="AC22">
    <cfRule type="cellIs" dxfId="137" priority="49" operator="greaterThanOrEqual">
      <formula>1</formula>
    </cfRule>
    <cfRule type="cellIs" dxfId="136" priority="50" operator="lessThanOrEqual">
      <formula>0.86</formula>
    </cfRule>
    <cfRule type="cellIs" dxfId="135" priority="51" operator="between">
      <formula>0.86</formula>
      <formula>0.9999</formula>
    </cfRule>
  </conditionalFormatting>
  <printOptions horizontalCentered="1"/>
  <pageMargins left="0" right="0" top="0" bottom="0" header="0" footer="0"/>
  <pageSetup paperSize="9" scale="5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Q106"/>
  <sheetViews>
    <sheetView showGridLines="0" zoomScale="80" zoomScaleNormal="80" workbookViewId="0">
      <pane xSplit="3" ySplit="7" topLeftCell="D44" activePane="bottomRight" state="frozen"/>
      <selection activeCell="H8" sqref="H8"/>
      <selection pane="topRight" activeCell="H8" sqref="H8"/>
      <selection pane="bottomLeft" activeCell="H8" sqref="H8"/>
      <selection pane="bottomRight" activeCell="H16" sqref="H16"/>
    </sheetView>
  </sheetViews>
  <sheetFormatPr defaultColWidth="9" defaultRowHeight="14" x14ac:dyDescent="0.3"/>
  <cols>
    <col min="1" max="1" width="10.08203125" style="7" hidden="1" customWidth="1"/>
    <col min="2" max="2" width="7.1640625" style="17" hidden="1" customWidth="1"/>
    <col min="3" max="3" width="20.9140625" style="1" customWidth="1"/>
    <col min="4" max="4" width="1.1640625" customWidth="1"/>
    <col min="5" max="5" width="9.1640625" style="1" bestFit="1" customWidth="1"/>
    <col min="6" max="6" width="8.08203125" style="119" bestFit="1" customWidth="1"/>
    <col min="7" max="7" width="1.1640625" customWidth="1"/>
    <col min="8" max="8" width="10.08203125" style="1" bestFit="1" customWidth="1"/>
    <col min="9" max="9" width="10.9140625" style="1" bestFit="1" customWidth="1"/>
    <col min="10" max="10" width="10.08203125" style="1" bestFit="1" customWidth="1"/>
    <col min="11" max="11" width="6.6640625" style="113" customWidth="1"/>
    <col min="12" max="12" width="0.6640625" style="11" customWidth="1"/>
    <col min="13" max="13" width="9.1640625" style="1" bestFit="1" customWidth="1"/>
    <col min="14" max="14" width="10.9140625" style="1" bestFit="1" customWidth="1"/>
    <col min="15" max="15" width="7.25" style="1" customWidth="1"/>
    <col min="16" max="16" width="9.1640625" style="1" bestFit="1" customWidth="1"/>
    <col min="17" max="17" width="8.5" style="18" bestFit="1" customWidth="1"/>
    <col min="18" max="18" width="0.6640625" style="11" customWidth="1"/>
    <col min="19" max="19" width="9.9140625" style="3" customWidth="1"/>
    <col min="20" max="20" width="8.33203125" style="3" customWidth="1"/>
    <col min="21" max="21" width="0.6640625" style="11" customWidth="1"/>
    <col min="22" max="22" width="0.75" style="4" hidden="1" customWidth="1"/>
    <col min="23" max="23" width="10.33203125" style="4" customWidth="1"/>
    <col min="24" max="24" width="0.1640625" style="1" customWidth="1"/>
    <col min="25" max="25" width="0.6640625" style="11" customWidth="1"/>
    <col min="26" max="26" width="2.08203125" style="61" customWidth="1"/>
    <col min="27" max="27" width="7.08203125" style="18" bestFit="1" customWidth="1"/>
    <col min="28" max="28" width="8.5" style="18" customWidth="1"/>
    <col min="29" max="29" width="0.58203125" style="13" customWidth="1"/>
    <col min="30" max="31" width="7.83203125" style="1" bestFit="1" customWidth="1"/>
    <col min="32" max="32" width="8.5" style="18" bestFit="1" customWidth="1"/>
    <col min="33" max="33" width="0.58203125" style="13" customWidth="1"/>
    <col min="34" max="34" width="7.58203125" style="1" customWidth="1"/>
    <col min="35" max="35" width="9.1640625" style="1" customWidth="1"/>
    <col min="36" max="36" width="9.1640625" style="18" customWidth="1"/>
    <col min="37" max="37" width="0.58203125" style="13" customWidth="1"/>
    <col min="38" max="38" width="8.83203125" style="3" bestFit="1" customWidth="1"/>
    <col min="39" max="39" width="8.5" style="20" customWidth="1"/>
    <col min="40" max="40" width="0.58203125" style="13" customWidth="1"/>
    <col min="41" max="41" width="9.4140625" style="19" customWidth="1"/>
    <col min="42" max="42" width="6.6640625" style="18" hidden="1" customWidth="1"/>
    <col min="43" max="43" width="8.6640625" customWidth="1"/>
    <col min="44" max="16384" width="9" style="11"/>
  </cols>
  <sheetData>
    <row r="1" spans="1:43" ht="14.5" thickBot="1" x14ac:dyDescent="0.35">
      <c r="A1" s="161"/>
      <c r="B1" s="217"/>
      <c r="C1" s="218"/>
      <c r="D1" s="166"/>
      <c r="E1" s="167"/>
      <c r="F1" s="168"/>
      <c r="G1" s="166"/>
      <c r="H1" s="167"/>
      <c r="I1" s="167"/>
      <c r="J1" s="167"/>
      <c r="K1" s="169"/>
      <c r="L1" s="167"/>
      <c r="M1" s="167"/>
      <c r="N1" s="167"/>
      <c r="O1" s="167"/>
      <c r="P1" s="167"/>
      <c r="Q1" s="170"/>
      <c r="R1" s="167"/>
      <c r="S1" s="171"/>
      <c r="T1" s="171"/>
      <c r="U1" s="167"/>
      <c r="V1" s="172"/>
      <c r="W1" s="172"/>
      <c r="X1" s="167"/>
      <c r="Y1" s="167"/>
      <c r="Z1" s="170"/>
      <c r="AA1" s="170"/>
      <c r="AB1" s="170"/>
      <c r="AC1" s="170"/>
      <c r="AD1" s="167"/>
      <c r="AE1" s="167"/>
      <c r="AF1" s="170"/>
      <c r="AG1" s="170"/>
      <c r="AH1" s="167"/>
      <c r="AI1" s="167"/>
      <c r="AJ1" s="170"/>
      <c r="AK1" s="170"/>
      <c r="AL1" s="171"/>
      <c r="AM1" s="173"/>
      <c r="AN1" s="170"/>
      <c r="AO1" s="174"/>
      <c r="AP1" s="175"/>
    </row>
    <row r="2" spans="1:43" s="162" customFormat="1" ht="30.65" customHeight="1" thickBot="1" x14ac:dyDescent="0.4">
      <c r="A2" s="161"/>
      <c r="B2" s="219"/>
      <c r="C2" s="220"/>
      <c r="D2" s="176"/>
      <c r="E2" s="223" t="s">
        <v>83</v>
      </c>
      <c r="F2" s="224"/>
      <c r="G2" s="224"/>
      <c r="H2" s="224"/>
      <c r="I2" s="224"/>
      <c r="J2" s="224"/>
      <c r="K2" s="224"/>
      <c r="L2" s="224"/>
      <c r="M2" s="224"/>
      <c r="N2" s="224"/>
      <c r="O2" s="224"/>
      <c r="P2" s="224"/>
      <c r="Q2" s="224"/>
      <c r="R2" s="224"/>
      <c r="S2" s="224"/>
      <c r="T2" s="224"/>
      <c r="U2" s="224"/>
      <c r="V2" s="224"/>
      <c r="W2" s="224"/>
      <c r="X2" s="224"/>
      <c r="Y2" s="224"/>
      <c r="Z2" s="224"/>
      <c r="AA2" s="224"/>
      <c r="AB2" s="224"/>
      <c r="AC2" s="224"/>
      <c r="AD2" s="224"/>
      <c r="AE2" s="224"/>
      <c r="AF2" s="224"/>
      <c r="AG2" s="224"/>
      <c r="AH2" s="224"/>
      <c r="AI2" s="224"/>
      <c r="AJ2" s="224"/>
      <c r="AK2" s="224"/>
      <c r="AL2" s="224"/>
      <c r="AM2" s="224"/>
      <c r="AN2" s="224"/>
      <c r="AO2" s="224"/>
      <c r="AP2" s="225"/>
      <c r="AQ2"/>
    </row>
    <row r="3" spans="1:43" s="186" customFormat="1" ht="12" thickBot="1" x14ac:dyDescent="0.3">
      <c r="B3" s="219"/>
      <c r="C3" s="220"/>
      <c r="D3" s="188"/>
      <c r="E3" s="234"/>
      <c r="F3" s="234"/>
      <c r="G3" s="188"/>
      <c r="H3" s="188">
        <v>10</v>
      </c>
      <c r="I3" s="188"/>
      <c r="J3" s="188">
        <v>3</v>
      </c>
      <c r="K3" s="188"/>
      <c r="L3" s="188"/>
      <c r="M3" s="188">
        <v>71</v>
      </c>
      <c r="N3" s="188"/>
      <c r="O3" s="188"/>
      <c r="P3" s="188">
        <v>6</v>
      </c>
      <c r="Q3" s="188"/>
      <c r="R3" s="188"/>
      <c r="S3" s="188"/>
      <c r="T3" s="188"/>
      <c r="U3" s="188"/>
      <c r="V3" s="188">
        <v>30</v>
      </c>
      <c r="W3" s="188">
        <v>5</v>
      </c>
      <c r="X3" s="188"/>
      <c r="Y3" s="188"/>
      <c r="Z3" s="188"/>
      <c r="AA3" s="188">
        <v>9</v>
      </c>
      <c r="AB3" s="188">
        <v>8</v>
      </c>
      <c r="AC3" s="188"/>
      <c r="AD3" s="188">
        <v>6</v>
      </c>
      <c r="AE3" s="188">
        <v>11</v>
      </c>
      <c r="AF3" s="188"/>
      <c r="AG3" s="188"/>
      <c r="AH3" s="188">
        <v>6</v>
      </c>
      <c r="AI3" s="188">
        <v>6</v>
      </c>
      <c r="AJ3" s="188">
        <v>6</v>
      </c>
      <c r="AK3" s="188"/>
      <c r="AL3" s="188"/>
      <c r="AM3" s="188"/>
      <c r="AN3" s="188"/>
      <c r="AO3" s="188">
        <v>10</v>
      </c>
      <c r="AP3" s="189"/>
    </row>
    <row r="4" spans="1:43" s="157" customFormat="1" ht="21.75" customHeight="1" thickBot="1" x14ac:dyDescent="0.3">
      <c r="A4" s="163"/>
      <c r="B4" s="219"/>
      <c r="C4" s="220"/>
      <c r="D4" s="177"/>
      <c r="E4" s="235"/>
      <c r="F4" s="235"/>
      <c r="G4" s="177"/>
      <c r="H4" s="226" t="s">
        <v>35</v>
      </c>
      <c r="I4" s="227"/>
      <c r="J4" s="227"/>
      <c r="K4" s="227"/>
      <c r="L4" s="227"/>
      <c r="M4" s="227"/>
      <c r="N4" s="227"/>
      <c r="O4" s="227"/>
      <c r="P4" s="227"/>
      <c r="Q4" s="227"/>
      <c r="R4" s="227"/>
      <c r="S4" s="227"/>
      <c r="T4" s="227"/>
      <c r="U4" s="227"/>
      <c r="V4" s="227"/>
      <c r="W4" s="227"/>
      <c r="X4" s="228"/>
      <c r="Y4" s="178"/>
      <c r="Z4" s="179"/>
      <c r="AA4" s="226" t="s">
        <v>6</v>
      </c>
      <c r="AB4" s="227"/>
      <c r="AC4" s="227"/>
      <c r="AD4" s="227"/>
      <c r="AE4" s="227"/>
      <c r="AF4" s="227"/>
      <c r="AG4" s="227"/>
      <c r="AH4" s="227"/>
      <c r="AI4" s="227"/>
      <c r="AJ4" s="227"/>
      <c r="AK4" s="227"/>
      <c r="AL4" s="227"/>
      <c r="AM4" s="227"/>
      <c r="AN4" s="227"/>
      <c r="AO4" s="227"/>
      <c r="AP4" s="228"/>
    </row>
    <row r="5" spans="1:43" s="57" customFormat="1" ht="23.5" customHeight="1" thickBot="1" x14ac:dyDescent="0.35">
      <c r="A5" s="164"/>
      <c r="B5" s="219"/>
      <c r="C5" s="220"/>
      <c r="D5" s="180"/>
      <c r="E5" s="221" t="s">
        <v>5</v>
      </c>
      <c r="F5" s="221"/>
      <c r="G5" s="180"/>
      <c r="H5" s="215" t="s">
        <v>36</v>
      </c>
      <c r="I5" s="215"/>
      <c r="J5" s="215"/>
      <c r="K5" s="215"/>
      <c r="L5" s="180"/>
      <c r="M5" s="215" t="s">
        <v>41</v>
      </c>
      <c r="N5" s="215"/>
      <c r="O5" s="215"/>
      <c r="P5" s="215"/>
      <c r="Q5" s="215"/>
      <c r="R5" s="180"/>
      <c r="S5" s="222" t="s">
        <v>40</v>
      </c>
      <c r="T5" s="222"/>
      <c r="U5" s="181"/>
      <c r="V5" s="216" t="s">
        <v>42</v>
      </c>
      <c r="W5" s="216"/>
      <c r="X5" s="216"/>
      <c r="Y5" s="180"/>
      <c r="Z5" s="182"/>
      <c r="AA5" s="232" t="s">
        <v>36</v>
      </c>
      <c r="AB5" s="233"/>
      <c r="AC5" s="181"/>
      <c r="AD5" s="215" t="s">
        <v>41</v>
      </c>
      <c r="AE5" s="215"/>
      <c r="AF5" s="215"/>
      <c r="AG5" s="215"/>
      <c r="AH5" s="215"/>
      <c r="AI5" s="215"/>
      <c r="AJ5" s="215"/>
      <c r="AK5" s="165"/>
      <c r="AL5" s="229" t="s">
        <v>40</v>
      </c>
      <c r="AM5" s="230"/>
      <c r="AN5" s="181"/>
      <c r="AO5" s="231" t="s">
        <v>42</v>
      </c>
      <c r="AP5" s="231"/>
      <c r="AQ5"/>
    </row>
    <row r="6" spans="1:43" s="107" customFormat="1" ht="27" customHeight="1" thickBot="1" x14ac:dyDescent="0.3">
      <c r="A6" s="106"/>
      <c r="B6" s="136"/>
      <c r="C6" s="137" t="s">
        <v>0</v>
      </c>
      <c r="D6" s="183"/>
      <c r="E6" s="137" t="s">
        <v>2</v>
      </c>
      <c r="F6" s="139" t="s">
        <v>13</v>
      </c>
      <c r="G6" s="183"/>
      <c r="H6" s="137" t="s">
        <v>1</v>
      </c>
      <c r="I6" s="140" t="s">
        <v>37</v>
      </c>
      <c r="J6" s="137" t="s">
        <v>2</v>
      </c>
      <c r="K6" s="137" t="s">
        <v>3</v>
      </c>
      <c r="L6" s="183"/>
      <c r="M6" s="137" t="s">
        <v>1</v>
      </c>
      <c r="N6" s="140" t="s">
        <v>37</v>
      </c>
      <c r="O6" s="137" t="s">
        <v>11</v>
      </c>
      <c r="P6" s="137" t="s">
        <v>43</v>
      </c>
      <c r="Q6" s="137" t="s">
        <v>3</v>
      </c>
      <c r="R6" s="183"/>
      <c r="S6" s="137" t="s">
        <v>44</v>
      </c>
      <c r="T6" s="137" t="s">
        <v>2</v>
      </c>
      <c r="U6" s="184"/>
      <c r="V6" s="137" t="s">
        <v>1</v>
      </c>
      <c r="W6" s="137" t="s">
        <v>2</v>
      </c>
      <c r="X6" s="137" t="s">
        <v>3</v>
      </c>
      <c r="Y6" s="183"/>
      <c r="Z6" s="183"/>
      <c r="AA6" s="137" t="s">
        <v>1</v>
      </c>
      <c r="AB6" s="137" t="s">
        <v>2</v>
      </c>
      <c r="AC6" s="184"/>
      <c r="AD6" s="137" t="s">
        <v>1</v>
      </c>
      <c r="AE6" s="137" t="s">
        <v>2</v>
      </c>
      <c r="AF6" s="137" t="s">
        <v>3</v>
      </c>
      <c r="AG6" s="184"/>
      <c r="AH6" s="137" t="s">
        <v>65</v>
      </c>
      <c r="AI6" s="137" t="s">
        <v>39</v>
      </c>
      <c r="AJ6" s="137" t="s">
        <v>38</v>
      </c>
      <c r="AK6" s="185"/>
      <c r="AL6" s="137" t="s">
        <v>44</v>
      </c>
      <c r="AM6" s="141" t="s">
        <v>2</v>
      </c>
      <c r="AN6" s="184"/>
      <c r="AO6" s="141" t="s">
        <v>2</v>
      </c>
      <c r="AP6" s="141" t="s">
        <v>3</v>
      </c>
    </row>
    <row r="7" spans="1:43" ht="6.5" customHeight="1" x14ac:dyDescent="0.3">
      <c r="B7" s="16"/>
      <c r="D7" s="12"/>
      <c r="E7" s="12"/>
      <c r="F7" s="117"/>
      <c r="G7" s="12"/>
      <c r="H7" s="22"/>
      <c r="I7" s="60"/>
      <c r="J7" s="12"/>
      <c r="K7" s="111"/>
      <c r="M7" s="12"/>
      <c r="N7" s="12"/>
      <c r="O7" s="12"/>
      <c r="P7" s="12"/>
      <c r="Q7" s="114"/>
      <c r="S7" s="21"/>
      <c r="T7" s="21"/>
      <c r="V7" s="24"/>
      <c r="W7" s="67"/>
      <c r="X7" s="22"/>
      <c r="AD7" s="12"/>
      <c r="AE7" s="12"/>
      <c r="AF7" s="114"/>
      <c r="AH7" s="12"/>
      <c r="AI7" s="12"/>
      <c r="AJ7" s="116"/>
      <c r="AL7" s="21"/>
      <c r="AO7" s="66"/>
    </row>
    <row r="8" spans="1:43" ht="12.75" customHeight="1" x14ac:dyDescent="0.3">
      <c r="A8" s="7" t="s">
        <v>4</v>
      </c>
      <c r="B8" s="214" t="s">
        <v>15</v>
      </c>
      <c r="C8" s="6" t="s">
        <v>8</v>
      </c>
      <c r="D8" s="7"/>
      <c r="E8" s="33">
        <v>44785.239999999991</v>
      </c>
      <c r="F8" s="123">
        <v>0.57416974358974349</v>
      </c>
      <c r="G8" s="7"/>
      <c r="H8" s="35">
        <v>78000</v>
      </c>
      <c r="I8" s="35">
        <v>63000</v>
      </c>
      <c r="J8" s="35">
        <v>55888.480000000192</v>
      </c>
      <c r="K8" s="70">
        <v>0.88711873015873322</v>
      </c>
      <c r="L8" s="36"/>
      <c r="M8" s="35">
        <v>15522</v>
      </c>
      <c r="N8" s="35">
        <v>12537</v>
      </c>
      <c r="O8" s="37">
        <v>0</v>
      </c>
      <c r="P8" s="35">
        <v>13154.780000000002</v>
      </c>
      <c r="Q8" s="115">
        <v>1.0492765414373457</v>
      </c>
      <c r="R8" s="36"/>
      <c r="S8" s="127">
        <v>0.19900000000000001</v>
      </c>
      <c r="T8" s="127">
        <v>0.23537551924833092</v>
      </c>
      <c r="U8" s="36"/>
      <c r="V8" s="35"/>
      <c r="W8" s="38">
        <v>6.5153319610770488</v>
      </c>
      <c r="X8" s="69" t="s">
        <v>69</v>
      </c>
      <c r="Y8" s="36"/>
      <c r="Z8" s="62"/>
      <c r="AA8" s="33">
        <v>3000</v>
      </c>
      <c r="AB8" s="33">
        <v>4105.5900000000011</v>
      </c>
      <c r="AC8" s="36"/>
      <c r="AD8" s="35">
        <v>597</v>
      </c>
      <c r="AE8" s="35">
        <v>669.03000000000031</v>
      </c>
      <c r="AF8" s="115">
        <v>1.1206532663316588</v>
      </c>
      <c r="AG8" s="36"/>
      <c r="AH8" s="35">
        <v>626.41809523809536</v>
      </c>
      <c r="AI8" s="35">
        <v>16286.870476190479</v>
      </c>
      <c r="AJ8" s="115">
        <v>1.0492765414373457</v>
      </c>
      <c r="AK8" s="36"/>
      <c r="AL8" s="108">
        <v>0.19900000000000001</v>
      </c>
      <c r="AM8" s="108">
        <v>0.16295587235939296</v>
      </c>
      <c r="AN8" s="36"/>
      <c r="AO8" s="38">
        <v>-0.95747505230667596</v>
      </c>
      <c r="AP8" s="70">
        <v>0</v>
      </c>
    </row>
    <row r="9" spans="1:43" ht="12.75" customHeight="1" x14ac:dyDescent="0.3">
      <c r="A9" s="7" t="s">
        <v>4</v>
      </c>
      <c r="B9" s="214"/>
      <c r="C9" s="6" t="s">
        <v>9</v>
      </c>
      <c r="D9" s="7"/>
      <c r="E9" s="33">
        <v>90489.239999999947</v>
      </c>
      <c r="F9" s="123">
        <v>0.78686295652173865</v>
      </c>
      <c r="G9" s="7"/>
      <c r="H9" s="35">
        <v>115000</v>
      </c>
      <c r="I9" s="35">
        <v>92741.93548387097</v>
      </c>
      <c r="J9" s="35">
        <v>84527.480000000098</v>
      </c>
      <c r="K9" s="70">
        <v>0.91142674086956621</v>
      </c>
      <c r="L9" s="36"/>
      <c r="M9" s="35">
        <v>23000</v>
      </c>
      <c r="N9" s="35">
        <v>18548.387096774193</v>
      </c>
      <c r="O9" s="37">
        <v>0</v>
      </c>
      <c r="P9" s="35">
        <v>21089.479999999978</v>
      </c>
      <c r="Q9" s="115">
        <v>1.1369980521739118</v>
      </c>
      <c r="R9" s="36"/>
      <c r="S9" s="127">
        <v>0.2</v>
      </c>
      <c r="T9" s="127">
        <v>0.24949850628458287</v>
      </c>
      <c r="U9" s="36"/>
      <c r="V9" s="35"/>
      <c r="W9" s="38">
        <v>9.6461647738698773</v>
      </c>
      <c r="X9" s="69" t="s">
        <v>69</v>
      </c>
      <c r="Y9" s="36"/>
      <c r="Z9" s="62"/>
      <c r="AA9" s="33">
        <v>3709.6774193548385</v>
      </c>
      <c r="AB9" s="33">
        <v>2021.7800000000007</v>
      </c>
      <c r="AC9" s="36"/>
      <c r="AD9" s="35">
        <v>741.93548387096769</v>
      </c>
      <c r="AE9" s="35">
        <v>552.79999999999995</v>
      </c>
      <c r="AF9" s="115">
        <v>0.74507826086956519</v>
      </c>
      <c r="AG9" s="36"/>
      <c r="AH9" s="35">
        <v>843.5791999999991</v>
      </c>
      <c r="AI9" s="35">
        <v>26150.955199999971</v>
      </c>
      <c r="AJ9" s="115">
        <v>1.1369980521739118</v>
      </c>
      <c r="AK9" s="36"/>
      <c r="AL9" s="108">
        <v>0.2</v>
      </c>
      <c r="AM9" s="108">
        <v>0.27342242974012987</v>
      </c>
      <c r="AN9" s="36"/>
      <c r="AO9" s="38">
        <v>11.81335259029176</v>
      </c>
      <c r="AP9" s="70">
        <v>0</v>
      </c>
    </row>
    <row r="10" spans="1:43" ht="12.75" customHeight="1" x14ac:dyDescent="0.3">
      <c r="A10" s="7" t="s">
        <v>4</v>
      </c>
      <c r="B10" s="214"/>
      <c r="C10" s="6" t="s">
        <v>10</v>
      </c>
      <c r="D10" s="7"/>
      <c r="E10" s="33">
        <v>143278.6</v>
      </c>
      <c r="F10" s="123">
        <v>0.75409789473684219</v>
      </c>
      <c r="G10" s="7"/>
      <c r="H10" s="35">
        <v>190000</v>
      </c>
      <c r="I10" s="35">
        <v>153225.80645161291</v>
      </c>
      <c r="J10" s="35">
        <v>156111.34999999791</v>
      </c>
      <c r="K10" s="70">
        <v>1.018831968421039</v>
      </c>
      <c r="L10" s="36"/>
      <c r="M10" s="35">
        <v>36480</v>
      </c>
      <c r="N10" s="35">
        <v>29419.354838709678</v>
      </c>
      <c r="O10" s="37">
        <v>0</v>
      </c>
      <c r="P10" s="35">
        <v>32421.590000000077</v>
      </c>
      <c r="Q10" s="115">
        <v>1.1020496600877219</v>
      </c>
      <c r="R10" s="36"/>
      <c r="S10" s="127">
        <v>0.192</v>
      </c>
      <c r="T10" s="127">
        <v>0.20768246511224528</v>
      </c>
      <c r="U10" s="36"/>
      <c r="V10" s="35"/>
      <c r="W10" s="38">
        <v>5.8147277568210924</v>
      </c>
      <c r="X10" s="69" t="s">
        <v>69</v>
      </c>
      <c r="Y10" s="36"/>
      <c r="Z10" s="62"/>
      <c r="AA10" s="33">
        <v>6129.0322580645161</v>
      </c>
      <c r="AB10" s="33">
        <v>5814.42</v>
      </c>
      <c r="AC10" s="36"/>
      <c r="AD10" s="35">
        <v>1176.7741935483871</v>
      </c>
      <c r="AE10" s="35">
        <v>1533.85</v>
      </c>
      <c r="AF10" s="115">
        <v>1.3034361293859649</v>
      </c>
      <c r="AG10" s="36"/>
      <c r="AH10" s="35">
        <v>1296.8636000000031</v>
      </c>
      <c r="AI10" s="35">
        <v>40202.771600000095</v>
      </c>
      <c r="AJ10" s="115">
        <v>1.1020496600877219</v>
      </c>
      <c r="AK10" s="36"/>
      <c r="AL10" s="108">
        <v>0.192</v>
      </c>
      <c r="AM10" s="108">
        <v>0.26380103260514376</v>
      </c>
      <c r="AN10" s="36"/>
      <c r="AO10" s="38">
        <v>10.098857667660756</v>
      </c>
      <c r="AP10" s="70">
        <v>0</v>
      </c>
    </row>
    <row r="11" spans="1:43" ht="12.75" customHeight="1" x14ac:dyDescent="0.3">
      <c r="A11" s="7" t="s">
        <v>4</v>
      </c>
      <c r="B11" s="214"/>
      <c r="C11" s="6" t="s">
        <v>12</v>
      </c>
      <c r="D11" s="7"/>
      <c r="E11" s="33">
        <v>26631.369999999995</v>
      </c>
      <c r="F11" s="123">
        <v>0.55482020833333323</v>
      </c>
      <c r="G11" s="7"/>
      <c r="H11" s="35">
        <v>48000</v>
      </c>
      <c r="I11" s="35">
        <v>38769.230769230773</v>
      </c>
      <c r="J11" s="35">
        <v>48462.44</v>
      </c>
      <c r="K11" s="70">
        <v>1.2500232539682539</v>
      </c>
      <c r="L11" s="36"/>
      <c r="M11" s="35">
        <v>5760</v>
      </c>
      <c r="N11" s="35">
        <v>4652.3076923076924</v>
      </c>
      <c r="O11" s="37">
        <v>0</v>
      </c>
      <c r="P11" s="35">
        <v>11384.36</v>
      </c>
      <c r="Q11" s="115">
        <v>2.4470350529100529</v>
      </c>
      <c r="R11" s="36"/>
      <c r="S11" s="127">
        <v>0.12</v>
      </c>
      <c r="T11" s="127">
        <v>0.23491099498910908</v>
      </c>
      <c r="U11" s="36"/>
      <c r="V11" s="35"/>
      <c r="W11" s="38">
        <v>6.4634384896839769</v>
      </c>
      <c r="X11" s="69" t="s">
        <v>69</v>
      </c>
      <c r="Y11" s="36"/>
      <c r="Z11" s="62"/>
      <c r="AA11" s="33">
        <v>1846.1538461538462</v>
      </c>
      <c r="AB11" s="33">
        <v>12816.83</v>
      </c>
      <c r="AC11" s="36"/>
      <c r="AD11" s="35">
        <v>221.53846153846155</v>
      </c>
      <c r="AE11" s="35">
        <v>1521.2799999999995</v>
      </c>
      <c r="AF11" s="115">
        <v>6.8668888888888864</v>
      </c>
      <c r="AG11" s="36"/>
      <c r="AH11" s="35">
        <v>542.11238095238093</v>
      </c>
      <c r="AI11" s="35">
        <v>14094.921904761904</v>
      </c>
      <c r="AJ11" s="115">
        <v>2.4470350529100529</v>
      </c>
      <c r="AK11" s="36"/>
      <c r="AL11" s="108">
        <v>0.12</v>
      </c>
      <c r="AM11" s="108">
        <v>0.11869393602006109</v>
      </c>
      <c r="AN11" s="36"/>
      <c r="AO11" s="38">
        <v>-3.2845095082013205</v>
      </c>
      <c r="AP11" s="70">
        <v>0</v>
      </c>
    </row>
    <row r="12" spans="1:43" s="15" customFormat="1" ht="14.25" customHeight="1" x14ac:dyDescent="0.3">
      <c r="A12" s="26"/>
      <c r="B12" s="214"/>
      <c r="C12" s="9" t="s">
        <v>50</v>
      </c>
      <c r="D12" s="26"/>
      <c r="E12" s="27">
        <v>305184.44999999995</v>
      </c>
      <c r="F12" s="124">
        <v>0.70808457076566111</v>
      </c>
      <c r="G12" s="26"/>
      <c r="H12" s="29">
        <v>431000</v>
      </c>
      <c r="I12" s="29">
        <v>347736.97270471463</v>
      </c>
      <c r="J12" s="29">
        <v>344989.7499999982</v>
      </c>
      <c r="K12" s="31">
        <v>0.99209971064236169</v>
      </c>
      <c r="L12" s="39"/>
      <c r="M12" s="29">
        <v>80762</v>
      </c>
      <c r="N12" s="29">
        <v>65157.049627791566</v>
      </c>
      <c r="O12" s="27">
        <v>0</v>
      </c>
      <c r="P12" s="29">
        <v>78050.210000000065</v>
      </c>
      <c r="Q12" s="31">
        <v>1.1978782103526853</v>
      </c>
      <c r="R12" s="39"/>
      <c r="S12" s="128">
        <v>0.18738283062645011</v>
      </c>
      <c r="T12" s="128">
        <v>0.2262392143534713</v>
      </c>
      <c r="U12" s="39"/>
      <c r="V12" s="29"/>
      <c r="W12" s="32">
        <v>6.9581110743140098</v>
      </c>
      <c r="X12" s="30" t="s">
        <v>69</v>
      </c>
      <c r="Y12" s="39"/>
      <c r="Z12" s="62"/>
      <c r="AA12" s="27">
        <v>14684.863523573202</v>
      </c>
      <c r="AB12" s="27">
        <v>24758.620000000003</v>
      </c>
      <c r="AC12" s="39"/>
      <c r="AD12" s="29">
        <v>2737.2481389578165</v>
      </c>
      <c r="AE12" s="29">
        <v>4276.96</v>
      </c>
      <c r="AF12" s="31">
        <v>1.5625035739830351</v>
      </c>
      <c r="AG12" s="39"/>
      <c r="AH12" s="29">
        <v>3308.9732761904784</v>
      </c>
      <c r="AI12" s="29">
        <v>96735.519180952455</v>
      </c>
      <c r="AJ12" s="31">
        <v>1.1977850868100401</v>
      </c>
      <c r="AK12" s="39"/>
      <c r="AL12" s="80">
        <v>0.18738283062645011</v>
      </c>
      <c r="AM12" s="80">
        <v>0.1727463000764986</v>
      </c>
      <c r="AN12" s="39"/>
      <c r="AO12" s="32">
        <v>0</v>
      </c>
      <c r="AP12" s="31">
        <v>0</v>
      </c>
      <c r="AQ12" s="10"/>
    </row>
    <row r="13" spans="1:43" ht="8" customHeight="1" x14ac:dyDescent="0.3">
      <c r="B13" s="16"/>
      <c r="D13" s="34"/>
      <c r="E13" s="47"/>
      <c r="F13" s="125"/>
      <c r="G13" s="34"/>
      <c r="H13" s="48"/>
      <c r="I13" s="48"/>
      <c r="J13" s="48"/>
      <c r="K13" s="51"/>
      <c r="L13" s="34"/>
      <c r="M13" s="48"/>
      <c r="N13" s="48"/>
      <c r="O13" s="51"/>
      <c r="P13" s="48"/>
      <c r="Q13" s="47"/>
      <c r="R13" s="34"/>
      <c r="S13" s="51"/>
      <c r="T13" s="51"/>
      <c r="U13" s="34"/>
      <c r="V13" s="48"/>
      <c r="W13" s="52"/>
      <c r="X13" s="48"/>
      <c r="Y13" s="34"/>
      <c r="Z13" s="62"/>
      <c r="AA13" s="47"/>
      <c r="AB13" s="47"/>
      <c r="AC13" s="36"/>
      <c r="AD13" s="48"/>
      <c r="AE13" s="48"/>
      <c r="AF13" s="47"/>
      <c r="AG13" s="36"/>
      <c r="AH13" s="48"/>
      <c r="AI13" s="48"/>
      <c r="AJ13" s="47"/>
      <c r="AK13" s="36"/>
      <c r="AL13" s="49"/>
      <c r="AM13" s="53"/>
      <c r="AN13" s="36"/>
      <c r="AO13" s="52"/>
      <c r="AP13" s="47"/>
    </row>
    <row r="14" spans="1:43" ht="12" customHeight="1" x14ac:dyDescent="0.3">
      <c r="A14" s="7" t="s">
        <v>24</v>
      </c>
      <c r="B14" s="211" t="s">
        <v>25</v>
      </c>
      <c r="C14" s="6" t="s">
        <v>8</v>
      </c>
      <c r="D14" s="34"/>
      <c r="E14" s="33">
        <v>887847.65000000165</v>
      </c>
      <c r="F14" s="131">
        <v>1.7581141584158448</v>
      </c>
      <c r="G14" s="7"/>
      <c r="H14" s="35">
        <v>505000</v>
      </c>
      <c r="I14" s="35">
        <v>407884.61538461538</v>
      </c>
      <c r="J14" s="35">
        <v>412265.3599999916</v>
      </c>
      <c r="K14" s="70">
        <v>1.0107401565299181</v>
      </c>
      <c r="L14" s="36"/>
      <c r="M14" s="35">
        <v>51510</v>
      </c>
      <c r="N14" s="35">
        <v>41604.230769230773</v>
      </c>
      <c r="O14" s="37">
        <v>0</v>
      </c>
      <c r="P14" s="35">
        <v>44066.168550000191</v>
      </c>
      <c r="Q14" s="115">
        <v>1.059175178467431</v>
      </c>
      <c r="R14" s="36"/>
      <c r="S14" s="127">
        <v>0.10199999999999999</v>
      </c>
      <c r="T14" s="127">
        <v>0.10688787568764227</v>
      </c>
      <c r="U14" s="36"/>
      <c r="V14" s="35"/>
      <c r="W14" s="38">
        <v>0.15982146789953292</v>
      </c>
      <c r="X14" s="69" t="s">
        <v>69</v>
      </c>
      <c r="Y14" s="36"/>
      <c r="Z14" s="62"/>
      <c r="AA14" s="33">
        <v>19423.076923076922</v>
      </c>
      <c r="AB14" s="33">
        <v>17346.77999999997</v>
      </c>
      <c r="AC14" s="36"/>
      <c r="AD14" s="35">
        <v>1981.1538461538462</v>
      </c>
      <c r="AE14" s="35">
        <v>1624.5458999999998</v>
      </c>
      <c r="AF14" s="115">
        <v>0.81999987186953982</v>
      </c>
      <c r="AG14" s="36"/>
      <c r="AH14" s="35">
        <v>2098.3889785714377</v>
      </c>
      <c r="AI14" s="35">
        <v>54558.113442857379</v>
      </c>
      <c r="AJ14" s="115">
        <v>1.0591751784674313</v>
      </c>
      <c r="AK14" s="36"/>
      <c r="AL14" s="108">
        <v>0.10199999999999999</v>
      </c>
      <c r="AM14" s="108">
        <v>9.3651150242292966E-2</v>
      </c>
      <c r="AN14" s="36"/>
      <c r="AO14" s="38">
        <v>-1.3289734463689162</v>
      </c>
      <c r="AP14" s="70">
        <v>0</v>
      </c>
    </row>
    <row r="15" spans="1:43" ht="12.75" customHeight="1" x14ac:dyDescent="0.3">
      <c r="A15" s="7" t="s">
        <v>24</v>
      </c>
      <c r="B15" s="211"/>
      <c r="C15" s="6" t="s">
        <v>9</v>
      </c>
      <c r="D15" s="34"/>
      <c r="E15" s="33">
        <v>1240094.4799999986</v>
      </c>
      <c r="F15" s="131">
        <v>1.4504029005847936</v>
      </c>
      <c r="G15" s="7"/>
      <c r="H15" s="35">
        <v>855000</v>
      </c>
      <c r="I15" s="35">
        <v>689516.12903225806</v>
      </c>
      <c r="J15" s="35">
        <v>699600.47999994899</v>
      </c>
      <c r="K15" s="70">
        <v>1.0146252575437857</v>
      </c>
      <c r="L15" s="36"/>
      <c r="M15" s="35">
        <v>106020</v>
      </c>
      <c r="N15" s="35">
        <v>85500</v>
      </c>
      <c r="O15" s="37">
        <v>0</v>
      </c>
      <c r="P15" s="35">
        <v>95985.435400001181</v>
      </c>
      <c r="Q15" s="115">
        <v>1.1226366713450431</v>
      </c>
      <c r="R15" s="36"/>
      <c r="S15" s="127">
        <v>0.124</v>
      </c>
      <c r="T15" s="127">
        <v>0.1372003566950214</v>
      </c>
      <c r="U15" s="36"/>
      <c r="V15" s="35"/>
      <c r="W15" s="38">
        <v>3.7005571236822168</v>
      </c>
      <c r="X15" s="69" t="s">
        <v>69</v>
      </c>
      <c r="Y15" s="36"/>
      <c r="Z15" s="62"/>
      <c r="AA15" s="33">
        <v>27580.645161290322</v>
      </c>
      <c r="AB15" s="33">
        <v>21661.909999999993</v>
      </c>
      <c r="AC15" s="36"/>
      <c r="AD15" s="35">
        <v>3420</v>
      </c>
      <c r="AE15" s="35">
        <v>3235.2245000000012</v>
      </c>
      <c r="AF15" s="115">
        <v>0.94597207602339217</v>
      </c>
      <c r="AG15" s="36"/>
      <c r="AH15" s="35">
        <v>3839.4174160000471</v>
      </c>
      <c r="AI15" s="35">
        <v>119021.93989600147</v>
      </c>
      <c r="AJ15" s="115">
        <v>1.1226366713450431</v>
      </c>
      <c r="AK15" s="36"/>
      <c r="AL15" s="108">
        <v>0.124</v>
      </c>
      <c r="AM15" s="108">
        <v>0.14935084210025812</v>
      </c>
      <c r="AN15" s="36"/>
      <c r="AO15" s="38">
        <v>4.6770783370441258</v>
      </c>
      <c r="AP15" s="70">
        <v>0</v>
      </c>
    </row>
    <row r="16" spans="1:43" ht="12.75" customHeight="1" x14ac:dyDescent="0.3">
      <c r="A16" s="7" t="s">
        <v>24</v>
      </c>
      <c r="B16" s="211"/>
      <c r="C16" s="6" t="s">
        <v>10</v>
      </c>
      <c r="D16" s="34"/>
      <c r="E16" s="33">
        <v>1857546.4899999981</v>
      </c>
      <c r="F16" s="131">
        <v>1.5102003983739822</v>
      </c>
      <c r="G16" s="7"/>
      <c r="H16" s="35">
        <v>1230000</v>
      </c>
      <c r="I16" s="35">
        <v>991935.48387096776</v>
      </c>
      <c r="J16" s="35">
        <v>981756.55999992392</v>
      </c>
      <c r="K16" s="70">
        <v>0.98973832065032974</v>
      </c>
      <c r="L16" s="36"/>
      <c r="M16" s="35">
        <v>170891.33832238274</v>
      </c>
      <c r="N16" s="35">
        <v>137815.5954212764</v>
      </c>
      <c r="O16" s="37">
        <v>5000</v>
      </c>
      <c r="P16" s="35">
        <v>130740.60845000019</v>
      </c>
      <c r="Q16" s="115">
        <v>0.948663379136089</v>
      </c>
      <c r="R16" s="36"/>
      <c r="S16" s="127">
        <v>0.13893604741657134</v>
      </c>
      <c r="T16" s="127">
        <v>0.13317008897807653</v>
      </c>
      <c r="U16" s="36"/>
      <c r="V16" s="35"/>
      <c r="W16" s="38">
        <v>3.0098488417462188</v>
      </c>
      <c r="X16" s="69" t="s">
        <v>69</v>
      </c>
      <c r="Y16" s="36"/>
      <c r="Z16" s="62"/>
      <c r="AA16" s="33">
        <v>39677.419354838712</v>
      </c>
      <c r="AB16" s="33">
        <v>42921.209999999977</v>
      </c>
      <c r="AC16" s="36"/>
      <c r="AD16" s="35">
        <v>5512.6238168510563</v>
      </c>
      <c r="AE16" s="35">
        <v>5954.0773500000032</v>
      </c>
      <c r="AF16" s="115">
        <v>1.080080474891014</v>
      </c>
      <c r="AG16" s="36"/>
      <c r="AH16" s="35">
        <v>5229.6243380000078</v>
      </c>
      <c r="AI16" s="35">
        <v>162118.35447800026</v>
      </c>
      <c r="AJ16" s="115">
        <v>0.94866337913608911</v>
      </c>
      <c r="AK16" s="36"/>
      <c r="AL16" s="108">
        <v>0.13893604741657134</v>
      </c>
      <c r="AM16" s="108">
        <v>0.13872109733159915</v>
      </c>
      <c r="AN16" s="36"/>
      <c r="AO16" s="38">
        <v>3.9656089611638774</v>
      </c>
      <c r="AP16" s="70">
        <v>0</v>
      </c>
    </row>
    <row r="17" spans="1:43" ht="12.75" customHeight="1" x14ac:dyDescent="0.3">
      <c r="A17" s="7" t="s">
        <v>24</v>
      </c>
      <c r="B17" s="211"/>
      <c r="C17" s="6" t="s">
        <v>12</v>
      </c>
      <c r="D17" s="34"/>
      <c r="E17" s="33">
        <v>50683.189999999988</v>
      </c>
      <c r="F17" s="131">
        <v>1.1018084782608693</v>
      </c>
      <c r="G17" s="7"/>
      <c r="H17" s="35">
        <v>46000</v>
      </c>
      <c r="I17" s="35">
        <v>37153.846153846156</v>
      </c>
      <c r="J17" s="35">
        <v>28381.55000000029</v>
      </c>
      <c r="K17" s="70">
        <v>0.76389265010352747</v>
      </c>
      <c r="L17" s="36"/>
      <c r="M17" s="35">
        <v>6566.3465285347293</v>
      </c>
      <c r="N17" s="35">
        <v>5303.5875807395887</v>
      </c>
      <c r="O17" s="37">
        <v>0</v>
      </c>
      <c r="P17" s="35">
        <v>4188.0500000000056</v>
      </c>
      <c r="Q17" s="115">
        <v>0.78966358832448647</v>
      </c>
      <c r="R17" s="36"/>
      <c r="S17" s="127">
        <v>0.14274666366379846</v>
      </c>
      <c r="T17" s="127">
        <v>0.14756241290556588</v>
      </c>
      <c r="U17" s="36"/>
      <c r="V17" s="35"/>
      <c r="W17" s="38">
        <v>3.9020067614355245</v>
      </c>
      <c r="X17" s="69" t="s">
        <v>69</v>
      </c>
      <c r="Y17" s="36"/>
      <c r="Z17" s="62"/>
      <c r="AA17" s="33">
        <v>1769.2307692307693</v>
      </c>
      <c r="AB17" s="33">
        <v>843.36000000000035</v>
      </c>
      <c r="AC17" s="36"/>
      <c r="AD17" s="35">
        <v>252.55178955902804</v>
      </c>
      <c r="AE17" s="35">
        <v>116.90999999999998</v>
      </c>
      <c r="AF17" s="115">
        <v>0.46291495381653203</v>
      </c>
      <c r="AG17" s="36"/>
      <c r="AH17" s="35">
        <v>199.43095238095265</v>
      </c>
      <c r="AI17" s="35">
        <v>5185.2047619047689</v>
      </c>
      <c r="AJ17" s="115">
        <v>0.78966358832448647</v>
      </c>
      <c r="AK17" s="36"/>
      <c r="AL17" s="108">
        <v>0.14274666366379846</v>
      </c>
      <c r="AM17" s="108">
        <v>0.1386240751280591</v>
      </c>
      <c r="AN17" s="36"/>
      <c r="AO17" s="38">
        <v>3.0141339404287688</v>
      </c>
      <c r="AP17" s="70">
        <v>0</v>
      </c>
    </row>
    <row r="18" spans="1:43" s="15" customFormat="1" ht="14.25" customHeight="1" x14ac:dyDescent="0.3">
      <c r="A18" s="26"/>
      <c r="B18" s="211"/>
      <c r="C18" s="9" t="s">
        <v>26</v>
      </c>
      <c r="D18" s="28"/>
      <c r="E18" s="27">
        <v>4036171.8099999982</v>
      </c>
      <c r="F18" s="124">
        <v>1.531172917298937</v>
      </c>
      <c r="G18" s="26"/>
      <c r="H18" s="29">
        <v>2636000</v>
      </c>
      <c r="I18" s="29">
        <v>2126490.0744416872</v>
      </c>
      <c r="J18" s="29">
        <v>2122003.9499998651</v>
      </c>
      <c r="K18" s="31">
        <v>0.99789036191810121</v>
      </c>
      <c r="L18" s="39"/>
      <c r="M18" s="29">
        <v>334987.68485091749</v>
      </c>
      <c r="N18" s="29">
        <v>270223.41377124673</v>
      </c>
      <c r="O18" s="27">
        <v>5000</v>
      </c>
      <c r="P18" s="29">
        <v>274980.26240000152</v>
      </c>
      <c r="Q18" s="31">
        <v>1.0176033918096439</v>
      </c>
      <c r="R18" s="39"/>
      <c r="S18" s="128">
        <v>0.12708182278107644</v>
      </c>
      <c r="T18" s="128">
        <v>0.12958517933014169</v>
      </c>
      <c r="U18" s="39"/>
      <c r="V18" s="29"/>
      <c r="W18" s="32">
        <v>2.6957933984936955</v>
      </c>
      <c r="X18" s="30" t="s">
        <v>69</v>
      </c>
      <c r="Y18" s="39"/>
      <c r="Z18" s="62"/>
      <c r="AA18" s="27">
        <v>88450.372208436718</v>
      </c>
      <c r="AB18" s="27">
        <v>82773.259999999937</v>
      </c>
      <c r="AC18" s="39"/>
      <c r="AD18" s="29">
        <v>11166.329452563928</v>
      </c>
      <c r="AE18" s="29">
        <v>10930.757750000004</v>
      </c>
      <c r="AF18" s="31">
        <v>0.97890338955476242</v>
      </c>
      <c r="AG18" s="39"/>
      <c r="AH18" s="29">
        <v>11366.861684952446</v>
      </c>
      <c r="AI18" s="29">
        <v>340883.61257876386</v>
      </c>
      <c r="AJ18" s="31">
        <v>1.0176004312829299</v>
      </c>
      <c r="AK18" s="39"/>
      <c r="AL18" s="80">
        <v>0.12708182278107644</v>
      </c>
      <c r="AM18" s="80">
        <v>0.13205662976183385</v>
      </c>
      <c r="AN18" s="39"/>
      <c r="AO18" s="32">
        <v>0</v>
      </c>
      <c r="AP18" s="31">
        <v>0</v>
      </c>
      <c r="AQ18" s="10"/>
    </row>
    <row r="19" spans="1:43" ht="8" customHeight="1" x14ac:dyDescent="0.3">
      <c r="B19" s="16"/>
      <c r="D19" s="34"/>
      <c r="E19" s="47"/>
      <c r="F19" s="125"/>
      <c r="G19" s="34"/>
      <c r="H19" s="48"/>
      <c r="I19" s="48"/>
      <c r="J19" s="48"/>
      <c r="K19" s="51"/>
      <c r="L19" s="34"/>
      <c r="M19" s="48"/>
      <c r="N19" s="48"/>
      <c r="O19" s="51"/>
      <c r="P19" s="48"/>
      <c r="Q19" s="47"/>
      <c r="R19" s="34"/>
      <c r="S19" s="51"/>
      <c r="T19" s="51"/>
      <c r="U19" s="34"/>
      <c r="V19" s="48"/>
      <c r="W19" s="52"/>
      <c r="X19" s="48"/>
      <c r="Y19" s="34"/>
      <c r="Z19" s="62"/>
      <c r="AA19" s="47"/>
      <c r="AB19" s="47"/>
      <c r="AC19" s="36"/>
      <c r="AD19" s="48"/>
      <c r="AE19" s="48"/>
      <c r="AF19" s="47"/>
      <c r="AG19" s="36"/>
      <c r="AH19" s="48"/>
      <c r="AI19" s="48"/>
      <c r="AJ19" s="47"/>
      <c r="AK19" s="36"/>
      <c r="AL19" s="49"/>
      <c r="AM19" s="53"/>
      <c r="AN19" s="36"/>
      <c r="AO19" s="52"/>
      <c r="AP19" s="47"/>
    </row>
    <row r="20" spans="1:43" ht="12" customHeight="1" x14ac:dyDescent="0.3">
      <c r="A20" s="7" t="s">
        <v>14</v>
      </c>
      <c r="B20" s="211" t="s">
        <v>33</v>
      </c>
      <c r="C20" s="6" t="s">
        <v>8</v>
      </c>
      <c r="D20" s="34"/>
      <c r="E20" s="33">
        <v>81683.590000000055</v>
      </c>
      <c r="F20" s="123">
        <v>0.47490459302325611</v>
      </c>
      <c r="G20" s="7"/>
      <c r="H20" s="35">
        <v>172000</v>
      </c>
      <c r="I20" s="35">
        <v>138923.07692307691</v>
      </c>
      <c r="J20" s="35">
        <v>142084.3200000003</v>
      </c>
      <c r="K20" s="70">
        <v>1.0227553488372116</v>
      </c>
      <c r="L20" s="36"/>
      <c r="M20" s="35">
        <v>31045.208551705378</v>
      </c>
      <c r="N20" s="35">
        <v>25074.976137915884</v>
      </c>
      <c r="O20" s="37">
        <v>0</v>
      </c>
      <c r="P20" s="35">
        <v>22439.25536000001</v>
      </c>
      <c r="Q20" s="115">
        <v>0.89488640932621266</v>
      </c>
      <c r="R20" s="36"/>
      <c r="S20" s="127">
        <v>0.18049539855642663</v>
      </c>
      <c r="T20" s="127">
        <v>0.1579291462984794</v>
      </c>
      <c r="U20" s="36"/>
      <c r="V20" s="35"/>
      <c r="W20" s="38">
        <v>-0.52625415668641018</v>
      </c>
      <c r="X20" s="69" t="s">
        <v>69</v>
      </c>
      <c r="Y20" s="36"/>
      <c r="Z20" s="62"/>
      <c r="AA20" s="33">
        <v>6615.3846153846152</v>
      </c>
      <c r="AB20" s="33">
        <v>7434.5899999999983</v>
      </c>
      <c r="AC20" s="36"/>
      <c r="AD20" s="35">
        <v>1194.0464827578992</v>
      </c>
      <c r="AE20" s="35">
        <v>928.00755000000004</v>
      </c>
      <c r="AF20" s="115">
        <v>0.77719549732818882</v>
      </c>
      <c r="AG20" s="36"/>
      <c r="AH20" s="35">
        <v>1068.5359695238101</v>
      </c>
      <c r="AI20" s="35">
        <v>27781.935207619063</v>
      </c>
      <c r="AJ20" s="115">
        <v>0.89488640932621288</v>
      </c>
      <c r="AK20" s="36"/>
      <c r="AL20" s="108">
        <v>0.18049539855642663</v>
      </c>
      <c r="AM20" s="108">
        <v>0.12482296266505621</v>
      </c>
      <c r="AN20" s="36"/>
      <c r="AO20" s="38">
        <v>-4.5073427048431896</v>
      </c>
      <c r="AP20" s="70">
        <v>0</v>
      </c>
    </row>
    <row r="21" spans="1:43" ht="12.75" customHeight="1" x14ac:dyDescent="0.3">
      <c r="A21" s="7" t="s">
        <v>14</v>
      </c>
      <c r="B21" s="211"/>
      <c r="C21" s="6" t="s">
        <v>9</v>
      </c>
      <c r="D21" s="34"/>
      <c r="E21" s="33">
        <v>90230.190000000075</v>
      </c>
      <c r="F21" s="123">
        <v>0.53076582352941226</v>
      </c>
      <c r="G21" s="7"/>
      <c r="H21" s="35">
        <v>170000</v>
      </c>
      <c r="I21" s="35">
        <v>137096.77419354839</v>
      </c>
      <c r="J21" s="35">
        <v>148295.02000000022</v>
      </c>
      <c r="K21" s="70">
        <v>1.0816813223529427</v>
      </c>
      <c r="L21" s="36"/>
      <c r="M21" s="35">
        <v>40800</v>
      </c>
      <c r="N21" s="35">
        <v>32903.225806451614</v>
      </c>
      <c r="O21" s="37">
        <v>0</v>
      </c>
      <c r="P21" s="35">
        <v>34556.842940000024</v>
      </c>
      <c r="Q21" s="115">
        <v>1.0502569913137263</v>
      </c>
      <c r="R21" s="36"/>
      <c r="S21" s="127">
        <v>0.24</v>
      </c>
      <c r="T21" s="127">
        <v>0.23302766970866567</v>
      </c>
      <c r="U21" s="36"/>
      <c r="V21" s="35"/>
      <c r="W21" s="38">
        <v>7.2674678758595359</v>
      </c>
      <c r="X21" s="69" t="s">
        <v>69</v>
      </c>
      <c r="Y21" s="36"/>
      <c r="Z21" s="62"/>
      <c r="AA21" s="33">
        <v>5483.8709677419356</v>
      </c>
      <c r="AB21" s="33">
        <v>2487.9699999999998</v>
      </c>
      <c r="AC21" s="36"/>
      <c r="AD21" s="35">
        <v>1316.1290322580646</v>
      </c>
      <c r="AE21" s="35">
        <v>761.96875</v>
      </c>
      <c r="AF21" s="115">
        <v>0.57894684436274502</v>
      </c>
      <c r="AG21" s="36"/>
      <c r="AH21" s="35">
        <v>1382.273717600001</v>
      </c>
      <c r="AI21" s="35">
        <v>42850.48524560003</v>
      </c>
      <c r="AJ21" s="115">
        <v>1.0502569913137263</v>
      </c>
      <c r="AK21" s="36"/>
      <c r="AL21" s="108">
        <v>0.24</v>
      </c>
      <c r="AM21" s="108">
        <v>0.30626122903411218</v>
      </c>
      <c r="AN21" s="36"/>
      <c r="AO21" s="38">
        <v>14.679789145367481</v>
      </c>
      <c r="AP21" s="70">
        <v>0</v>
      </c>
    </row>
    <row r="22" spans="1:43" ht="12.75" customHeight="1" x14ac:dyDescent="0.3">
      <c r="A22" s="7" t="s">
        <v>14</v>
      </c>
      <c r="B22" s="211"/>
      <c r="C22" s="6" t="s">
        <v>10</v>
      </c>
      <c r="D22" s="34"/>
      <c r="E22" s="33">
        <v>164621.27999999997</v>
      </c>
      <c r="F22" s="123">
        <v>0.54873759999999994</v>
      </c>
      <c r="G22" s="7"/>
      <c r="H22" s="35">
        <v>300000</v>
      </c>
      <c r="I22" s="35">
        <v>241935.48387096776</v>
      </c>
      <c r="J22" s="35">
        <v>226459.60999999399</v>
      </c>
      <c r="K22" s="70">
        <v>0.93603305466664177</v>
      </c>
      <c r="L22" s="36"/>
      <c r="M22" s="35">
        <v>73642.908202804829</v>
      </c>
      <c r="N22" s="35">
        <v>59389.442099036147</v>
      </c>
      <c r="O22" s="37">
        <v>1357.86</v>
      </c>
      <c r="P22" s="35">
        <v>58351.696780000122</v>
      </c>
      <c r="Q22" s="115">
        <v>0.98252643428935549</v>
      </c>
      <c r="R22" s="36"/>
      <c r="S22" s="127">
        <v>0.24547636067601611</v>
      </c>
      <c r="T22" s="127">
        <v>0.25766933352928439</v>
      </c>
      <c r="U22" s="36"/>
      <c r="V22" s="35"/>
      <c r="W22" s="38">
        <v>9.255600493172123</v>
      </c>
      <c r="X22" s="69" t="s">
        <v>69</v>
      </c>
      <c r="Y22" s="36"/>
      <c r="Z22" s="62"/>
      <c r="AA22" s="33">
        <v>9677.4193548387102</v>
      </c>
      <c r="AB22" s="33">
        <v>9168.2099999999919</v>
      </c>
      <c r="AC22" s="36"/>
      <c r="AD22" s="35">
        <v>2375.5776839614459</v>
      </c>
      <c r="AE22" s="35">
        <v>2265.3711900000003</v>
      </c>
      <c r="AF22" s="115">
        <v>0.95360854974118614</v>
      </c>
      <c r="AG22" s="36"/>
      <c r="AH22" s="35">
        <v>2334.0678712000049</v>
      </c>
      <c r="AI22" s="35">
        <v>72356.104007200149</v>
      </c>
      <c r="AJ22" s="115">
        <v>0.98252643428935538</v>
      </c>
      <c r="AK22" s="36"/>
      <c r="AL22" s="108">
        <v>0.24547636067601611</v>
      </c>
      <c r="AM22" s="108">
        <v>0.24708980160794772</v>
      </c>
      <c r="AN22" s="36"/>
      <c r="AO22" s="38">
        <v>8.8331439833947361</v>
      </c>
      <c r="AP22" s="70">
        <v>0</v>
      </c>
    </row>
    <row r="23" spans="1:43" ht="12.75" customHeight="1" x14ac:dyDescent="0.3">
      <c r="A23" s="7" t="s">
        <v>14</v>
      </c>
      <c r="B23" s="211"/>
      <c r="C23" s="6" t="s">
        <v>12</v>
      </c>
      <c r="D23" s="34"/>
      <c r="E23" s="33">
        <v>52953.819999999978</v>
      </c>
      <c r="F23" s="123">
        <v>5.9498674157303345E-2</v>
      </c>
      <c r="G23" s="7"/>
      <c r="H23" s="35">
        <v>890000</v>
      </c>
      <c r="I23" s="35">
        <v>718846.15384615387</v>
      </c>
      <c r="J23" s="35">
        <v>721464.8399999995</v>
      </c>
      <c r="K23" s="70">
        <v>1.0036429020866766</v>
      </c>
      <c r="L23" s="36"/>
      <c r="M23" s="35">
        <v>228323.22150295851</v>
      </c>
      <c r="N23" s="35">
        <v>184414.90967546648</v>
      </c>
      <c r="O23" s="37">
        <v>11134.55</v>
      </c>
      <c r="P23" s="35">
        <v>109700.25999999995</v>
      </c>
      <c r="Q23" s="115">
        <v>0.59485569899446078</v>
      </c>
      <c r="R23" s="36"/>
      <c r="S23" s="127">
        <v>0.25654294550894213</v>
      </c>
      <c r="T23" s="127">
        <v>0.15205212217964775</v>
      </c>
      <c r="U23" s="36"/>
      <c r="V23" s="35"/>
      <c r="W23" s="38">
        <v>-2.6998571406474703</v>
      </c>
      <c r="X23" s="69" t="s">
        <v>69</v>
      </c>
      <c r="Y23" s="36"/>
      <c r="Z23" s="62"/>
      <c r="AA23" s="33">
        <v>34230.769230769234</v>
      </c>
      <c r="AB23" s="33">
        <v>56349.130000000005</v>
      </c>
      <c r="AC23" s="36"/>
      <c r="AD23" s="35">
        <v>8781.6623654984032</v>
      </c>
      <c r="AE23" s="35">
        <v>7189.5200000000013</v>
      </c>
      <c r="AF23" s="115">
        <v>0.81869692784436265</v>
      </c>
      <c r="AG23" s="36"/>
      <c r="AH23" s="35">
        <v>5223.8219047619023</v>
      </c>
      <c r="AI23" s="35">
        <v>135819.36952380947</v>
      </c>
      <c r="AJ23" s="115">
        <v>0.59485569899446067</v>
      </c>
      <c r="AK23" s="36"/>
      <c r="AL23" s="108">
        <v>0.25654294550894213</v>
      </c>
      <c r="AM23" s="108">
        <v>0.1275888376626223</v>
      </c>
      <c r="AN23" s="36"/>
      <c r="AO23" s="38">
        <v>-3.7127458755796074</v>
      </c>
      <c r="AP23" s="70">
        <v>0</v>
      </c>
    </row>
    <row r="24" spans="1:43" s="15" customFormat="1" ht="14.25" customHeight="1" x14ac:dyDescent="0.3">
      <c r="A24" s="26"/>
      <c r="B24" s="211"/>
      <c r="C24" s="9" t="s">
        <v>34</v>
      </c>
      <c r="D24" s="28"/>
      <c r="E24" s="27">
        <v>389488.88000000012</v>
      </c>
      <c r="F24" s="124">
        <v>0.25423556135770242</v>
      </c>
      <c r="G24" s="26"/>
      <c r="H24" s="29">
        <v>1532000</v>
      </c>
      <c r="I24" s="29">
        <v>1236801.4888337469</v>
      </c>
      <c r="J24" s="29">
        <v>1238303.789999994</v>
      </c>
      <c r="K24" s="31">
        <v>1.0012146663630423</v>
      </c>
      <c r="L24" s="39"/>
      <c r="M24" s="29">
        <v>373811.33825746871</v>
      </c>
      <c r="N24" s="29">
        <v>301782.55371887016</v>
      </c>
      <c r="O24" s="27">
        <v>12492.41</v>
      </c>
      <c r="P24" s="29">
        <v>225048.05508000011</v>
      </c>
      <c r="Q24" s="31">
        <v>0.74572917588087895</v>
      </c>
      <c r="R24" s="39"/>
      <c r="S24" s="128">
        <v>0.24400217901923546</v>
      </c>
      <c r="T24" s="128">
        <v>0.18173896978866649</v>
      </c>
      <c r="U24" s="39"/>
      <c r="V24" s="29"/>
      <c r="W24" s="32">
        <v>0.92959782348677111</v>
      </c>
      <c r="X24" s="30" t="s">
        <v>69</v>
      </c>
      <c r="Y24" s="39"/>
      <c r="Z24" s="62"/>
      <c r="AA24" s="27">
        <v>56007.444168734495</v>
      </c>
      <c r="AB24" s="27">
        <v>75439.899999999994</v>
      </c>
      <c r="AC24" s="39"/>
      <c r="AD24" s="29">
        <v>13667.415564475814</v>
      </c>
      <c r="AE24" s="29">
        <v>11144.867490000001</v>
      </c>
      <c r="AF24" s="31">
        <v>0.81543342539225994</v>
      </c>
      <c r="AG24" s="39"/>
      <c r="AH24" s="29">
        <v>10008.699463085719</v>
      </c>
      <c r="AI24" s="29">
        <v>278807.89398422872</v>
      </c>
      <c r="AJ24" s="31">
        <v>0.74585189225104565</v>
      </c>
      <c r="AK24" s="39"/>
      <c r="AL24" s="80">
        <v>0.24400217901923546</v>
      </c>
      <c r="AM24" s="80">
        <v>0.14773173731672498</v>
      </c>
      <c r="AN24" s="39"/>
      <c r="AO24" s="32">
        <v>0</v>
      </c>
      <c r="AP24" s="31">
        <v>0</v>
      </c>
      <c r="AQ24" s="10"/>
    </row>
    <row r="25" spans="1:43" ht="8" customHeight="1" x14ac:dyDescent="0.3">
      <c r="B25" s="16"/>
      <c r="D25" s="34"/>
      <c r="E25" s="47"/>
      <c r="F25" s="125"/>
      <c r="G25" s="34"/>
      <c r="H25" s="48"/>
      <c r="I25" s="48"/>
      <c r="J25" s="48"/>
      <c r="K25" s="51"/>
      <c r="L25" s="34"/>
      <c r="M25" s="48"/>
      <c r="N25" s="48"/>
      <c r="O25" s="51"/>
      <c r="P25" s="48"/>
      <c r="Q25" s="47"/>
      <c r="R25" s="34"/>
      <c r="S25" s="51"/>
      <c r="T25" s="51"/>
      <c r="U25" s="34"/>
      <c r="V25" s="48"/>
      <c r="W25" s="52"/>
      <c r="X25" s="48"/>
      <c r="Y25" s="34"/>
      <c r="Z25" s="62"/>
      <c r="AA25" s="47"/>
      <c r="AB25" s="47"/>
      <c r="AC25" s="36"/>
      <c r="AD25" s="48"/>
      <c r="AE25" s="48"/>
      <c r="AF25" s="47"/>
      <c r="AG25" s="36"/>
      <c r="AH25" s="48"/>
      <c r="AI25" s="48"/>
      <c r="AJ25" s="47"/>
      <c r="AK25" s="36"/>
      <c r="AL25" s="49"/>
      <c r="AM25" s="53"/>
      <c r="AN25" s="36"/>
      <c r="AO25" s="52"/>
      <c r="AP25" s="47"/>
    </row>
    <row r="26" spans="1:43" ht="12.75" customHeight="1" x14ac:dyDescent="0.3">
      <c r="A26" s="7" t="s">
        <v>18</v>
      </c>
      <c r="B26" s="211" t="s">
        <v>53</v>
      </c>
      <c r="C26" s="6" t="s">
        <v>8</v>
      </c>
      <c r="D26" s="34"/>
      <c r="E26" s="33">
        <v>182153.6400000001</v>
      </c>
      <c r="F26" s="123">
        <v>0.55198072727272762</v>
      </c>
      <c r="G26" s="7"/>
      <c r="H26" s="35">
        <v>330000</v>
      </c>
      <c r="I26" s="35">
        <v>266538.4615384615</v>
      </c>
      <c r="J26" s="35">
        <v>284721.68999999564</v>
      </c>
      <c r="K26" s="70">
        <v>1.0682199047618886</v>
      </c>
      <c r="L26" s="36"/>
      <c r="M26" s="35">
        <v>45867.685825971581</v>
      </c>
      <c r="N26" s="35">
        <v>37046.977013284741</v>
      </c>
      <c r="O26" s="37">
        <v>0</v>
      </c>
      <c r="P26" s="35">
        <v>28150.140150000116</v>
      </c>
      <c r="Q26" s="115">
        <v>0.75984985603294186</v>
      </c>
      <c r="R26" s="36"/>
      <c r="S26" s="127">
        <v>0.13899298735142904</v>
      </c>
      <c r="T26" s="127">
        <v>9.8868969729705339E-2</v>
      </c>
      <c r="U26" s="36"/>
      <c r="V26" s="35"/>
      <c r="W26" s="38">
        <v>-4.2260847250538278</v>
      </c>
      <c r="X26" s="69" t="s">
        <v>69</v>
      </c>
      <c r="Y26" s="36"/>
      <c r="Z26" s="62"/>
      <c r="AA26" s="33">
        <v>12692.307692307691</v>
      </c>
      <c r="AB26" s="33">
        <v>11284.809999999987</v>
      </c>
      <c r="AC26" s="36"/>
      <c r="AD26" s="35">
        <v>1764.1417625373685</v>
      </c>
      <c r="AE26" s="35">
        <v>1481.5890499999998</v>
      </c>
      <c r="AF26" s="115">
        <v>0.83983559681112441</v>
      </c>
      <c r="AG26" s="36"/>
      <c r="AH26" s="35">
        <v>1340.4828642857199</v>
      </c>
      <c r="AI26" s="35">
        <v>34852.554471428717</v>
      </c>
      <c r="AJ26" s="115">
        <v>0.75984985603294197</v>
      </c>
      <c r="AK26" s="36"/>
      <c r="AL26" s="108">
        <v>0.13899298735142904</v>
      </c>
      <c r="AM26" s="108">
        <v>0.13129056226910346</v>
      </c>
      <c r="AN26" s="36"/>
      <c r="AO26" s="38">
        <v>-0.75305609930534345</v>
      </c>
      <c r="AP26" s="70">
        <v>0</v>
      </c>
    </row>
    <row r="27" spans="1:43" ht="12.75" customHeight="1" x14ac:dyDescent="0.3">
      <c r="A27" s="7" t="s">
        <v>18</v>
      </c>
      <c r="B27" s="211"/>
      <c r="C27" s="6" t="s">
        <v>9</v>
      </c>
      <c r="D27" s="34"/>
      <c r="E27" s="33">
        <v>151702.68000000005</v>
      </c>
      <c r="F27" s="123">
        <v>0.50567560000000022</v>
      </c>
      <c r="G27" s="7"/>
      <c r="H27" s="35">
        <v>300000</v>
      </c>
      <c r="I27" s="35">
        <v>241935.48387096776</v>
      </c>
      <c r="J27" s="35">
        <v>197623.95999999664</v>
      </c>
      <c r="K27" s="70">
        <v>0.81684570133331946</v>
      </c>
      <c r="L27" s="36"/>
      <c r="M27" s="35">
        <v>50700</v>
      </c>
      <c r="N27" s="35">
        <v>40887.096774193546</v>
      </c>
      <c r="O27" s="37">
        <v>0</v>
      </c>
      <c r="P27" s="35">
        <v>35496.87164999971</v>
      </c>
      <c r="Q27" s="115">
        <v>0.86816806402366165</v>
      </c>
      <c r="R27" s="36"/>
      <c r="S27" s="127">
        <v>0.16900000000000001</v>
      </c>
      <c r="T27" s="127">
        <v>0.17961825909166232</v>
      </c>
      <c r="U27" s="36"/>
      <c r="V27" s="35"/>
      <c r="W27" s="38">
        <v>4.2042127128696221</v>
      </c>
      <c r="X27" s="69" t="s">
        <v>69</v>
      </c>
      <c r="Y27" s="36"/>
      <c r="Z27" s="62"/>
      <c r="AA27" s="33">
        <v>9677.4193548387102</v>
      </c>
      <c r="AB27" s="33">
        <v>5461.7699999999868</v>
      </c>
      <c r="AC27" s="36"/>
      <c r="AD27" s="35">
        <v>1635.483870967742</v>
      </c>
      <c r="AE27" s="35">
        <v>1174.1075499999995</v>
      </c>
      <c r="AF27" s="115">
        <v>0.71789613510848094</v>
      </c>
      <c r="AG27" s="36"/>
      <c r="AH27" s="35">
        <v>1419.8748659999883</v>
      </c>
      <c r="AI27" s="35">
        <v>44016.120845999634</v>
      </c>
      <c r="AJ27" s="115">
        <v>0.86816806402366142</v>
      </c>
      <c r="AK27" s="36"/>
      <c r="AL27" s="108">
        <v>0.16900000000000001</v>
      </c>
      <c r="AM27" s="108">
        <v>0.21496832528649179</v>
      </c>
      <c r="AN27" s="36"/>
      <c r="AO27" s="38">
        <v>7.6339272799841593</v>
      </c>
      <c r="AP27" s="70">
        <v>0</v>
      </c>
    </row>
    <row r="28" spans="1:43" ht="12.75" customHeight="1" x14ac:dyDescent="0.3">
      <c r="A28" s="7" t="s">
        <v>18</v>
      </c>
      <c r="B28" s="211"/>
      <c r="C28" s="6" t="s">
        <v>10</v>
      </c>
      <c r="D28" s="34"/>
      <c r="E28" s="33">
        <v>336811.44000000018</v>
      </c>
      <c r="F28" s="123">
        <v>0.74024492307692347</v>
      </c>
      <c r="G28" s="7"/>
      <c r="H28" s="35">
        <v>455000</v>
      </c>
      <c r="I28" s="35">
        <v>366935.48387096776</v>
      </c>
      <c r="J28" s="35">
        <v>294071.8699999894</v>
      </c>
      <c r="K28" s="70">
        <v>0.80142663472524578</v>
      </c>
      <c r="L28" s="36"/>
      <c r="M28" s="35">
        <v>85995</v>
      </c>
      <c r="N28" s="35">
        <v>69350.806451612909</v>
      </c>
      <c r="O28" s="37">
        <v>0</v>
      </c>
      <c r="P28" s="35">
        <v>54725.628079999748</v>
      </c>
      <c r="Q28" s="115">
        <v>0.7891130742391963</v>
      </c>
      <c r="R28" s="36"/>
      <c r="S28" s="127">
        <v>0.189</v>
      </c>
      <c r="T28" s="127">
        <v>0.18609609984117734</v>
      </c>
      <c r="U28" s="36"/>
      <c r="V28" s="35"/>
      <c r="W28" s="38">
        <v>4.6980821661012753</v>
      </c>
      <c r="X28" s="69" t="s">
        <v>69</v>
      </c>
      <c r="Y28" s="36"/>
      <c r="Z28" s="62"/>
      <c r="AA28" s="33">
        <v>14677.41935483871</v>
      </c>
      <c r="AB28" s="33">
        <v>10957.259999999978</v>
      </c>
      <c r="AC28" s="36"/>
      <c r="AD28" s="35">
        <v>2774.0322580645161</v>
      </c>
      <c r="AE28" s="35">
        <v>2074.7041499999987</v>
      </c>
      <c r="AF28" s="115">
        <v>0.7479019553462406</v>
      </c>
      <c r="AG28" s="36"/>
      <c r="AH28" s="35">
        <v>2189.02512319999</v>
      </c>
      <c r="AI28" s="35">
        <v>67859.778819199695</v>
      </c>
      <c r="AJ28" s="115">
        <v>0.78911307423919641</v>
      </c>
      <c r="AK28" s="36"/>
      <c r="AL28" s="108">
        <v>0.189</v>
      </c>
      <c r="AM28" s="108">
        <v>0.18934516019515854</v>
      </c>
      <c r="AN28" s="36"/>
      <c r="AO28" s="38">
        <v>4.9918880267510577</v>
      </c>
      <c r="AP28" s="70">
        <v>0</v>
      </c>
    </row>
    <row r="29" spans="1:43" ht="12.75" customHeight="1" x14ac:dyDescent="0.3">
      <c r="A29" s="7" t="s">
        <v>18</v>
      </c>
      <c r="B29" s="211"/>
      <c r="C29" s="6" t="s">
        <v>12</v>
      </c>
      <c r="D29" s="34"/>
      <c r="E29" s="33">
        <v>29712.92</v>
      </c>
      <c r="F29" s="123">
        <v>5.8260627450980387E-2</v>
      </c>
      <c r="G29" s="7"/>
      <c r="H29" s="35">
        <v>510000</v>
      </c>
      <c r="I29" s="35">
        <v>411923.07692307694</v>
      </c>
      <c r="J29" s="35">
        <v>549728.26999999781</v>
      </c>
      <c r="K29" s="70">
        <v>1.3345410849673149</v>
      </c>
      <c r="L29" s="36"/>
      <c r="M29" s="35">
        <v>112200</v>
      </c>
      <c r="N29" s="35">
        <v>90623.076923076922</v>
      </c>
      <c r="O29" s="37">
        <v>0</v>
      </c>
      <c r="P29" s="35">
        <v>88708.73999999986</v>
      </c>
      <c r="Q29" s="115">
        <v>0.97887583396995004</v>
      </c>
      <c r="R29" s="36"/>
      <c r="S29" s="127">
        <v>0.22</v>
      </c>
      <c r="T29" s="127">
        <v>0.16136834294514307</v>
      </c>
      <c r="U29" s="36"/>
      <c r="V29" s="35"/>
      <c r="W29" s="38">
        <v>2.119634487780202</v>
      </c>
      <c r="X29" s="69" t="s">
        <v>69</v>
      </c>
      <c r="Y29" s="36"/>
      <c r="Z29" s="62"/>
      <c r="AA29" s="33">
        <v>19615.384615384617</v>
      </c>
      <c r="AB29" s="33">
        <v>1209.19</v>
      </c>
      <c r="AC29" s="36"/>
      <c r="AD29" s="35">
        <v>4315.3846153846152</v>
      </c>
      <c r="AE29" s="35">
        <v>347.84</v>
      </c>
      <c r="AF29" s="115">
        <v>8.0604634581105172E-2</v>
      </c>
      <c r="AG29" s="36"/>
      <c r="AH29" s="35">
        <v>4224.2257142857079</v>
      </c>
      <c r="AI29" s="35">
        <v>109829.86857142841</v>
      </c>
      <c r="AJ29" s="115">
        <v>0.97887583396995015</v>
      </c>
      <c r="AK29" s="36"/>
      <c r="AL29" s="108">
        <v>0.22</v>
      </c>
      <c r="AM29" s="108">
        <v>0.28766364260372645</v>
      </c>
      <c r="AN29" s="36"/>
      <c r="AO29" s="38">
        <v>14.081327169427466</v>
      </c>
      <c r="AP29" s="70">
        <v>0</v>
      </c>
    </row>
    <row r="30" spans="1:43" s="15" customFormat="1" ht="14.25" customHeight="1" x14ac:dyDescent="0.3">
      <c r="A30" s="26"/>
      <c r="B30" s="211"/>
      <c r="C30" s="9" t="s">
        <v>54</v>
      </c>
      <c r="D30" s="28"/>
      <c r="E30" s="27">
        <v>700380.6800000004</v>
      </c>
      <c r="F30" s="124">
        <v>0.43911014420062722</v>
      </c>
      <c r="G30" s="26"/>
      <c r="H30" s="29">
        <v>1595000</v>
      </c>
      <c r="I30" s="29">
        <v>1287332.506203474</v>
      </c>
      <c r="J30" s="29">
        <v>1326145.7899999795</v>
      </c>
      <c r="K30" s="31">
        <v>1.0301501621449547</v>
      </c>
      <c r="L30" s="39"/>
      <c r="M30" s="29">
        <v>294762.6858259716</v>
      </c>
      <c r="N30" s="29">
        <v>237907.95716216811</v>
      </c>
      <c r="O30" s="27">
        <v>0</v>
      </c>
      <c r="P30" s="29">
        <v>207081.37987999944</v>
      </c>
      <c r="Q30" s="31">
        <v>0.8704264554667418</v>
      </c>
      <c r="R30" s="39"/>
      <c r="S30" s="128">
        <v>0.18480419174042106</v>
      </c>
      <c r="T30" s="128">
        <v>0.1561528011788226</v>
      </c>
      <c r="U30" s="39"/>
      <c r="V30" s="29"/>
      <c r="W30" s="32">
        <v>1.6396326892519932</v>
      </c>
      <c r="X30" s="30" t="s">
        <v>69</v>
      </c>
      <c r="Y30" s="39"/>
      <c r="Z30" s="62"/>
      <c r="AA30" s="27">
        <v>56662.531017369729</v>
      </c>
      <c r="AB30" s="27">
        <v>28913.029999999952</v>
      </c>
      <c r="AC30" s="39"/>
      <c r="AD30" s="29">
        <v>10489.042506954242</v>
      </c>
      <c r="AE30" s="29">
        <v>5078.2407499999981</v>
      </c>
      <c r="AF30" s="31">
        <v>0.48414721807382527</v>
      </c>
      <c r="AG30" s="39"/>
      <c r="AH30" s="29">
        <v>9173.6085677714073</v>
      </c>
      <c r="AI30" s="29">
        <v>256558.32270805645</v>
      </c>
      <c r="AJ30" s="31">
        <v>0.87038941848809503</v>
      </c>
      <c r="AK30" s="39"/>
      <c r="AL30" s="80">
        <v>0.18480419174042106</v>
      </c>
      <c r="AM30" s="80">
        <v>0.17563848375628588</v>
      </c>
      <c r="AN30" s="39"/>
      <c r="AO30" s="32">
        <v>0</v>
      </c>
      <c r="AP30" s="31">
        <v>0</v>
      </c>
      <c r="AQ30" s="10"/>
    </row>
    <row r="31" spans="1:43" ht="8" customHeight="1" x14ac:dyDescent="0.3">
      <c r="B31" s="16"/>
      <c r="D31" s="34"/>
      <c r="E31" s="47"/>
      <c r="F31" s="125"/>
      <c r="G31" s="34"/>
      <c r="H31" s="48"/>
      <c r="I31" s="48"/>
      <c r="J31" s="48"/>
      <c r="K31" s="51"/>
      <c r="L31" s="34"/>
      <c r="M31" s="48"/>
      <c r="N31" s="48"/>
      <c r="O31" s="51"/>
      <c r="P31" s="48"/>
      <c r="Q31" s="47"/>
      <c r="R31" s="34"/>
      <c r="S31" s="51"/>
      <c r="T31" s="51"/>
      <c r="U31" s="34"/>
      <c r="V31" s="48"/>
      <c r="W31" s="52"/>
      <c r="X31" s="48"/>
      <c r="Y31" s="34"/>
      <c r="Z31" s="62"/>
      <c r="AA31" s="47"/>
      <c r="AB31" s="47"/>
      <c r="AC31" s="36"/>
      <c r="AD31" s="48"/>
      <c r="AE31" s="48"/>
      <c r="AF31" s="47"/>
      <c r="AG31" s="36"/>
      <c r="AH31" s="48"/>
      <c r="AI31" s="48"/>
      <c r="AJ31" s="47"/>
      <c r="AK31" s="36"/>
      <c r="AL31" s="49"/>
      <c r="AM31" s="53"/>
      <c r="AN31" s="36"/>
      <c r="AO31" s="52"/>
      <c r="AP31" s="47"/>
    </row>
    <row r="32" spans="1:43" ht="12.75" customHeight="1" x14ac:dyDescent="0.3">
      <c r="A32" s="7" t="s">
        <v>16</v>
      </c>
      <c r="B32" s="211" t="s">
        <v>57</v>
      </c>
      <c r="C32" s="6" t="s">
        <v>8</v>
      </c>
      <c r="D32" s="34"/>
      <c r="E32" s="33">
        <v>411983.81000000006</v>
      </c>
      <c r="F32" s="123">
        <v>0.27465587333333336</v>
      </c>
      <c r="G32" s="7"/>
      <c r="H32" s="35">
        <v>1500000</v>
      </c>
      <c r="I32" s="35">
        <v>1211538.4615384615</v>
      </c>
      <c r="J32" s="35">
        <v>1458452.4599999946</v>
      </c>
      <c r="K32" s="70">
        <v>1.2038020304761861</v>
      </c>
      <c r="L32" s="36"/>
      <c r="M32" s="35">
        <v>105000.00000000001</v>
      </c>
      <c r="N32" s="35">
        <v>84807.692307692312</v>
      </c>
      <c r="O32" s="37">
        <v>0</v>
      </c>
      <c r="P32" s="35">
        <v>132951.41360000012</v>
      </c>
      <c r="Q32" s="115">
        <v>1.5676810673922916</v>
      </c>
      <c r="R32" s="36"/>
      <c r="S32" s="127">
        <v>7.0000000000000007E-2</v>
      </c>
      <c r="T32" s="127">
        <v>9.1159237099850757E-2</v>
      </c>
      <c r="U32" s="36"/>
      <c r="V32" s="35"/>
      <c r="W32" s="38">
        <v>-3.8817779771860912</v>
      </c>
      <c r="X32" s="69" t="s">
        <v>69</v>
      </c>
      <c r="Y32" s="36"/>
      <c r="Z32" s="62"/>
      <c r="AA32" s="33">
        <v>57692.307692307695</v>
      </c>
      <c r="AB32" s="33">
        <v>44217.579999999994</v>
      </c>
      <c r="AC32" s="36"/>
      <c r="AD32" s="35">
        <v>4038.461538461539</v>
      </c>
      <c r="AE32" s="35">
        <v>5253.6468000000004</v>
      </c>
      <c r="AF32" s="115">
        <v>1.3009030171428571</v>
      </c>
      <c r="AG32" s="36"/>
      <c r="AH32" s="35">
        <v>6331.0196952381011</v>
      </c>
      <c r="AI32" s="35">
        <v>164606.51207619061</v>
      </c>
      <c r="AJ32" s="115">
        <v>1.5676810673922914</v>
      </c>
      <c r="AK32" s="36"/>
      <c r="AL32" s="108">
        <v>7.0000000000000007E-2</v>
      </c>
      <c r="AM32" s="108">
        <v>0.11881353072691905</v>
      </c>
      <c r="AN32" s="36"/>
      <c r="AO32" s="38">
        <v>-5.1212960998770205</v>
      </c>
      <c r="AP32" s="70">
        <v>0</v>
      </c>
    </row>
    <row r="33" spans="1:43" ht="12.75" customHeight="1" x14ac:dyDescent="0.3">
      <c r="A33" s="7" t="s">
        <v>16</v>
      </c>
      <c r="B33" s="211"/>
      <c r="C33" s="6" t="s">
        <v>9</v>
      </c>
      <c r="D33" s="34"/>
      <c r="E33" s="33">
        <v>268182.25999999983</v>
      </c>
      <c r="F33" s="123">
        <v>0.43255203225806427</v>
      </c>
      <c r="G33" s="7"/>
      <c r="H33" s="35">
        <v>620000</v>
      </c>
      <c r="I33" s="35">
        <v>500000</v>
      </c>
      <c r="J33" s="35">
        <v>493325.70999999996</v>
      </c>
      <c r="K33" s="70">
        <v>0.98665141999999995</v>
      </c>
      <c r="L33" s="36"/>
      <c r="M33" s="35">
        <v>92380</v>
      </c>
      <c r="N33" s="35">
        <v>74500</v>
      </c>
      <c r="O33" s="37">
        <v>0</v>
      </c>
      <c r="P33" s="35">
        <v>60100.817199999983</v>
      </c>
      <c r="Q33" s="115">
        <v>0.80672237852348971</v>
      </c>
      <c r="R33" s="36"/>
      <c r="S33" s="127">
        <v>0.14899999999999999</v>
      </c>
      <c r="T33" s="127">
        <v>0.12182786338056451</v>
      </c>
      <c r="U33" s="36"/>
      <c r="V33" s="35"/>
      <c r="W33" s="38">
        <v>-1.6204654730038865</v>
      </c>
      <c r="X33" s="69" t="s">
        <v>69</v>
      </c>
      <c r="Y33" s="36"/>
      <c r="Z33" s="62"/>
      <c r="AA33" s="33">
        <v>20000</v>
      </c>
      <c r="AB33" s="33">
        <v>16338.849999999995</v>
      </c>
      <c r="AC33" s="36"/>
      <c r="AD33" s="35">
        <v>2980</v>
      </c>
      <c r="AE33" s="35">
        <v>1975.5992000000003</v>
      </c>
      <c r="AF33" s="115">
        <v>0.6629527516778525</v>
      </c>
      <c r="AG33" s="36"/>
      <c r="AH33" s="35">
        <v>2404.0326879999993</v>
      </c>
      <c r="AI33" s="35">
        <v>74525.013327999972</v>
      </c>
      <c r="AJ33" s="115">
        <v>0.8067223785234896</v>
      </c>
      <c r="AK33" s="36"/>
      <c r="AL33" s="108">
        <v>0.14899999999999999</v>
      </c>
      <c r="AM33" s="108">
        <v>0.12091421366864871</v>
      </c>
      <c r="AN33" s="36"/>
      <c r="AO33" s="38">
        <v>-1.2426260110106147</v>
      </c>
      <c r="AP33" s="70">
        <v>0</v>
      </c>
    </row>
    <row r="34" spans="1:43" ht="12.75" customHeight="1" x14ac:dyDescent="0.3">
      <c r="A34" s="7" t="s">
        <v>16</v>
      </c>
      <c r="B34" s="211"/>
      <c r="C34" s="6" t="s">
        <v>10</v>
      </c>
      <c r="D34" s="34"/>
      <c r="E34" s="33">
        <v>766397.00000000047</v>
      </c>
      <c r="F34" s="123">
        <v>0.45082176470588264</v>
      </c>
      <c r="G34" s="7"/>
      <c r="H34" s="35">
        <v>1700000</v>
      </c>
      <c r="I34" s="35">
        <v>1370967.7419354839</v>
      </c>
      <c r="J34" s="35">
        <v>1364216.0199999854</v>
      </c>
      <c r="K34" s="70">
        <v>0.99507521458822457</v>
      </c>
      <c r="L34" s="36"/>
      <c r="M34" s="35">
        <v>229500.00000000003</v>
      </c>
      <c r="N34" s="35">
        <v>185080.64516129033</v>
      </c>
      <c r="O34" s="37">
        <v>0</v>
      </c>
      <c r="P34" s="35">
        <v>172998.65040000013</v>
      </c>
      <c r="Q34" s="115">
        <v>0.93472037688888954</v>
      </c>
      <c r="R34" s="36"/>
      <c r="S34" s="127">
        <v>0.13500000000000001</v>
      </c>
      <c r="T34" s="127">
        <v>0.12681177164302906</v>
      </c>
      <c r="U34" s="36"/>
      <c r="V34" s="35"/>
      <c r="W34" s="38">
        <v>-2.4847911989785123</v>
      </c>
      <c r="X34" s="69" t="s">
        <v>69</v>
      </c>
      <c r="Y34" s="36"/>
      <c r="Z34" s="62"/>
      <c r="AA34" s="33">
        <v>54838.709677419356</v>
      </c>
      <c r="AB34" s="33">
        <v>24871.55</v>
      </c>
      <c r="AC34" s="36"/>
      <c r="AD34" s="35">
        <v>7403.2258064516136</v>
      </c>
      <c r="AE34" s="35">
        <v>4145.0719999999983</v>
      </c>
      <c r="AF34" s="115">
        <v>0.55990079302832219</v>
      </c>
      <c r="AG34" s="36"/>
      <c r="AH34" s="35">
        <v>6919.9460160000053</v>
      </c>
      <c r="AI34" s="35">
        <v>214518.32649600017</v>
      </c>
      <c r="AJ34" s="115">
        <v>0.93472037688888954</v>
      </c>
      <c r="AK34" s="36"/>
      <c r="AL34" s="108">
        <v>0.13500000000000001</v>
      </c>
      <c r="AM34" s="108">
        <v>0.16665917484032955</v>
      </c>
      <c r="AN34" s="36"/>
      <c r="AO34" s="38">
        <v>1.8647088741956432</v>
      </c>
      <c r="AP34" s="70">
        <v>0</v>
      </c>
    </row>
    <row r="35" spans="1:43" ht="12.75" customHeight="1" x14ac:dyDescent="0.3">
      <c r="A35" s="7" t="s">
        <v>16</v>
      </c>
      <c r="B35" s="211"/>
      <c r="C35" s="6" t="s">
        <v>12</v>
      </c>
      <c r="D35" s="34"/>
      <c r="E35" s="33">
        <v>125436.48000000003</v>
      </c>
      <c r="F35" s="123">
        <v>0.24122400000000005</v>
      </c>
      <c r="G35" s="7"/>
      <c r="H35" s="35">
        <v>520000</v>
      </c>
      <c r="I35" s="35">
        <v>420000</v>
      </c>
      <c r="J35" s="35">
        <v>578418.5299999998</v>
      </c>
      <c r="K35" s="70">
        <v>1.3771869761904758</v>
      </c>
      <c r="L35" s="36"/>
      <c r="M35" s="35">
        <v>31200</v>
      </c>
      <c r="N35" s="35">
        <v>25200</v>
      </c>
      <c r="O35" s="37">
        <v>0</v>
      </c>
      <c r="P35" s="35">
        <v>32604.62</v>
      </c>
      <c r="Q35" s="115">
        <v>1.2938341269841269</v>
      </c>
      <c r="R35" s="36"/>
      <c r="S35" s="127">
        <v>0.06</v>
      </c>
      <c r="T35" s="127">
        <v>5.6368560668345134E-2</v>
      </c>
      <c r="U35" s="36"/>
      <c r="V35" s="35"/>
      <c r="W35" s="38">
        <v>-8.4535932830506031</v>
      </c>
      <c r="X35" s="69" t="s">
        <v>69</v>
      </c>
      <c r="Y35" s="36"/>
      <c r="Z35" s="62"/>
      <c r="AA35" s="33">
        <v>20000</v>
      </c>
      <c r="AB35" s="33">
        <v>4364.8</v>
      </c>
      <c r="AC35" s="36"/>
      <c r="AD35" s="35">
        <v>1200</v>
      </c>
      <c r="AE35" s="35">
        <v>363.96999999999986</v>
      </c>
      <c r="AF35" s="115">
        <v>0.30330833333333324</v>
      </c>
      <c r="AG35" s="36"/>
      <c r="AH35" s="35">
        <v>1552.6009523809523</v>
      </c>
      <c r="AI35" s="35">
        <v>40367.624761904757</v>
      </c>
      <c r="AJ35" s="115">
        <v>1.2938341269841269</v>
      </c>
      <c r="AK35" s="36"/>
      <c r="AL35" s="108">
        <v>0.06</v>
      </c>
      <c r="AM35" s="108">
        <v>8.3387554985337203E-2</v>
      </c>
      <c r="AN35" s="36"/>
      <c r="AO35" s="38">
        <v>-11.169813049853371</v>
      </c>
      <c r="AP35" s="70">
        <v>0</v>
      </c>
    </row>
    <row r="36" spans="1:43" s="15" customFormat="1" ht="17" customHeight="1" x14ac:dyDescent="0.3">
      <c r="A36" s="26"/>
      <c r="B36" s="211"/>
      <c r="C36" s="9" t="s">
        <v>58</v>
      </c>
      <c r="D36" s="28"/>
      <c r="E36" s="27">
        <v>1571999.5500000003</v>
      </c>
      <c r="F36" s="124">
        <v>0.36221187788018439</v>
      </c>
      <c r="G36" s="26"/>
      <c r="H36" s="29">
        <v>4340000</v>
      </c>
      <c r="I36" s="29">
        <v>3502506.2034739451</v>
      </c>
      <c r="J36" s="29">
        <v>3894412.7199999797</v>
      </c>
      <c r="K36" s="31">
        <v>1.1118931684224638</v>
      </c>
      <c r="L36" s="39"/>
      <c r="M36" s="29">
        <v>458080</v>
      </c>
      <c r="N36" s="29">
        <v>369588.33746898267</v>
      </c>
      <c r="O36" s="27">
        <v>0</v>
      </c>
      <c r="P36" s="29">
        <v>398655.50120000023</v>
      </c>
      <c r="Q36" s="31">
        <v>1.0786474051916126</v>
      </c>
      <c r="R36" s="39"/>
      <c r="S36" s="128">
        <v>0.10554838709677419</v>
      </c>
      <c r="T36" s="128">
        <v>0.10236601250624569</v>
      </c>
      <c r="U36" s="39"/>
      <c r="V36" s="29"/>
      <c r="W36" s="32">
        <v>-3.7849899175561754</v>
      </c>
      <c r="X36" s="30" t="s">
        <v>69</v>
      </c>
      <c r="Y36" s="39"/>
      <c r="Z36" s="62"/>
      <c r="AA36" s="27">
        <v>152531.01736972705</v>
      </c>
      <c r="AB36" s="27">
        <v>89792.78</v>
      </c>
      <c r="AC36" s="39"/>
      <c r="AD36" s="29">
        <v>15621.687344913153</v>
      </c>
      <c r="AE36" s="29">
        <v>11738.287999999999</v>
      </c>
      <c r="AF36" s="31">
        <v>0.75140973832268543</v>
      </c>
      <c r="AG36" s="39"/>
      <c r="AH36" s="29">
        <v>17207.599351619057</v>
      </c>
      <c r="AI36" s="29">
        <v>494017.47666209552</v>
      </c>
      <c r="AJ36" s="31">
        <v>1.0784524027726501</v>
      </c>
      <c r="AK36" s="39"/>
      <c r="AL36" s="80">
        <v>0.10554838709677419</v>
      </c>
      <c r="AM36" s="80">
        <v>0.13072641252448136</v>
      </c>
      <c r="AN36" s="39"/>
      <c r="AO36" s="32">
        <v>0</v>
      </c>
      <c r="AP36" s="31">
        <v>0</v>
      </c>
      <c r="AQ36" s="10"/>
    </row>
    <row r="37" spans="1:43" ht="8" customHeight="1" x14ac:dyDescent="0.3">
      <c r="B37" s="16"/>
      <c r="D37" s="34"/>
      <c r="E37" s="47"/>
      <c r="F37" s="125"/>
      <c r="G37" s="34"/>
      <c r="H37" s="48"/>
      <c r="I37" s="48"/>
      <c r="J37" s="48"/>
      <c r="K37" s="51"/>
      <c r="L37" s="34"/>
      <c r="M37" s="48"/>
      <c r="N37" s="48"/>
      <c r="O37" s="51"/>
      <c r="P37" s="48"/>
      <c r="Q37" s="47"/>
      <c r="R37" s="34"/>
      <c r="S37" s="51"/>
      <c r="T37" s="51"/>
      <c r="U37" s="34"/>
      <c r="V37" s="48"/>
      <c r="W37" s="52"/>
      <c r="X37" s="48"/>
      <c r="Y37" s="34"/>
      <c r="Z37" s="62"/>
      <c r="AA37" s="47"/>
      <c r="AB37" s="47"/>
      <c r="AC37" s="36"/>
      <c r="AD37" s="48"/>
      <c r="AE37" s="48"/>
      <c r="AF37" s="47"/>
      <c r="AG37" s="36"/>
      <c r="AH37" s="48"/>
      <c r="AI37" s="48"/>
      <c r="AJ37" s="47"/>
      <c r="AK37" s="36"/>
      <c r="AL37" s="49"/>
      <c r="AM37" s="53"/>
      <c r="AN37" s="36"/>
      <c r="AO37" s="52"/>
      <c r="AP37" s="47"/>
    </row>
    <row r="38" spans="1:43" ht="12.75" customHeight="1" x14ac:dyDescent="0.3">
      <c r="A38" s="7" t="s">
        <v>19</v>
      </c>
      <c r="B38" s="211" t="s">
        <v>31</v>
      </c>
      <c r="C38" s="6" t="s">
        <v>8</v>
      </c>
      <c r="D38" s="34"/>
      <c r="E38" s="33">
        <v>121146.68999999999</v>
      </c>
      <c r="F38" s="123">
        <v>0.55066677272727271</v>
      </c>
      <c r="G38" s="7"/>
      <c r="H38" s="35">
        <v>220000</v>
      </c>
      <c r="I38" s="35">
        <v>177692.30769230769</v>
      </c>
      <c r="J38" s="35">
        <v>188973.4299999997</v>
      </c>
      <c r="K38" s="70">
        <v>1.0634868354978337</v>
      </c>
      <c r="L38" s="36"/>
      <c r="M38" s="35">
        <v>23100</v>
      </c>
      <c r="N38" s="35">
        <v>18657.692307692309</v>
      </c>
      <c r="O38" s="37">
        <v>119.8</v>
      </c>
      <c r="P38" s="35">
        <v>23860.290400000038</v>
      </c>
      <c r="Q38" s="115">
        <v>1.2788446720263882</v>
      </c>
      <c r="R38" s="36"/>
      <c r="S38" s="127">
        <v>0.105</v>
      </c>
      <c r="T38" s="127">
        <v>0.12626267301175662</v>
      </c>
      <c r="U38" s="36"/>
      <c r="V38" s="35"/>
      <c r="W38" s="38">
        <v>-0.41050194199272561</v>
      </c>
      <c r="X38" s="69" t="s">
        <v>69</v>
      </c>
      <c r="Y38" s="36"/>
      <c r="Z38" s="62"/>
      <c r="AA38" s="33">
        <v>8461.538461538461</v>
      </c>
      <c r="AB38" s="33">
        <v>13077.169999999989</v>
      </c>
      <c r="AC38" s="36"/>
      <c r="AD38" s="35">
        <v>888.46153846153845</v>
      </c>
      <c r="AE38" s="35">
        <v>1621.4764000000005</v>
      </c>
      <c r="AF38" s="115">
        <v>1.8250383722943728</v>
      </c>
      <c r="AG38" s="36"/>
      <c r="AH38" s="35">
        <v>1136.2043047619065</v>
      </c>
      <c r="AI38" s="35">
        <v>29541.311923809571</v>
      </c>
      <c r="AJ38" s="115">
        <v>1.2788446720263884</v>
      </c>
      <c r="AK38" s="36"/>
      <c r="AL38" s="108">
        <v>0.105</v>
      </c>
      <c r="AM38" s="108">
        <v>0.12399291283970475</v>
      </c>
      <c r="AN38" s="36"/>
      <c r="AO38" s="38">
        <v>-0.24495819814234732</v>
      </c>
      <c r="AP38" s="70">
        <v>0</v>
      </c>
    </row>
    <row r="39" spans="1:43" ht="12.75" customHeight="1" x14ac:dyDescent="0.3">
      <c r="A39" s="7" t="s">
        <v>19</v>
      </c>
      <c r="B39" s="211"/>
      <c r="C39" s="6" t="s">
        <v>9</v>
      </c>
      <c r="D39" s="34"/>
      <c r="E39" s="33">
        <v>208907.74</v>
      </c>
      <c r="F39" s="123">
        <v>0.35710724786324782</v>
      </c>
      <c r="G39" s="7"/>
      <c r="H39" s="35">
        <v>585000</v>
      </c>
      <c r="I39" s="35">
        <v>471774.19354838715</v>
      </c>
      <c r="J39" s="35">
        <v>441066.10999996122</v>
      </c>
      <c r="K39" s="70">
        <v>0.93490936136743907</v>
      </c>
      <c r="L39" s="36"/>
      <c r="M39" s="35">
        <v>93541.499999999985</v>
      </c>
      <c r="N39" s="35">
        <v>75436.693548387091</v>
      </c>
      <c r="O39" s="37">
        <v>852.74</v>
      </c>
      <c r="P39" s="35">
        <v>68451.40120000024</v>
      </c>
      <c r="Q39" s="115">
        <v>0.90740192842749268</v>
      </c>
      <c r="R39" s="36"/>
      <c r="S39" s="127">
        <v>0.15989999999999999</v>
      </c>
      <c r="T39" s="127">
        <v>0.15519533160234472</v>
      </c>
      <c r="U39" s="36"/>
      <c r="V39" s="35"/>
      <c r="W39" s="38">
        <v>4.769094864251687</v>
      </c>
      <c r="X39" s="69" t="s">
        <v>69</v>
      </c>
      <c r="Y39" s="36"/>
      <c r="Z39" s="62"/>
      <c r="AA39" s="33">
        <v>18870.967741935485</v>
      </c>
      <c r="AB39" s="33">
        <v>13071.799999999934</v>
      </c>
      <c r="AC39" s="36"/>
      <c r="AD39" s="35">
        <v>3017.4677419354834</v>
      </c>
      <c r="AE39" s="35">
        <v>2027.8899999999996</v>
      </c>
      <c r="AF39" s="115">
        <v>0.67205026645927202</v>
      </c>
      <c r="AG39" s="36"/>
      <c r="AH39" s="35">
        <v>2738.0560480000095</v>
      </c>
      <c r="AI39" s="35">
        <v>84879.73748800029</v>
      </c>
      <c r="AJ39" s="115">
        <v>0.90740192842749268</v>
      </c>
      <c r="AK39" s="36"/>
      <c r="AL39" s="108">
        <v>0.15989999999999999</v>
      </c>
      <c r="AM39" s="108">
        <v>0.15513471748343838</v>
      </c>
      <c r="AN39" s="36"/>
      <c r="AO39" s="38">
        <v>4.9224284337270818</v>
      </c>
      <c r="AP39" s="70">
        <v>0</v>
      </c>
    </row>
    <row r="40" spans="1:43" ht="12.75" customHeight="1" x14ac:dyDescent="0.3">
      <c r="A40" s="7" t="s">
        <v>19</v>
      </c>
      <c r="B40" s="211"/>
      <c r="C40" s="6" t="s">
        <v>10</v>
      </c>
      <c r="D40" s="34"/>
      <c r="E40" s="33">
        <v>360369.39999999979</v>
      </c>
      <c r="F40" s="123">
        <v>0.39170586956521719</v>
      </c>
      <c r="G40" s="7"/>
      <c r="H40" s="35">
        <v>920000</v>
      </c>
      <c r="I40" s="35">
        <v>741935.48387096776</v>
      </c>
      <c r="J40" s="35">
        <v>739453.26999990875</v>
      </c>
      <c r="K40" s="70">
        <v>0.99665440739118139</v>
      </c>
      <c r="L40" s="36"/>
      <c r="M40" s="35">
        <v>158240</v>
      </c>
      <c r="N40" s="35">
        <v>127612.90322580647</v>
      </c>
      <c r="O40" s="37">
        <v>1211.1399999999999</v>
      </c>
      <c r="P40" s="35">
        <v>125988.07585000012</v>
      </c>
      <c r="Q40" s="115">
        <v>0.98726753067492501</v>
      </c>
      <c r="R40" s="36"/>
      <c r="S40" s="127">
        <v>0.17199999999999999</v>
      </c>
      <c r="T40" s="127">
        <v>0.17038003747013747</v>
      </c>
      <c r="U40" s="36"/>
      <c r="V40" s="35"/>
      <c r="W40" s="38">
        <v>6.2581460827015194</v>
      </c>
      <c r="X40" s="69" t="s">
        <v>69</v>
      </c>
      <c r="Y40" s="36"/>
      <c r="Z40" s="62"/>
      <c r="AA40" s="33">
        <v>29677.419354838708</v>
      </c>
      <c r="AB40" s="33">
        <v>24452.870000000032</v>
      </c>
      <c r="AC40" s="36"/>
      <c r="AD40" s="35">
        <v>5104.5161290322585</v>
      </c>
      <c r="AE40" s="35">
        <v>4072.72</v>
      </c>
      <c r="AF40" s="115">
        <v>0.79786602628918091</v>
      </c>
      <c r="AG40" s="36"/>
      <c r="AH40" s="35">
        <v>5039.5230340000053</v>
      </c>
      <c r="AI40" s="35">
        <v>156225.21405400016</v>
      </c>
      <c r="AJ40" s="115">
        <v>0.98726753067492512</v>
      </c>
      <c r="AK40" s="36"/>
      <c r="AL40" s="108">
        <v>0.17199999999999999</v>
      </c>
      <c r="AM40" s="108">
        <v>0.16655386463838373</v>
      </c>
      <c r="AN40" s="36"/>
      <c r="AO40" s="38">
        <v>5.5016036972347857</v>
      </c>
      <c r="AP40" s="70">
        <v>0</v>
      </c>
    </row>
    <row r="41" spans="1:43" ht="12.75" customHeight="1" x14ac:dyDescent="0.3">
      <c r="A41" s="7" t="s">
        <v>19</v>
      </c>
      <c r="B41" s="211"/>
      <c r="C41" s="6" t="s">
        <v>12</v>
      </c>
      <c r="D41" s="34"/>
      <c r="E41" s="33">
        <v>31044.069999999992</v>
      </c>
      <c r="F41" s="123">
        <v>0.5644376363636362</v>
      </c>
      <c r="G41" s="7"/>
      <c r="H41" s="35">
        <v>55000</v>
      </c>
      <c r="I41" s="35">
        <v>44423.076923076922</v>
      </c>
      <c r="J41" s="35">
        <v>64572.249999999927</v>
      </c>
      <c r="K41" s="70">
        <v>1.4535744588744572</v>
      </c>
      <c r="L41" s="36"/>
      <c r="M41" s="35">
        <v>8921.0164607613788</v>
      </c>
      <c r="N41" s="35">
        <v>7205.4363721534219</v>
      </c>
      <c r="O41" s="37">
        <v>2474.12</v>
      </c>
      <c r="P41" s="35">
        <v>11941.129999999979</v>
      </c>
      <c r="Q41" s="115">
        <v>1.657238976691046</v>
      </c>
      <c r="R41" s="36"/>
      <c r="S41" s="127">
        <v>0.16220029928657051</v>
      </c>
      <c r="T41" s="127">
        <v>0.18492665192865346</v>
      </c>
      <c r="U41" s="36"/>
      <c r="V41" s="35"/>
      <c r="W41" s="38">
        <v>-0.49840295173238763</v>
      </c>
      <c r="X41" s="69" t="s">
        <v>69</v>
      </c>
      <c r="Y41" s="36"/>
      <c r="Z41" s="62"/>
      <c r="AA41" s="33">
        <v>2115.3846153846152</v>
      </c>
      <c r="AB41" s="33">
        <v>3855.6000000000004</v>
      </c>
      <c r="AC41" s="36"/>
      <c r="AD41" s="35">
        <v>343.1160177215915</v>
      </c>
      <c r="AE41" s="35">
        <v>888.93000000000006</v>
      </c>
      <c r="AF41" s="115">
        <v>2.5907563450485389</v>
      </c>
      <c r="AG41" s="36"/>
      <c r="AH41" s="35">
        <v>568.62523809523714</v>
      </c>
      <c r="AI41" s="35">
        <v>14784.256190476166</v>
      </c>
      <c r="AJ41" s="115">
        <v>1.6572389766910463</v>
      </c>
      <c r="AK41" s="36"/>
      <c r="AL41" s="108">
        <v>0.16220029928657051</v>
      </c>
      <c r="AM41" s="108">
        <v>0.23055555555555554</v>
      </c>
      <c r="AN41" s="36"/>
      <c r="AO41" s="38">
        <v>10.311754331362183</v>
      </c>
      <c r="AP41" s="70">
        <v>0</v>
      </c>
    </row>
    <row r="42" spans="1:43" s="15" customFormat="1" ht="14.25" customHeight="1" x14ac:dyDescent="0.3">
      <c r="A42" s="26"/>
      <c r="B42" s="211"/>
      <c r="C42" s="9" t="s">
        <v>30</v>
      </c>
      <c r="D42" s="28"/>
      <c r="E42" s="27">
        <v>721467.89999999979</v>
      </c>
      <c r="F42" s="124">
        <v>0.40531904494382009</v>
      </c>
      <c r="G42" s="26"/>
      <c r="H42" s="29">
        <v>1780000</v>
      </c>
      <c r="I42" s="29">
        <v>1435825.0620347396</v>
      </c>
      <c r="J42" s="29">
        <v>1434065.0599998697</v>
      </c>
      <c r="K42" s="31">
        <v>0.99877422251400472</v>
      </c>
      <c r="L42" s="39"/>
      <c r="M42" s="29">
        <v>283802.51646076137</v>
      </c>
      <c r="N42" s="29">
        <v>228912.72545403932</v>
      </c>
      <c r="O42" s="27">
        <v>4657.7999999999993</v>
      </c>
      <c r="P42" s="29">
        <v>230240.89745000037</v>
      </c>
      <c r="Q42" s="31">
        <v>1.0058020889547608</v>
      </c>
      <c r="R42" s="39"/>
      <c r="S42" s="128">
        <v>0.15943961598919179</v>
      </c>
      <c r="T42" s="128">
        <v>0.16055122174862924</v>
      </c>
      <c r="U42" s="39"/>
      <c r="V42" s="29"/>
      <c r="W42" s="32">
        <v>4.6171794639412074</v>
      </c>
      <c r="X42" s="30" t="s">
        <v>69</v>
      </c>
      <c r="Y42" s="39"/>
      <c r="Z42" s="62"/>
      <c r="AA42" s="27">
        <v>59125.310173697268</v>
      </c>
      <c r="AB42" s="27">
        <v>54457.439999999951</v>
      </c>
      <c r="AC42" s="39"/>
      <c r="AD42" s="29">
        <v>9353.561427150873</v>
      </c>
      <c r="AE42" s="29">
        <v>8611.0164000000004</v>
      </c>
      <c r="AF42" s="31">
        <v>0.92061365791692307</v>
      </c>
      <c r="AG42" s="39"/>
      <c r="AH42" s="29">
        <v>9482.4086248571584</v>
      </c>
      <c r="AI42" s="29">
        <v>285430.51965628617</v>
      </c>
      <c r="AJ42" s="31">
        <v>1.0057363945035698</v>
      </c>
      <c r="AK42" s="39"/>
      <c r="AL42" s="80">
        <v>0.15943961598919179</v>
      </c>
      <c r="AM42" s="80">
        <v>0.15812378253549944</v>
      </c>
      <c r="AN42" s="39"/>
      <c r="AO42" s="32">
        <v>0</v>
      </c>
      <c r="AP42" s="31">
        <v>0</v>
      </c>
      <c r="AQ42" s="10"/>
    </row>
    <row r="43" spans="1:43" ht="8" customHeight="1" x14ac:dyDescent="0.3">
      <c r="B43" s="16"/>
      <c r="D43" s="34"/>
      <c r="E43" s="47"/>
      <c r="F43" s="125"/>
      <c r="G43" s="34"/>
      <c r="H43" s="48"/>
      <c r="I43" s="48"/>
      <c r="J43" s="48"/>
      <c r="K43" s="51"/>
      <c r="L43" s="34"/>
      <c r="M43" s="48"/>
      <c r="N43" s="48"/>
      <c r="O43" s="51"/>
      <c r="P43" s="48"/>
      <c r="Q43" s="47"/>
      <c r="R43" s="34"/>
      <c r="S43" s="51"/>
      <c r="T43" s="51"/>
      <c r="U43" s="34"/>
      <c r="V43" s="48"/>
      <c r="W43" s="52"/>
      <c r="X43" s="48"/>
      <c r="Y43" s="34"/>
      <c r="Z43" s="62"/>
      <c r="AA43" s="47"/>
      <c r="AB43" s="47"/>
      <c r="AC43" s="36"/>
      <c r="AD43" s="48"/>
      <c r="AE43" s="48"/>
      <c r="AF43" s="47"/>
      <c r="AG43" s="36"/>
      <c r="AH43" s="48"/>
      <c r="AI43" s="48"/>
      <c r="AJ43" s="47"/>
      <c r="AK43" s="36"/>
      <c r="AL43" s="49"/>
      <c r="AM43" s="53"/>
      <c r="AN43" s="36"/>
      <c r="AO43" s="52"/>
      <c r="AP43" s="47"/>
    </row>
    <row r="44" spans="1:43" ht="12.75" customHeight="1" x14ac:dyDescent="0.3">
      <c r="A44" s="7" t="s">
        <v>20</v>
      </c>
      <c r="B44" s="211" t="s">
        <v>27</v>
      </c>
      <c r="C44" s="6" t="s">
        <v>8</v>
      </c>
      <c r="D44" s="34"/>
      <c r="E44" s="33">
        <v>580121.51000000071</v>
      </c>
      <c r="F44" s="123">
        <v>3.1528342934782647</v>
      </c>
      <c r="G44" s="7"/>
      <c r="H44" s="35">
        <v>184000</v>
      </c>
      <c r="I44" s="35">
        <v>148615.38461538462</v>
      </c>
      <c r="J44" s="35">
        <v>128845.67000000297</v>
      </c>
      <c r="K44" s="70">
        <v>0.86697396997931597</v>
      </c>
      <c r="L44" s="36"/>
      <c r="M44" s="35">
        <v>22080</v>
      </c>
      <c r="N44" s="35">
        <v>17833.846153846156</v>
      </c>
      <c r="O44" s="37">
        <v>334.94</v>
      </c>
      <c r="P44" s="35">
        <v>20789.571149999891</v>
      </c>
      <c r="Q44" s="115">
        <v>1.1657368225931615</v>
      </c>
      <c r="R44" s="36"/>
      <c r="S44" s="127">
        <v>0.12</v>
      </c>
      <c r="T44" s="127">
        <v>0.16135250140729923</v>
      </c>
      <c r="U44" s="36"/>
      <c r="V44" s="35"/>
      <c r="W44" s="38">
        <v>5.2013398277208447</v>
      </c>
      <c r="X44" s="69" t="s">
        <v>69</v>
      </c>
      <c r="Y44" s="36"/>
      <c r="Z44" s="62"/>
      <c r="AA44" s="33">
        <v>7076.9230769230771</v>
      </c>
      <c r="AB44" s="33">
        <v>8191.4999999999736</v>
      </c>
      <c r="AC44" s="36"/>
      <c r="AD44" s="35">
        <v>849.23076923076928</v>
      </c>
      <c r="AE44" s="35">
        <v>1350.8716499999998</v>
      </c>
      <c r="AF44" s="115">
        <v>1.5907003124999997</v>
      </c>
      <c r="AG44" s="36"/>
      <c r="AH44" s="35">
        <v>989.97957857142342</v>
      </c>
      <c r="AI44" s="35">
        <v>25739.46904285701</v>
      </c>
      <c r="AJ44" s="115">
        <v>1.1657368225931617</v>
      </c>
      <c r="AK44" s="36"/>
      <c r="AL44" s="108">
        <v>0.12</v>
      </c>
      <c r="AM44" s="108">
        <v>0.16491138985533835</v>
      </c>
      <c r="AN44" s="36"/>
      <c r="AO44" s="38">
        <v>5.9192046633702864</v>
      </c>
      <c r="AP44" s="70">
        <v>0</v>
      </c>
    </row>
    <row r="45" spans="1:43" ht="12.75" customHeight="1" x14ac:dyDescent="0.3">
      <c r="A45" s="7" t="s">
        <v>20</v>
      </c>
      <c r="B45" s="211"/>
      <c r="C45" s="6" t="s">
        <v>9</v>
      </c>
      <c r="D45" s="34"/>
      <c r="E45" s="33">
        <v>919758.22000000067</v>
      </c>
      <c r="F45" s="123">
        <v>2.0439071555555572</v>
      </c>
      <c r="G45" s="7"/>
      <c r="H45" s="35">
        <v>450000</v>
      </c>
      <c r="I45" s="35">
        <v>362903.22580645164</v>
      </c>
      <c r="J45" s="35">
        <v>331502.91999995103</v>
      </c>
      <c r="K45" s="70">
        <v>0.91347471288875393</v>
      </c>
      <c r="L45" s="36"/>
      <c r="M45" s="35">
        <v>71629.254685760781</v>
      </c>
      <c r="N45" s="35">
        <v>57765.527972387725</v>
      </c>
      <c r="O45" s="37">
        <v>0</v>
      </c>
      <c r="P45" s="35">
        <v>65234.883829999046</v>
      </c>
      <c r="Q45" s="115">
        <v>1.1293047275735404</v>
      </c>
      <c r="R45" s="36"/>
      <c r="S45" s="127">
        <v>0.15917612152391283</v>
      </c>
      <c r="T45" s="127">
        <v>0.19678524650705545</v>
      </c>
      <c r="U45" s="36"/>
      <c r="V45" s="35"/>
      <c r="W45" s="38">
        <v>9.2567220312726981</v>
      </c>
      <c r="X45" s="69" t="s">
        <v>69</v>
      </c>
      <c r="Y45" s="36"/>
      <c r="Z45" s="62"/>
      <c r="AA45" s="33">
        <v>14516.129032258064</v>
      </c>
      <c r="AB45" s="33">
        <v>10311.209999999928</v>
      </c>
      <c r="AC45" s="36"/>
      <c r="AD45" s="35">
        <v>2310.621118895509</v>
      </c>
      <c r="AE45" s="35">
        <v>2159.6093999999975</v>
      </c>
      <c r="AF45" s="115">
        <v>0.9346445344671237</v>
      </c>
      <c r="AG45" s="36"/>
      <c r="AH45" s="35">
        <v>2609.3953531999618</v>
      </c>
      <c r="AI45" s="35">
        <v>80891.255949198821</v>
      </c>
      <c r="AJ45" s="115">
        <v>1.1293047275735404</v>
      </c>
      <c r="AK45" s="36"/>
      <c r="AL45" s="108">
        <v>0.15917612152391283</v>
      </c>
      <c r="AM45" s="108">
        <v>0.20944286848973229</v>
      </c>
      <c r="AN45" s="36"/>
      <c r="AO45" s="38">
        <v>10.533578503395098</v>
      </c>
      <c r="AP45" s="70">
        <v>0</v>
      </c>
    </row>
    <row r="46" spans="1:43" ht="12.75" customHeight="1" x14ac:dyDescent="0.3">
      <c r="A46" s="7" t="s">
        <v>20</v>
      </c>
      <c r="B46" s="211"/>
      <c r="C46" s="6" t="s">
        <v>10</v>
      </c>
      <c r="D46" s="34"/>
      <c r="E46" s="33">
        <v>1171988.3899999976</v>
      </c>
      <c r="F46" s="123">
        <v>2.0561199824561363</v>
      </c>
      <c r="G46" s="7"/>
      <c r="H46" s="35">
        <v>570000</v>
      </c>
      <c r="I46" s="35">
        <v>459677.41935483873</v>
      </c>
      <c r="J46" s="35">
        <v>456483.61999989749</v>
      </c>
      <c r="K46" s="70">
        <v>0.99305208561381209</v>
      </c>
      <c r="L46" s="36"/>
      <c r="M46" s="35">
        <v>95190</v>
      </c>
      <c r="N46" s="35">
        <v>76766.129032258061</v>
      </c>
      <c r="O46" s="37">
        <v>3364.26</v>
      </c>
      <c r="P46" s="35">
        <v>85999.462509998368</v>
      </c>
      <c r="Q46" s="115">
        <v>1.1202787426452145</v>
      </c>
      <c r="R46" s="36"/>
      <c r="S46" s="127">
        <v>0.16700000000000001</v>
      </c>
      <c r="T46" s="127">
        <v>0.18839550586725912</v>
      </c>
      <c r="U46" s="36"/>
      <c r="V46" s="35"/>
      <c r="W46" s="38">
        <v>7.6127096323636314</v>
      </c>
      <c r="X46" s="69" t="s">
        <v>69</v>
      </c>
      <c r="Y46" s="36"/>
      <c r="Z46" s="62"/>
      <c r="AA46" s="33">
        <v>18387.096774193549</v>
      </c>
      <c r="AB46" s="33">
        <v>15899.149999999909</v>
      </c>
      <c r="AC46" s="36"/>
      <c r="AD46" s="35">
        <v>3070.6451612903224</v>
      </c>
      <c r="AE46" s="35">
        <v>2654.3363399999939</v>
      </c>
      <c r="AF46" s="115">
        <v>0.86442301229120511</v>
      </c>
      <c r="AG46" s="36"/>
      <c r="AH46" s="35">
        <v>3439.9785003999345</v>
      </c>
      <c r="AI46" s="35">
        <v>106639.33351239798</v>
      </c>
      <c r="AJ46" s="115">
        <v>1.1202787426452145</v>
      </c>
      <c r="AK46" s="36"/>
      <c r="AL46" s="108">
        <v>0.16700000000000001</v>
      </c>
      <c r="AM46" s="108">
        <v>0.16694831736287846</v>
      </c>
      <c r="AN46" s="36"/>
      <c r="AO46" s="38">
        <v>6.0648923999075777</v>
      </c>
      <c r="AP46" s="70">
        <v>0</v>
      </c>
    </row>
    <row r="47" spans="1:43" ht="12.75" customHeight="1" x14ac:dyDescent="0.3">
      <c r="A47" s="7" t="s">
        <v>20</v>
      </c>
      <c r="B47" s="211"/>
      <c r="C47" s="6" t="s">
        <v>12</v>
      </c>
      <c r="D47" s="34"/>
      <c r="E47" s="33">
        <v>50532.27</v>
      </c>
      <c r="F47" s="123">
        <v>2.2969213636363635</v>
      </c>
      <c r="G47" s="7"/>
      <c r="H47" s="35">
        <v>22000</v>
      </c>
      <c r="I47" s="35">
        <v>17769.23076923077</v>
      </c>
      <c r="J47" s="35">
        <v>23071.080000000402</v>
      </c>
      <c r="K47" s="70">
        <v>1.2983724675324901</v>
      </c>
      <c r="L47" s="36"/>
      <c r="M47" s="35">
        <v>3740.0000000000005</v>
      </c>
      <c r="N47" s="35">
        <v>3020.7692307692314</v>
      </c>
      <c r="O47" s="37">
        <v>9304.5399999999991</v>
      </c>
      <c r="P47" s="35">
        <v>4027.7900000000118</v>
      </c>
      <c r="Q47" s="115">
        <v>1.3333656735421477</v>
      </c>
      <c r="R47" s="36"/>
      <c r="S47" s="127">
        <v>0.17</v>
      </c>
      <c r="T47" s="127">
        <v>0.17458177077102335</v>
      </c>
      <c r="U47" s="36"/>
      <c r="V47" s="35"/>
      <c r="W47" s="38">
        <v>-35.196835171996334</v>
      </c>
      <c r="X47" s="69" t="s">
        <v>69</v>
      </c>
      <c r="Y47" s="36"/>
      <c r="Z47" s="62"/>
      <c r="AA47" s="33">
        <v>846.15384615384619</v>
      </c>
      <c r="AB47" s="33">
        <v>761.99000000000035</v>
      </c>
      <c r="AC47" s="36"/>
      <c r="AD47" s="35">
        <v>143.84615384615387</v>
      </c>
      <c r="AE47" s="35">
        <v>187.50999999999991</v>
      </c>
      <c r="AF47" s="115">
        <v>1.3035454545454537</v>
      </c>
      <c r="AG47" s="36"/>
      <c r="AH47" s="35">
        <v>191.79952380952437</v>
      </c>
      <c r="AI47" s="35">
        <v>4986.7876190476336</v>
      </c>
      <c r="AJ47" s="115">
        <v>1.333365673542148</v>
      </c>
      <c r="AK47" s="36"/>
      <c r="AL47" s="108">
        <v>0.17</v>
      </c>
      <c r="AM47" s="108">
        <v>0.24607934487329206</v>
      </c>
      <c r="AN47" s="36"/>
      <c r="AO47" s="38">
        <v>13.891258415464842</v>
      </c>
      <c r="AP47" s="70">
        <v>0</v>
      </c>
    </row>
    <row r="48" spans="1:43" s="15" customFormat="1" ht="14.25" customHeight="1" x14ac:dyDescent="0.3">
      <c r="A48" s="26"/>
      <c r="B48" s="211"/>
      <c r="C48" s="9" t="s">
        <v>28</v>
      </c>
      <c r="D48" s="28"/>
      <c r="E48" s="27">
        <v>2722400.3899999992</v>
      </c>
      <c r="F48" s="124">
        <v>2.2205549673735718</v>
      </c>
      <c r="G48" s="26"/>
      <c r="H48" s="29">
        <v>1226000</v>
      </c>
      <c r="I48" s="29">
        <v>988965.26054590568</v>
      </c>
      <c r="J48" s="29">
        <v>939903.28999985184</v>
      </c>
      <c r="K48" s="31">
        <v>0.95039060268004583</v>
      </c>
      <c r="L48" s="39"/>
      <c r="M48" s="29">
        <v>192639.25468576077</v>
      </c>
      <c r="N48" s="29">
        <v>155386.27238926117</v>
      </c>
      <c r="O48" s="27">
        <v>13003.74</v>
      </c>
      <c r="P48" s="29">
        <v>176051.70748999729</v>
      </c>
      <c r="Q48" s="31">
        <v>1.1329939561775879</v>
      </c>
      <c r="R48" s="39"/>
      <c r="S48" s="128">
        <v>0.15712826646473146</v>
      </c>
      <c r="T48" s="128">
        <v>0.18730832135934436</v>
      </c>
      <c r="U48" s="39"/>
      <c r="V48" s="29"/>
      <c r="W48" s="32">
        <v>6.8111781468343011</v>
      </c>
      <c r="X48" s="30" t="s">
        <v>69</v>
      </c>
      <c r="Y48" s="39"/>
      <c r="Z48" s="62"/>
      <c r="AA48" s="27">
        <v>40826.302729528536</v>
      </c>
      <c r="AB48" s="27">
        <v>35163.849999999809</v>
      </c>
      <c r="AC48" s="39"/>
      <c r="AD48" s="29">
        <v>6374.3432032627552</v>
      </c>
      <c r="AE48" s="29">
        <v>6352.3273899999913</v>
      </c>
      <c r="AF48" s="31">
        <v>0.99654618325986988</v>
      </c>
      <c r="AG48" s="39"/>
      <c r="AH48" s="29">
        <v>7231.1529559808441</v>
      </c>
      <c r="AI48" s="29">
        <v>218256.84612350143</v>
      </c>
      <c r="AJ48" s="31">
        <v>1.1329821976290808</v>
      </c>
      <c r="AK48" s="39"/>
      <c r="AL48" s="80">
        <v>0.15712826646473146</v>
      </c>
      <c r="AM48" s="80">
        <v>0.1806493711581646</v>
      </c>
      <c r="AN48" s="39"/>
      <c r="AO48" s="32">
        <v>0</v>
      </c>
      <c r="AP48" s="31">
        <v>0</v>
      </c>
      <c r="AQ48" s="10"/>
    </row>
    <row r="49" spans="1:43" ht="8" customHeight="1" x14ac:dyDescent="0.3">
      <c r="B49" s="16"/>
      <c r="D49" s="34"/>
      <c r="E49" s="47"/>
      <c r="F49" s="125"/>
      <c r="G49" s="34"/>
      <c r="H49" s="48"/>
      <c r="I49" s="48"/>
      <c r="J49" s="48"/>
      <c r="K49" s="51"/>
      <c r="L49" s="34"/>
      <c r="M49" s="48"/>
      <c r="N49" s="48"/>
      <c r="O49" s="51"/>
      <c r="P49" s="48"/>
      <c r="Q49" s="47"/>
      <c r="R49" s="34"/>
      <c r="S49" s="51"/>
      <c r="T49" s="51"/>
      <c r="U49" s="34"/>
      <c r="V49" s="48"/>
      <c r="W49" s="52"/>
      <c r="X49" s="48"/>
      <c r="Y49" s="34"/>
      <c r="Z49" s="62"/>
      <c r="AA49" s="47"/>
      <c r="AB49" s="47"/>
      <c r="AC49" s="36"/>
      <c r="AD49" s="48"/>
      <c r="AE49" s="48"/>
      <c r="AF49" s="47"/>
      <c r="AG49" s="36"/>
      <c r="AH49" s="48"/>
      <c r="AI49" s="48"/>
      <c r="AJ49" s="47"/>
      <c r="AK49" s="36"/>
      <c r="AL49" s="49"/>
      <c r="AM49" s="53"/>
      <c r="AN49" s="36"/>
      <c r="AO49" s="52"/>
      <c r="AP49" s="47"/>
    </row>
    <row r="50" spans="1:43" ht="12.75" customHeight="1" x14ac:dyDescent="0.3">
      <c r="A50" s="7" t="s">
        <v>17</v>
      </c>
      <c r="B50" s="212" t="s">
        <v>67</v>
      </c>
      <c r="C50" s="6" t="s">
        <v>8</v>
      </c>
      <c r="D50" s="34"/>
      <c r="E50" s="33">
        <v>140208.76999999999</v>
      </c>
      <c r="F50" s="123">
        <v>0.24173925862068962</v>
      </c>
      <c r="G50" s="7"/>
      <c r="H50" s="35">
        <v>580000</v>
      </c>
      <c r="I50" s="35">
        <v>468461.5384615385</v>
      </c>
      <c r="J50" s="35">
        <v>474803.37999999843</v>
      </c>
      <c r="K50" s="70">
        <v>1.0135375927750376</v>
      </c>
      <c r="L50" s="36"/>
      <c r="M50" s="35">
        <v>98020</v>
      </c>
      <c r="N50" s="35">
        <v>79170</v>
      </c>
      <c r="O50" s="37">
        <v>0</v>
      </c>
      <c r="P50" s="35">
        <v>84519.865750000085</v>
      </c>
      <c r="Q50" s="115">
        <v>1.0675744063407868</v>
      </c>
      <c r="R50" s="36"/>
      <c r="S50" s="127">
        <v>0.16900000000000001</v>
      </c>
      <c r="T50" s="127">
        <v>0.17801024447214417</v>
      </c>
      <c r="U50" s="36"/>
      <c r="V50" s="35"/>
      <c r="W50" s="38">
        <v>-10.935064162770017</v>
      </c>
      <c r="X50" s="69" t="s">
        <v>69</v>
      </c>
      <c r="Y50" s="36"/>
      <c r="Z50" s="62"/>
      <c r="AA50" s="33">
        <v>22307.692307692309</v>
      </c>
      <c r="AB50" s="33">
        <v>74511.14</v>
      </c>
      <c r="AC50" s="36"/>
      <c r="AD50" s="35">
        <v>3770</v>
      </c>
      <c r="AE50" s="35">
        <v>14774.709699999992</v>
      </c>
      <c r="AF50" s="115">
        <v>3.9190211405835522</v>
      </c>
      <c r="AG50" s="36"/>
      <c r="AH50" s="35">
        <v>4024.7555119047661</v>
      </c>
      <c r="AI50" s="35">
        <v>104643.64330952392</v>
      </c>
      <c r="AJ50" s="115">
        <v>1.0675744063407868</v>
      </c>
      <c r="AK50" s="36"/>
      <c r="AL50" s="108">
        <v>0.16900000000000001</v>
      </c>
      <c r="AM50" s="108">
        <v>0.19828860087229899</v>
      </c>
      <c r="AN50" s="36"/>
      <c r="AO50" s="38">
        <v>-8.6346824112474643</v>
      </c>
      <c r="AP50" s="70">
        <v>0</v>
      </c>
    </row>
    <row r="51" spans="1:43" ht="12.75" customHeight="1" x14ac:dyDescent="0.3">
      <c r="A51" s="7" t="s">
        <v>17</v>
      </c>
      <c r="B51" s="212"/>
      <c r="C51" s="6" t="s">
        <v>9</v>
      </c>
      <c r="D51" s="34"/>
      <c r="E51" s="33">
        <v>100799.02999999987</v>
      </c>
      <c r="F51" s="123">
        <v>0.39529031372548967</v>
      </c>
      <c r="G51" s="7"/>
      <c r="H51" s="35">
        <v>255000</v>
      </c>
      <c r="I51" s="35">
        <v>205645.16129032258</v>
      </c>
      <c r="J51" s="35">
        <v>187386.39999999772</v>
      </c>
      <c r="K51" s="70">
        <v>0.91121229803920467</v>
      </c>
      <c r="L51" s="36"/>
      <c r="M51" s="35">
        <v>50745</v>
      </c>
      <c r="N51" s="35">
        <v>40923.387096774197</v>
      </c>
      <c r="O51" s="37">
        <v>0</v>
      </c>
      <c r="P51" s="35">
        <v>40303.088050000086</v>
      </c>
      <c r="Q51" s="115">
        <v>0.98484243141196381</v>
      </c>
      <c r="R51" s="36"/>
      <c r="S51" s="127">
        <v>0.19900000000000001</v>
      </c>
      <c r="T51" s="127">
        <v>0.21508011280434747</v>
      </c>
      <c r="U51" s="36"/>
      <c r="V51" s="35"/>
      <c r="W51" s="38">
        <v>2.3108817128655272</v>
      </c>
      <c r="X51" s="69" t="s">
        <v>69</v>
      </c>
      <c r="Y51" s="36"/>
      <c r="Z51" s="62"/>
      <c r="AA51" s="33">
        <v>8225.8064516129034</v>
      </c>
      <c r="AB51" s="33">
        <v>4532.7899999999972</v>
      </c>
      <c r="AC51" s="36"/>
      <c r="AD51" s="35">
        <v>1636.9354838709678</v>
      </c>
      <c r="AE51" s="35">
        <v>994.34309999999971</v>
      </c>
      <c r="AF51" s="115">
        <v>0.6074418386047884</v>
      </c>
      <c r="AG51" s="36"/>
      <c r="AH51" s="35">
        <v>1612.1235220000035</v>
      </c>
      <c r="AI51" s="35">
        <v>49975.82918200011</v>
      </c>
      <c r="AJ51" s="115">
        <v>0.98484243141196393</v>
      </c>
      <c r="AK51" s="36"/>
      <c r="AL51" s="108">
        <v>0.19900000000000001</v>
      </c>
      <c r="AM51" s="108">
        <v>0.21936668144785007</v>
      </c>
      <c r="AN51" s="36"/>
      <c r="AO51" s="38">
        <v>4.3234542081146152</v>
      </c>
      <c r="AP51" s="70">
        <v>0</v>
      </c>
    </row>
    <row r="52" spans="1:43" ht="12.75" customHeight="1" x14ac:dyDescent="0.3">
      <c r="A52" s="7" t="s">
        <v>17</v>
      </c>
      <c r="B52" s="212"/>
      <c r="C52" s="6" t="s">
        <v>10</v>
      </c>
      <c r="D52" s="34"/>
      <c r="E52" s="33">
        <v>138963.96999999994</v>
      </c>
      <c r="F52" s="123">
        <v>0.30209558695652161</v>
      </c>
      <c r="G52" s="7"/>
      <c r="H52" s="35">
        <v>460000</v>
      </c>
      <c r="I52" s="35">
        <v>370967.74193548388</v>
      </c>
      <c r="J52" s="35">
        <v>302343.47999999736</v>
      </c>
      <c r="K52" s="70">
        <v>0.81501285913042765</v>
      </c>
      <c r="L52" s="36"/>
      <c r="M52" s="35">
        <v>95534.936056770661</v>
      </c>
      <c r="N52" s="35">
        <v>77044.303271589233</v>
      </c>
      <c r="O52" s="37">
        <v>0</v>
      </c>
      <c r="P52" s="35">
        <v>68040.63669999977</v>
      </c>
      <c r="Q52" s="115">
        <v>0.88313650472182748</v>
      </c>
      <c r="R52" s="36"/>
      <c r="S52" s="127">
        <v>0.20768464360167535</v>
      </c>
      <c r="T52" s="127">
        <v>0.22504416731592944</v>
      </c>
      <c r="U52" s="36"/>
      <c r="V52" s="35"/>
      <c r="W52" s="38">
        <v>2.1187249349641104</v>
      </c>
      <c r="X52" s="69" t="s">
        <v>69</v>
      </c>
      <c r="Y52" s="36"/>
      <c r="Z52" s="62"/>
      <c r="AA52" s="33">
        <v>14838.709677419354</v>
      </c>
      <c r="AB52" s="33">
        <v>10265.899999999989</v>
      </c>
      <c r="AC52" s="36"/>
      <c r="AD52" s="35">
        <v>3081.7721308635696</v>
      </c>
      <c r="AE52" s="35">
        <v>2147.3767999999986</v>
      </c>
      <c r="AF52" s="115">
        <v>0.69679934427801571</v>
      </c>
      <c r="AG52" s="36"/>
      <c r="AH52" s="35">
        <v>2721.6254679999906</v>
      </c>
      <c r="AI52" s="35">
        <v>84370.389507999716</v>
      </c>
      <c r="AJ52" s="115">
        <v>0.88313650472182736</v>
      </c>
      <c r="AK52" s="36"/>
      <c r="AL52" s="108">
        <v>0.20768464360167535</v>
      </c>
      <c r="AM52" s="108">
        <v>0.20917569818525419</v>
      </c>
      <c r="AN52" s="36"/>
      <c r="AO52" s="38">
        <v>1.342666497822776</v>
      </c>
      <c r="AP52" s="70">
        <v>0</v>
      </c>
    </row>
    <row r="53" spans="1:43" ht="12.75" customHeight="1" x14ac:dyDescent="0.3">
      <c r="A53" s="7" t="s">
        <v>17</v>
      </c>
      <c r="B53" s="212"/>
      <c r="C53" s="6" t="s">
        <v>12</v>
      </c>
      <c r="D53" s="34"/>
      <c r="E53" s="33">
        <v>28315.370000000003</v>
      </c>
      <c r="F53" s="123">
        <v>7.4514131578947373E-2</v>
      </c>
      <c r="G53" s="7"/>
      <c r="H53" s="35">
        <v>380000</v>
      </c>
      <c r="I53" s="35">
        <v>306923.07692307694</v>
      </c>
      <c r="J53" s="35">
        <v>377211.80999999982</v>
      </c>
      <c r="K53" s="70">
        <v>1.2290109097744355</v>
      </c>
      <c r="L53" s="36"/>
      <c r="M53" s="35">
        <v>77231.730048526413</v>
      </c>
      <c r="N53" s="35">
        <v>62379.474269963641</v>
      </c>
      <c r="O53" s="37">
        <v>1463.78</v>
      </c>
      <c r="P53" s="35">
        <v>90123.479999999981</v>
      </c>
      <c r="Q53" s="115">
        <v>1.4447617754835</v>
      </c>
      <c r="R53" s="36"/>
      <c r="S53" s="127">
        <v>0.20324139486454318</v>
      </c>
      <c r="T53" s="127">
        <v>0.23892009107562148</v>
      </c>
      <c r="U53" s="36"/>
      <c r="V53" s="35"/>
      <c r="W53" s="38">
        <v>-1.0452429896083884</v>
      </c>
      <c r="X53" s="69" t="s">
        <v>69</v>
      </c>
      <c r="Y53" s="36"/>
      <c r="Z53" s="62"/>
      <c r="AA53" s="33">
        <v>14615.384615384615</v>
      </c>
      <c r="AB53" s="33">
        <v>6167.93</v>
      </c>
      <c r="AC53" s="36"/>
      <c r="AD53" s="35">
        <v>2970.4511557125543</v>
      </c>
      <c r="AE53" s="35">
        <v>1789.78</v>
      </c>
      <c r="AF53" s="115">
        <v>0.60252800203700574</v>
      </c>
      <c r="AG53" s="36"/>
      <c r="AH53" s="35">
        <v>4291.5942857142845</v>
      </c>
      <c r="AI53" s="35">
        <v>111581.4514285714</v>
      </c>
      <c r="AJ53" s="115">
        <v>1.4447617754835</v>
      </c>
      <c r="AK53" s="36"/>
      <c r="AL53" s="108">
        <v>0.20324139486454318</v>
      </c>
      <c r="AM53" s="108">
        <v>0.29017514790213245</v>
      </c>
      <c r="AN53" s="36"/>
      <c r="AO53" s="38">
        <v>4.1571483463657959</v>
      </c>
      <c r="AP53" s="70">
        <v>0</v>
      </c>
    </row>
    <row r="54" spans="1:43" s="15" customFormat="1" ht="14.25" customHeight="1" x14ac:dyDescent="0.3">
      <c r="A54" s="26"/>
      <c r="B54" s="212"/>
      <c r="C54" s="9" t="s">
        <v>71</v>
      </c>
      <c r="D54" s="28"/>
      <c r="E54" s="27">
        <v>408287.13999999978</v>
      </c>
      <c r="F54" s="124">
        <v>0.24375351641791032</v>
      </c>
      <c r="G54" s="26"/>
      <c r="H54" s="29">
        <v>1675000</v>
      </c>
      <c r="I54" s="29">
        <v>1351997.5186104218</v>
      </c>
      <c r="J54" s="29">
        <v>1341745.0699999933</v>
      </c>
      <c r="K54" s="31">
        <v>0.99241681403308646</v>
      </c>
      <c r="L54" s="39"/>
      <c r="M54" s="29">
        <v>321531.6661052971</v>
      </c>
      <c r="N54" s="29">
        <v>259517.16463832709</v>
      </c>
      <c r="O54" s="27">
        <v>1463.78</v>
      </c>
      <c r="P54" s="29">
        <v>282987.07049999991</v>
      </c>
      <c r="Q54" s="31">
        <v>1.0904368152078934</v>
      </c>
      <c r="R54" s="39"/>
      <c r="S54" s="128">
        <v>0.1919592036449535</v>
      </c>
      <c r="T54" s="128">
        <v>0.21090971513687121</v>
      </c>
      <c r="U54" s="39"/>
      <c r="V54" s="29"/>
      <c r="W54" s="32">
        <v>-3.3632864028339995</v>
      </c>
      <c r="X54" s="30" t="s">
        <v>69</v>
      </c>
      <c r="Y54" s="39"/>
      <c r="Z54" s="62"/>
      <c r="AA54" s="27">
        <v>59987.593052109187</v>
      </c>
      <c r="AB54" s="27">
        <v>95477.75999999998</v>
      </c>
      <c r="AC54" s="39"/>
      <c r="AD54" s="29">
        <v>11459.158770447091</v>
      </c>
      <c r="AE54" s="29">
        <v>19706.209599999991</v>
      </c>
      <c r="AF54" s="31">
        <v>1.7196907726614152</v>
      </c>
      <c r="AG54" s="39"/>
      <c r="AH54" s="29">
        <v>12650.098787619045</v>
      </c>
      <c r="AI54" s="29">
        <v>350571.31342809519</v>
      </c>
      <c r="AJ54" s="31">
        <v>1.0903166013928096</v>
      </c>
      <c r="AK54" s="39"/>
      <c r="AL54" s="80">
        <v>0.1919592036449535</v>
      </c>
      <c r="AM54" s="80">
        <v>0.20639580987237233</v>
      </c>
      <c r="AN54" s="39"/>
      <c r="AO54" s="32">
        <v>0</v>
      </c>
      <c r="AP54" s="31">
        <v>0</v>
      </c>
      <c r="AQ54" s="10"/>
    </row>
    <row r="55" spans="1:43" ht="8" customHeight="1" x14ac:dyDescent="0.3">
      <c r="B55" s="16"/>
      <c r="D55" s="34"/>
      <c r="E55" s="47"/>
      <c r="F55" s="125"/>
      <c r="G55" s="34"/>
      <c r="H55" s="48"/>
      <c r="I55" s="48"/>
      <c r="J55" s="48"/>
      <c r="K55" s="51"/>
      <c r="L55" s="34"/>
      <c r="M55" s="48"/>
      <c r="N55" s="48"/>
      <c r="O55" s="51"/>
      <c r="P55" s="48"/>
      <c r="Q55" s="47"/>
      <c r="R55" s="34"/>
      <c r="S55" s="51"/>
      <c r="T55" s="51"/>
      <c r="U55" s="34"/>
      <c r="V55" s="48"/>
      <c r="W55" s="52"/>
      <c r="X55" s="48"/>
      <c r="Y55" s="34"/>
      <c r="Z55" s="62"/>
      <c r="AA55" s="47"/>
      <c r="AB55" s="47"/>
      <c r="AC55" s="36"/>
      <c r="AD55" s="48"/>
      <c r="AE55" s="48"/>
      <c r="AF55" s="47"/>
      <c r="AG55" s="36"/>
      <c r="AH55" s="48"/>
      <c r="AI55" s="48"/>
      <c r="AJ55" s="47"/>
      <c r="AK55" s="36"/>
      <c r="AL55" s="49"/>
      <c r="AM55" s="53"/>
      <c r="AN55" s="36"/>
      <c r="AO55" s="52"/>
      <c r="AP55" s="47"/>
    </row>
    <row r="56" spans="1:43" ht="12.75" customHeight="1" x14ac:dyDescent="0.3">
      <c r="A56" s="7" t="s">
        <v>21</v>
      </c>
      <c r="B56" s="212" t="s">
        <v>75</v>
      </c>
      <c r="C56" s="6" t="s">
        <v>8</v>
      </c>
      <c r="D56" s="34"/>
      <c r="E56" s="33">
        <v>351559.1199999997</v>
      </c>
      <c r="F56" s="123">
        <v>4.6257778947368386</v>
      </c>
      <c r="G56" s="7"/>
      <c r="H56" s="35">
        <v>76000</v>
      </c>
      <c r="I56" s="35">
        <v>61384.615384615383</v>
      </c>
      <c r="J56" s="35">
        <v>52900.56000000058</v>
      </c>
      <c r="K56" s="70">
        <v>0.8617885714285809</v>
      </c>
      <c r="L56" s="36"/>
      <c r="M56" s="35">
        <v>16644</v>
      </c>
      <c r="N56" s="35">
        <v>13443.23076923077</v>
      </c>
      <c r="O56" s="37">
        <v>0</v>
      </c>
      <c r="P56" s="35">
        <v>11469.389999999974</v>
      </c>
      <c r="Q56" s="115">
        <v>0.85317214268547892</v>
      </c>
      <c r="R56" s="36"/>
      <c r="S56" s="127">
        <v>0.219</v>
      </c>
      <c r="T56" s="127">
        <v>0.21681037024938579</v>
      </c>
      <c r="U56" s="36"/>
      <c r="V56" s="35"/>
      <c r="W56" s="38">
        <v>10.025073458580483</v>
      </c>
      <c r="X56" s="69" t="s">
        <v>69</v>
      </c>
      <c r="Y56" s="36"/>
      <c r="Z56" s="62"/>
      <c r="AA56" s="33">
        <v>2923.0769230769229</v>
      </c>
      <c r="AB56" s="33">
        <v>2113.9600000000014</v>
      </c>
      <c r="AC56" s="36"/>
      <c r="AD56" s="35">
        <v>640.15384615384619</v>
      </c>
      <c r="AE56" s="35">
        <v>358.37999999999982</v>
      </c>
      <c r="AF56" s="115">
        <v>0.55983417447728878</v>
      </c>
      <c r="AG56" s="36"/>
      <c r="AH56" s="35">
        <v>546.16142857142734</v>
      </c>
      <c r="AI56" s="35">
        <v>14200.197142857111</v>
      </c>
      <c r="AJ56" s="115">
        <v>0.85317214268547892</v>
      </c>
      <c r="AK56" s="36"/>
      <c r="AL56" s="108">
        <v>0.219</v>
      </c>
      <c r="AM56" s="108">
        <v>0.16953017086415995</v>
      </c>
      <c r="AN56" s="36"/>
      <c r="AO56" s="38">
        <v>5.3345380234252477</v>
      </c>
      <c r="AP56" s="70">
        <v>0</v>
      </c>
    </row>
    <row r="57" spans="1:43" ht="12.75" customHeight="1" x14ac:dyDescent="0.3">
      <c r="A57" s="7" t="s">
        <v>21</v>
      </c>
      <c r="B57" s="212"/>
      <c r="C57" s="6" t="s">
        <v>9</v>
      </c>
      <c r="D57" s="34"/>
      <c r="E57" s="33">
        <v>488532.66999999923</v>
      </c>
      <c r="F57" s="123">
        <v>2.4426633499999961</v>
      </c>
      <c r="G57" s="7"/>
      <c r="H57" s="35">
        <v>200000</v>
      </c>
      <c r="I57" s="35">
        <v>161290.32258064518</v>
      </c>
      <c r="J57" s="35">
        <v>143505.45000000103</v>
      </c>
      <c r="K57" s="70">
        <v>0.8897337900000063</v>
      </c>
      <c r="L57" s="36"/>
      <c r="M57" s="35">
        <v>45000</v>
      </c>
      <c r="N57" s="35">
        <v>36290.322580645159</v>
      </c>
      <c r="O57" s="37">
        <v>0</v>
      </c>
      <c r="P57" s="35">
        <v>28808.329999999973</v>
      </c>
      <c r="Q57" s="115">
        <v>0.79382953777777709</v>
      </c>
      <c r="R57" s="36"/>
      <c r="S57" s="127">
        <v>0.22500000000000001</v>
      </c>
      <c r="T57" s="127">
        <v>0.20074728869182157</v>
      </c>
      <c r="U57" s="36"/>
      <c r="V57" s="35"/>
      <c r="W57" s="38">
        <v>8.1936051906046998</v>
      </c>
      <c r="X57" s="69" t="s">
        <v>69</v>
      </c>
      <c r="Y57" s="36"/>
      <c r="Z57" s="62"/>
      <c r="AA57" s="33">
        <v>6451.6129032258068</v>
      </c>
      <c r="AB57" s="33">
        <v>3527.5699999999947</v>
      </c>
      <c r="AC57" s="36"/>
      <c r="AD57" s="35">
        <v>1451.6129032258063</v>
      </c>
      <c r="AE57" s="35">
        <v>821.45999999999958</v>
      </c>
      <c r="AF57" s="115">
        <v>0.56589466666666643</v>
      </c>
      <c r="AG57" s="36"/>
      <c r="AH57" s="35">
        <v>1152.3331999999989</v>
      </c>
      <c r="AI57" s="35">
        <v>35722.329199999964</v>
      </c>
      <c r="AJ57" s="115">
        <v>0.79382953777777698</v>
      </c>
      <c r="AK57" s="36"/>
      <c r="AL57" s="108">
        <v>0.22500000000000001</v>
      </c>
      <c r="AM57" s="108">
        <v>0.23286851855526633</v>
      </c>
      <c r="AN57" s="36"/>
      <c r="AO57" s="38">
        <v>11.33414786949638</v>
      </c>
      <c r="AP57" s="70">
        <v>0</v>
      </c>
    </row>
    <row r="58" spans="1:43" ht="12.75" customHeight="1" x14ac:dyDescent="0.3">
      <c r="A58" s="7" t="s">
        <v>21</v>
      </c>
      <c r="B58" s="212"/>
      <c r="C58" s="6" t="s">
        <v>10</v>
      </c>
      <c r="D58" s="34"/>
      <c r="E58" s="33">
        <v>562054.3600000001</v>
      </c>
      <c r="F58" s="123">
        <v>2.6764493333333337</v>
      </c>
      <c r="G58" s="7"/>
      <c r="H58" s="35">
        <v>210000</v>
      </c>
      <c r="I58" s="35">
        <v>169354.83870967742</v>
      </c>
      <c r="J58" s="35">
        <v>159086.3699999961</v>
      </c>
      <c r="K58" s="70">
        <v>0.93936713714283404</v>
      </c>
      <c r="L58" s="36"/>
      <c r="M58" s="35">
        <v>49770</v>
      </c>
      <c r="N58" s="35">
        <v>40137.096774193546</v>
      </c>
      <c r="O58" s="37">
        <v>742.19</v>
      </c>
      <c r="P58" s="35">
        <v>32918.340000000077</v>
      </c>
      <c r="Q58" s="115">
        <v>0.82014751054852519</v>
      </c>
      <c r="R58" s="36"/>
      <c r="S58" s="127">
        <v>0.23699999999999999</v>
      </c>
      <c r="T58" s="127">
        <v>0.20692118375697985</v>
      </c>
      <c r="U58" s="36"/>
      <c r="V58" s="35"/>
      <c r="W58" s="38">
        <v>8.4746732231019202</v>
      </c>
      <c r="X58" s="69" t="s">
        <v>69</v>
      </c>
      <c r="Y58" s="36"/>
      <c r="Z58" s="62"/>
      <c r="AA58" s="33">
        <v>6774.1935483870966</v>
      </c>
      <c r="AB58" s="33">
        <v>4550.1299999999937</v>
      </c>
      <c r="AC58" s="36"/>
      <c r="AD58" s="35">
        <v>1605.483870967742</v>
      </c>
      <c r="AE58" s="35">
        <v>999.7900000000003</v>
      </c>
      <c r="AF58" s="115">
        <v>0.62273437813944166</v>
      </c>
      <c r="AG58" s="36"/>
      <c r="AH58" s="35">
        <v>1316.733600000003</v>
      </c>
      <c r="AI58" s="35">
        <v>40818.741600000096</v>
      </c>
      <c r="AJ58" s="115">
        <v>0.82014751054852508</v>
      </c>
      <c r="AK58" s="36"/>
      <c r="AL58" s="108">
        <v>0.23699999999999999</v>
      </c>
      <c r="AM58" s="108">
        <v>0.21972778799726639</v>
      </c>
      <c r="AN58" s="36"/>
      <c r="AO58" s="38">
        <v>9.9260900238013239</v>
      </c>
      <c r="AP58" s="70">
        <v>0</v>
      </c>
    </row>
    <row r="59" spans="1:43" ht="12.75" customHeight="1" x14ac:dyDescent="0.3">
      <c r="A59" s="7" t="s">
        <v>21</v>
      </c>
      <c r="B59" s="212"/>
      <c r="C59" s="6" t="s">
        <v>12</v>
      </c>
      <c r="D59" s="34"/>
      <c r="E59" s="33">
        <v>35116.159999999989</v>
      </c>
      <c r="F59" s="123">
        <v>4.2824585365853647</v>
      </c>
      <c r="G59" s="7"/>
      <c r="H59" s="35">
        <v>8200</v>
      </c>
      <c r="I59" s="35">
        <v>6623.0769230769229</v>
      </c>
      <c r="J59" s="35">
        <v>5705.7199999999539</v>
      </c>
      <c r="K59" s="70">
        <v>0.86149082462252502</v>
      </c>
      <c r="L59" s="36"/>
      <c r="M59" s="35">
        <v>656</v>
      </c>
      <c r="N59" s="35">
        <v>529.84615384615381</v>
      </c>
      <c r="O59" s="37">
        <v>0</v>
      </c>
      <c r="P59" s="35">
        <v>985.26999999999839</v>
      </c>
      <c r="Q59" s="115">
        <v>1.8595397793263617</v>
      </c>
      <c r="R59" s="36"/>
      <c r="S59" s="127">
        <v>0.08</v>
      </c>
      <c r="T59" s="127">
        <v>0.17268109896735317</v>
      </c>
      <c r="U59" s="36"/>
      <c r="V59" s="35"/>
      <c r="W59" s="38">
        <v>5.6779863014651832</v>
      </c>
      <c r="X59" s="69" t="s">
        <v>69</v>
      </c>
      <c r="Y59" s="36"/>
      <c r="Z59" s="62"/>
      <c r="AA59" s="33">
        <v>315.38461538461536</v>
      </c>
      <c r="AB59" s="33">
        <v>185.58999999999997</v>
      </c>
      <c r="AC59" s="36"/>
      <c r="AD59" s="35">
        <v>25.23076923076923</v>
      </c>
      <c r="AE59" s="35">
        <v>35.659999999999997</v>
      </c>
      <c r="AF59" s="115">
        <v>1.4133536585365853</v>
      </c>
      <c r="AG59" s="36"/>
      <c r="AH59" s="35">
        <v>46.91761904761897</v>
      </c>
      <c r="AI59" s="35">
        <v>1219.8580952380933</v>
      </c>
      <c r="AJ59" s="115">
        <v>1.8595397793263617</v>
      </c>
      <c r="AK59" s="36"/>
      <c r="AL59" s="108">
        <v>0.08</v>
      </c>
      <c r="AM59" s="108">
        <v>0.19214397327442212</v>
      </c>
      <c r="AN59" s="36"/>
      <c r="AO59" s="38">
        <v>6.9130879896545929</v>
      </c>
      <c r="AP59" s="70">
        <v>0</v>
      </c>
    </row>
    <row r="60" spans="1:43" s="15" customFormat="1" ht="14.25" customHeight="1" x14ac:dyDescent="0.3">
      <c r="A60" s="26"/>
      <c r="B60" s="212"/>
      <c r="C60" s="9" t="s">
        <v>78</v>
      </c>
      <c r="D60" s="28"/>
      <c r="E60" s="27">
        <v>1437262.3099999989</v>
      </c>
      <c r="F60" s="124">
        <v>2.9082604411169544</v>
      </c>
      <c r="G60" s="26"/>
      <c r="H60" s="29">
        <v>494200</v>
      </c>
      <c r="I60" s="29">
        <v>398652.85359801492</v>
      </c>
      <c r="J60" s="29">
        <v>361198.09999999765</v>
      </c>
      <c r="K60" s="31">
        <v>0.90604669385915126</v>
      </c>
      <c r="L60" s="39"/>
      <c r="M60" s="29">
        <v>112070</v>
      </c>
      <c r="N60" s="29">
        <v>90400.496277915634</v>
      </c>
      <c r="O60" s="27">
        <v>742.19</v>
      </c>
      <c r="P60" s="29">
        <v>74181.330000000031</v>
      </c>
      <c r="Q60" s="31">
        <v>0.82058542877847163</v>
      </c>
      <c r="R60" s="39"/>
      <c r="S60" s="128">
        <v>0.22677053824362606</v>
      </c>
      <c r="T60" s="128">
        <v>0.20537574810055897</v>
      </c>
      <c r="U60" s="39"/>
      <c r="V60" s="29"/>
      <c r="W60" s="32">
        <v>8.5458948981170977</v>
      </c>
      <c r="X60" s="30" t="s">
        <v>69</v>
      </c>
      <c r="Y60" s="39"/>
      <c r="Z60" s="62"/>
      <c r="AA60" s="27">
        <v>16464.267990074441</v>
      </c>
      <c r="AB60" s="27">
        <v>10377.249999999989</v>
      </c>
      <c r="AC60" s="39"/>
      <c r="AD60" s="29">
        <v>3722.4813895781635</v>
      </c>
      <c r="AE60" s="29">
        <v>2215.2899999999995</v>
      </c>
      <c r="AF60" s="31">
        <v>0.59511110148250845</v>
      </c>
      <c r="AG60" s="39"/>
      <c r="AH60" s="29">
        <v>3062.1458476190483</v>
      </c>
      <c r="AI60" s="29">
        <v>91961.126038095259</v>
      </c>
      <c r="AJ60" s="31">
        <v>0.82056862709106149</v>
      </c>
      <c r="AK60" s="39"/>
      <c r="AL60" s="80">
        <v>0.22677053824362606</v>
      </c>
      <c r="AM60" s="80">
        <v>0.21347563179069617</v>
      </c>
      <c r="AN60" s="39"/>
      <c r="AO60" s="32">
        <v>0</v>
      </c>
      <c r="AP60" s="31">
        <v>0</v>
      </c>
      <c r="AQ60" s="10"/>
    </row>
    <row r="61" spans="1:43" ht="8" customHeight="1" x14ac:dyDescent="0.3">
      <c r="B61" s="16"/>
      <c r="D61" s="34"/>
      <c r="E61" s="47"/>
      <c r="F61" s="125"/>
      <c r="G61" s="34"/>
      <c r="H61" s="48"/>
      <c r="I61" s="48"/>
      <c r="J61" s="48"/>
      <c r="K61" s="51"/>
      <c r="L61" s="34"/>
      <c r="M61" s="48"/>
      <c r="N61" s="48"/>
      <c r="O61" s="51"/>
      <c r="P61" s="48"/>
      <c r="Q61" s="47"/>
      <c r="R61" s="34"/>
      <c r="S61" s="51"/>
      <c r="T61" s="51"/>
      <c r="U61" s="34"/>
      <c r="V61" s="48"/>
      <c r="W61" s="52"/>
      <c r="X61" s="48"/>
      <c r="Y61" s="34"/>
      <c r="Z61" s="62"/>
      <c r="AA61" s="47"/>
      <c r="AB61" s="47"/>
      <c r="AC61" s="36"/>
      <c r="AD61" s="48"/>
      <c r="AE61" s="48"/>
      <c r="AF61" s="47"/>
      <c r="AG61" s="36"/>
      <c r="AH61" s="48"/>
      <c r="AI61" s="48"/>
      <c r="AJ61" s="47"/>
      <c r="AK61" s="36"/>
      <c r="AL61" s="49"/>
      <c r="AM61" s="53"/>
      <c r="AN61" s="36"/>
      <c r="AO61" s="52"/>
      <c r="AP61" s="47"/>
    </row>
    <row r="62" spans="1:43" ht="12.75" customHeight="1" x14ac:dyDescent="0.3">
      <c r="A62" s="7" t="s">
        <v>22</v>
      </c>
      <c r="B62" s="211" t="s">
        <v>55</v>
      </c>
      <c r="C62" s="6" t="s">
        <v>8</v>
      </c>
      <c r="D62" s="34"/>
      <c r="E62" s="33">
        <v>180467.93000000002</v>
      </c>
      <c r="F62" s="123">
        <v>0.16709993518518521</v>
      </c>
      <c r="G62" s="7"/>
      <c r="H62" s="35">
        <v>1080000</v>
      </c>
      <c r="I62" s="35">
        <v>872307.69230769237</v>
      </c>
      <c r="J62" s="35">
        <v>855617.43999999587</v>
      </c>
      <c r="K62" s="70">
        <v>0.98086655379188237</v>
      </c>
      <c r="L62" s="36"/>
      <c r="M62" s="35">
        <v>43200</v>
      </c>
      <c r="N62" s="35">
        <v>34892.307692307688</v>
      </c>
      <c r="O62" s="37">
        <v>0</v>
      </c>
      <c r="P62" s="35">
        <v>16566.076999999939</v>
      </c>
      <c r="Q62" s="115">
        <v>0.47477733906525404</v>
      </c>
      <c r="R62" s="36"/>
      <c r="S62" s="127">
        <v>0.04</v>
      </c>
      <c r="T62" s="127">
        <v>1.9361546674410961E-2</v>
      </c>
      <c r="U62" s="36"/>
      <c r="V62" s="35"/>
      <c r="W62" s="38">
        <v>-11.626053695212736</v>
      </c>
      <c r="X62" s="69" t="s">
        <v>69</v>
      </c>
      <c r="Y62" s="36"/>
      <c r="Z62" s="62"/>
      <c r="AA62" s="33">
        <v>41538.461538461539</v>
      </c>
      <c r="AB62" s="33">
        <v>27652.720000000001</v>
      </c>
      <c r="AC62" s="36"/>
      <c r="AD62" s="35">
        <v>1661.5384615384614</v>
      </c>
      <c r="AE62" s="35">
        <v>1109.5569000000003</v>
      </c>
      <c r="AF62" s="115">
        <v>0.66778887500000017</v>
      </c>
      <c r="AG62" s="36"/>
      <c r="AH62" s="35">
        <v>788.86080952380667</v>
      </c>
      <c r="AI62" s="35">
        <v>20510.381047618972</v>
      </c>
      <c r="AJ62" s="115">
        <v>0.47477733906525399</v>
      </c>
      <c r="AK62" s="36"/>
      <c r="AL62" s="108">
        <v>0.04</v>
      </c>
      <c r="AM62" s="108">
        <v>4.0124692977761327E-2</v>
      </c>
      <c r="AN62" s="36"/>
      <c r="AO62" s="38">
        <v>-9.4249068446069533</v>
      </c>
      <c r="AP62" s="70">
        <v>0</v>
      </c>
    </row>
    <row r="63" spans="1:43" ht="12.75" customHeight="1" x14ac:dyDescent="0.3">
      <c r="A63" s="7" t="s">
        <v>22</v>
      </c>
      <c r="B63" s="211"/>
      <c r="C63" s="6" t="s">
        <v>9</v>
      </c>
      <c r="D63" s="34"/>
      <c r="E63" s="33">
        <v>230137.57000000007</v>
      </c>
      <c r="F63" s="123">
        <v>0.2876719625000001</v>
      </c>
      <c r="G63" s="7"/>
      <c r="H63" s="35">
        <v>800000</v>
      </c>
      <c r="I63" s="35">
        <v>645161.29032258072</v>
      </c>
      <c r="J63" s="35">
        <v>514229.89999998448</v>
      </c>
      <c r="K63" s="70">
        <v>0.7970563449999758</v>
      </c>
      <c r="L63" s="36"/>
      <c r="M63" s="35">
        <v>72000</v>
      </c>
      <c r="N63" s="35">
        <v>58064.516129032258</v>
      </c>
      <c r="O63" s="37">
        <v>0</v>
      </c>
      <c r="P63" s="35">
        <v>54488.976700000152</v>
      </c>
      <c r="Q63" s="115">
        <v>0.93842126538889148</v>
      </c>
      <c r="R63" s="36"/>
      <c r="S63" s="127">
        <v>0.09</v>
      </c>
      <c r="T63" s="127">
        <v>0.10596228787941307</v>
      </c>
      <c r="U63" s="36"/>
      <c r="V63" s="35"/>
      <c r="W63" s="38">
        <v>-1.2311581454164717</v>
      </c>
      <c r="X63" s="69" t="s">
        <v>69</v>
      </c>
      <c r="Y63" s="36"/>
      <c r="Z63" s="62"/>
      <c r="AA63" s="33">
        <v>25806.451612903227</v>
      </c>
      <c r="AB63" s="33">
        <v>25796.939999999981</v>
      </c>
      <c r="AC63" s="36"/>
      <c r="AD63" s="35">
        <v>2322.5806451612902</v>
      </c>
      <c r="AE63" s="35">
        <v>1440.3045999999999</v>
      </c>
      <c r="AF63" s="115">
        <v>0.62013114722222218</v>
      </c>
      <c r="AG63" s="36"/>
      <c r="AH63" s="35">
        <v>2179.5590680000059</v>
      </c>
      <c r="AI63" s="35">
        <v>67566.331108000188</v>
      </c>
      <c r="AJ63" s="115">
        <v>0.93842126538889148</v>
      </c>
      <c r="AK63" s="36"/>
      <c r="AL63" s="108">
        <v>0.09</v>
      </c>
      <c r="AM63" s="108">
        <v>5.5832381670074087E-2</v>
      </c>
      <c r="AN63" s="36"/>
      <c r="AO63" s="38">
        <v>-6.6936055206548497</v>
      </c>
      <c r="AP63" s="70">
        <v>0</v>
      </c>
    </row>
    <row r="64" spans="1:43" ht="12.75" customHeight="1" x14ac:dyDescent="0.3">
      <c r="A64" s="7" t="s">
        <v>22</v>
      </c>
      <c r="B64" s="211"/>
      <c r="C64" s="6" t="s">
        <v>10</v>
      </c>
      <c r="D64" s="34"/>
      <c r="E64" s="33">
        <v>295221.90000000008</v>
      </c>
      <c r="F64" s="123">
        <v>0.36223546012269947</v>
      </c>
      <c r="G64" s="7"/>
      <c r="H64" s="35">
        <v>815000</v>
      </c>
      <c r="I64" s="35">
        <v>657258.06451612909</v>
      </c>
      <c r="J64" s="35">
        <v>592368.80999997782</v>
      </c>
      <c r="K64" s="70">
        <v>0.90127279067481281</v>
      </c>
      <c r="L64" s="36"/>
      <c r="M64" s="35">
        <v>80685</v>
      </c>
      <c r="N64" s="35">
        <v>65068.548387096766</v>
      </c>
      <c r="O64" s="37">
        <v>0</v>
      </c>
      <c r="P64" s="35">
        <v>74893.932300000073</v>
      </c>
      <c r="Q64" s="115">
        <v>1.1510005087934574</v>
      </c>
      <c r="R64" s="36"/>
      <c r="S64" s="127">
        <v>9.9000000000000005E-2</v>
      </c>
      <c r="T64" s="127">
        <v>0.12643125538632408</v>
      </c>
      <c r="U64" s="36"/>
      <c r="V64" s="35"/>
      <c r="W64" s="38">
        <v>0.70388451072840807</v>
      </c>
      <c r="X64" s="69" t="s">
        <v>69</v>
      </c>
      <c r="Y64" s="36"/>
      <c r="Z64" s="62"/>
      <c r="AA64" s="33">
        <v>26290.322580645163</v>
      </c>
      <c r="AB64" s="33">
        <v>21336.389999999985</v>
      </c>
      <c r="AC64" s="36"/>
      <c r="AD64" s="35">
        <v>2602.7419354838707</v>
      </c>
      <c r="AE64" s="35">
        <v>2085.5608500000003</v>
      </c>
      <c r="AF64" s="115">
        <v>0.80129375162669658</v>
      </c>
      <c r="AG64" s="36"/>
      <c r="AH64" s="35">
        <v>2995.757292000003</v>
      </c>
      <c r="AI64" s="35">
        <v>92868.476052000085</v>
      </c>
      <c r="AJ64" s="115">
        <v>1.1510005087934572</v>
      </c>
      <c r="AK64" s="36"/>
      <c r="AL64" s="108">
        <v>9.9000000000000005E-2</v>
      </c>
      <c r="AM64" s="108">
        <v>9.774665958018211E-2</v>
      </c>
      <c r="AN64" s="36"/>
      <c r="AO64" s="38">
        <v>-2.1443606439515808</v>
      </c>
      <c r="AP64" s="70">
        <v>0</v>
      </c>
    </row>
    <row r="65" spans="1:43" ht="12.75" customHeight="1" x14ac:dyDescent="0.3">
      <c r="A65" s="7" t="s">
        <v>22</v>
      </c>
      <c r="B65" s="211"/>
      <c r="C65" s="6" t="s">
        <v>12</v>
      </c>
      <c r="D65" s="34"/>
      <c r="E65" s="33">
        <v>58429.54</v>
      </c>
      <c r="F65" s="123">
        <v>7.3607382212144121E-2</v>
      </c>
      <c r="G65" s="7"/>
      <c r="H65" s="35">
        <v>793800</v>
      </c>
      <c r="I65" s="35">
        <v>641146.15384615387</v>
      </c>
      <c r="J65" s="35">
        <v>525882.43999999925</v>
      </c>
      <c r="K65" s="70">
        <v>0.82022240458793627</v>
      </c>
      <c r="L65" s="36"/>
      <c r="M65" s="35">
        <v>75457.228812394649</v>
      </c>
      <c r="N65" s="35">
        <v>60946.223271549519</v>
      </c>
      <c r="O65" s="37">
        <v>10490.830000000002</v>
      </c>
      <c r="P65" s="35">
        <v>-756.36999999999898</v>
      </c>
      <c r="Q65" s="115">
        <v>-1.2410449071305821E-2</v>
      </c>
      <c r="R65" s="36"/>
      <c r="S65" s="127">
        <v>9.5058237354994524E-2</v>
      </c>
      <c r="T65" s="127">
        <v>-1.4382872339300777E-3</v>
      </c>
      <c r="U65" s="36"/>
      <c r="V65" s="35"/>
      <c r="W65" s="38">
        <v>-16.151073612574017</v>
      </c>
      <c r="X65" s="69" t="s">
        <v>69</v>
      </c>
      <c r="Y65" s="36"/>
      <c r="Z65" s="62"/>
      <c r="AA65" s="33">
        <v>30530.76923076923</v>
      </c>
      <c r="AB65" s="33">
        <v>3985.34</v>
      </c>
      <c r="AC65" s="36"/>
      <c r="AD65" s="35">
        <v>2902.2011081690248</v>
      </c>
      <c r="AE65" s="35">
        <v>339.62000000000012</v>
      </c>
      <c r="AF65" s="115">
        <v>0.11702152516035101</v>
      </c>
      <c r="AG65" s="36"/>
      <c r="AH65" s="35">
        <v>-36.017619047619</v>
      </c>
      <c r="AI65" s="35">
        <v>-936.45809523809396</v>
      </c>
      <c r="AJ65" s="115">
        <v>-1.2410449071305821E-2</v>
      </c>
      <c r="AK65" s="36"/>
      <c r="AL65" s="108">
        <v>9.5058237354994524E-2</v>
      </c>
      <c r="AM65" s="108">
        <v>8.5217321483236089E-2</v>
      </c>
      <c r="AN65" s="36"/>
      <c r="AO65" s="38">
        <v>-4.6648466630199641</v>
      </c>
      <c r="AP65" s="70">
        <v>0</v>
      </c>
    </row>
    <row r="66" spans="1:43" s="15" customFormat="1" ht="14.25" customHeight="1" x14ac:dyDescent="0.3">
      <c r="A66" s="26"/>
      <c r="B66" s="211"/>
      <c r="C66" s="9" t="s">
        <v>56</v>
      </c>
      <c r="D66" s="28"/>
      <c r="E66" s="27">
        <v>764256.94000000018</v>
      </c>
      <c r="F66" s="124">
        <v>0.21906011809218073</v>
      </c>
      <c r="G66" s="26"/>
      <c r="H66" s="29">
        <v>3488800</v>
      </c>
      <c r="I66" s="29">
        <v>2815873.2009925563</v>
      </c>
      <c r="J66" s="29">
        <v>2488098.589999957</v>
      </c>
      <c r="K66" s="31">
        <v>0.8835975246054889</v>
      </c>
      <c r="L66" s="39"/>
      <c r="M66" s="29">
        <v>271342.22881239466</v>
      </c>
      <c r="N66" s="29">
        <v>218971.59547998622</v>
      </c>
      <c r="O66" s="27">
        <v>10490.830000000002</v>
      </c>
      <c r="P66" s="29">
        <v>145192.61600000015</v>
      </c>
      <c r="Q66" s="31">
        <v>0.663065982059169</v>
      </c>
      <c r="R66" s="39"/>
      <c r="S66" s="128">
        <v>7.7775231831115191E-2</v>
      </c>
      <c r="T66" s="128">
        <v>5.8354848390474216E-2</v>
      </c>
      <c r="U66" s="39"/>
      <c r="V66" s="29"/>
      <c r="W66" s="32">
        <v>-7.4985611402178547</v>
      </c>
      <c r="X66" s="30" t="s">
        <v>69</v>
      </c>
      <c r="Y66" s="39"/>
      <c r="Z66" s="62"/>
      <c r="AA66" s="27">
        <v>124166.00496277917</v>
      </c>
      <c r="AB66" s="27">
        <v>78771.389999999956</v>
      </c>
      <c r="AC66" s="39"/>
      <c r="AD66" s="29">
        <v>9489.0621503526472</v>
      </c>
      <c r="AE66" s="29">
        <v>4975.0423500000006</v>
      </c>
      <c r="AF66" s="31">
        <v>0.52429231373672791</v>
      </c>
      <c r="AG66" s="39"/>
      <c r="AH66" s="29">
        <v>5928.1595504761972</v>
      </c>
      <c r="AI66" s="29">
        <v>180008.73011238113</v>
      </c>
      <c r="AJ66" s="31">
        <v>0.66340108909785189</v>
      </c>
      <c r="AK66" s="39"/>
      <c r="AL66" s="80">
        <v>7.7775231831115191E-2</v>
      </c>
      <c r="AM66" s="80">
        <v>6.315798604036317E-2</v>
      </c>
      <c r="AN66" s="39"/>
      <c r="AO66" s="32">
        <v>0</v>
      </c>
      <c r="AP66" s="31">
        <v>0</v>
      </c>
      <c r="AQ66" s="10"/>
    </row>
    <row r="67" spans="1:43" ht="8" customHeight="1" x14ac:dyDescent="0.3">
      <c r="B67" s="16"/>
      <c r="D67" s="34"/>
      <c r="E67" s="47"/>
      <c r="F67" s="125"/>
      <c r="G67" s="34"/>
      <c r="H67" s="48"/>
      <c r="I67" s="48"/>
      <c r="J67" s="48"/>
      <c r="K67" s="51"/>
      <c r="L67" s="34"/>
      <c r="M67" s="48"/>
      <c r="N67" s="48"/>
      <c r="O67" s="51"/>
      <c r="P67" s="48"/>
      <c r="Q67" s="47"/>
      <c r="R67" s="34"/>
      <c r="S67" s="51"/>
      <c r="T67" s="51"/>
      <c r="U67" s="34"/>
      <c r="V67" s="48"/>
      <c r="W67" s="52"/>
      <c r="X67" s="48"/>
      <c r="Y67" s="34"/>
      <c r="Z67" s="62"/>
      <c r="AA67" s="47"/>
      <c r="AB67" s="47"/>
      <c r="AC67" s="36"/>
      <c r="AD67" s="48"/>
      <c r="AE67" s="48"/>
      <c r="AF67" s="47"/>
      <c r="AG67" s="36"/>
      <c r="AH67" s="48"/>
      <c r="AI67" s="48"/>
      <c r="AJ67" s="47"/>
      <c r="AK67" s="36"/>
      <c r="AL67" s="49"/>
      <c r="AM67" s="53"/>
      <c r="AN67" s="36"/>
      <c r="AO67" s="52"/>
      <c r="AP67" s="47"/>
    </row>
    <row r="68" spans="1:43" ht="12.75" customHeight="1" x14ac:dyDescent="0.3">
      <c r="A68" s="7" t="s">
        <v>23</v>
      </c>
      <c r="B68" s="213" t="s">
        <v>76</v>
      </c>
      <c r="C68" s="6" t="s">
        <v>8</v>
      </c>
      <c r="D68" s="34"/>
      <c r="E68" s="33">
        <v>263873.10000000003</v>
      </c>
      <c r="F68" s="123">
        <v>4.2560177419354845</v>
      </c>
      <c r="G68" s="7"/>
      <c r="H68" s="35">
        <v>62000</v>
      </c>
      <c r="I68" s="35">
        <v>50076.923076923078</v>
      </c>
      <c r="J68" s="35">
        <v>54490.370000000388</v>
      </c>
      <c r="K68" s="70">
        <v>1.0881333486943241</v>
      </c>
      <c r="L68" s="36"/>
      <c r="M68" s="35">
        <v>12524</v>
      </c>
      <c r="N68" s="35">
        <v>10115.538461538461</v>
      </c>
      <c r="O68" s="37">
        <v>81.84</v>
      </c>
      <c r="P68" s="35">
        <v>11525.18999999996</v>
      </c>
      <c r="Q68" s="115">
        <v>1.1393550668430861</v>
      </c>
      <c r="R68" s="36"/>
      <c r="S68" s="127">
        <v>0.20200000000000001</v>
      </c>
      <c r="T68" s="127">
        <v>0.21150874916062928</v>
      </c>
      <c r="U68" s="36"/>
      <c r="V68" s="35"/>
      <c r="W68" s="38">
        <v>9.1569024031225101</v>
      </c>
      <c r="X68" s="69" t="s">
        <v>69</v>
      </c>
      <c r="Y68" s="36"/>
      <c r="Z68" s="62"/>
      <c r="AA68" s="33">
        <v>2384.6153846153848</v>
      </c>
      <c r="AB68" s="33">
        <v>2809.2899999999981</v>
      </c>
      <c r="AC68" s="36"/>
      <c r="AD68" s="35">
        <v>481.69230769230768</v>
      </c>
      <c r="AE68" s="35">
        <v>504.96</v>
      </c>
      <c r="AF68" s="115">
        <v>1.0483040562120729</v>
      </c>
      <c r="AG68" s="36"/>
      <c r="AH68" s="35">
        <v>548.8185714285695</v>
      </c>
      <c r="AI68" s="35">
        <v>14269.282857142807</v>
      </c>
      <c r="AJ68" s="115">
        <v>1.1393550668430859</v>
      </c>
      <c r="AK68" s="36"/>
      <c r="AL68" s="108">
        <v>0.20200000000000001</v>
      </c>
      <c r="AM68" s="108">
        <v>0.17974648398705734</v>
      </c>
      <c r="AN68" s="36"/>
      <c r="AO68" s="38">
        <v>5.6508939981275796</v>
      </c>
      <c r="AP68" s="70">
        <v>0</v>
      </c>
    </row>
    <row r="69" spans="1:43" ht="12.75" customHeight="1" x14ac:dyDescent="0.3">
      <c r="A69" s="7" t="s">
        <v>23</v>
      </c>
      <c r="B69" s="211"/>
      <c r="C69" s="6" t="s">
        <v>9</v>
      </c>
      <c r="D69" s="34"/>
      <c r="E69" s="33">
        <v>324663.59999999986</v>
      </c>
      <c r="F69" s="123">
        <v>2.2390593103448264</v>
      </c>
      <c r="G69" s="7"/>
      <c r="H69" s="35">
        <v>145000</v>
      </c>
      <c r="I69" s="35">
        <v>116935.48387096773</v>
      </c>
      <c r="J69" s="35">
        <v>103676.26000000331</v>
      </c>
      <c r="K69" s="70">
        <v>0.88661077517244224</v>
      </c>
      <c r="L69" s="36"/>
      <c r="M69" s="35">
        <v>35179.978006339457</v>
      </c>
      <c r="N69" s="35">
        <v>28370.950005112467</v>
      </c>
      <c r="O69" s="37">
        <v>163.68</v>
      </c>
      <c r="P69" s="35">
        <v>22058.329999999874</v>
      </c>
      <c r="Q69" s="115">
        <v>0.77749705230261756</v>
      </c>
      <c r="R69" s="36"/>
      <c r="S69" s="127">
        <v>0.24262053797475489</v>
      </c>
      <c r="T69" s="127">
        <v>0.21276162932574119</v>
      </c>
      <c r="U69" s="36"/>
      <c r="V69" s="35"/>
      <c r="W69" s="38">
        <v>9.2446428912495122</v>
      </c>
      <c r="X69" s="69" t="s">
        <v>69</v>
      </c>
      <c r="Y69" s="36"/>
      <c r="Z69" s="62"/>
      <c r="AA69" s="33">
        <v>4677.4193548387093</v>
      </c>
      <c r="AB69" s="33">
        <v>4578.6399999999903</v>
      </c>
      <c r="AC69" s="36"/>
      <c r="AD69" s="35">
        <v>1134.8380002044987</v>
      </c>
      <c r="AE69" s="35">
        <v>918.5799999999997</v>
      </c>
      <c r="AF69" s="115">
        <v>0.80943711775114235</v>
      </c>
      <c r="AG69" s="36"/>
      <c r="AH69" s="35">
        <v>882.33319999999503</v>
      </c>
      <c r="AI69" s="35">
        <v>27352.329199999847</v>
      </c>
      <c r="AJ69" s="115">
        <v>0.77749705230261767</v>
      </c>
      <c r="AK69" s="36"/>
      <c r="AL69" s="108">
        <v>0.24262053797475489</v>
      </c>
      <c r="AM69" s="108">
        <v>0.20062289238725944</v>
      </c>
      <c r="AN69" s="36"/>
      <c r="AO69" s="38">
        <v>8.2697045410862824</v>
      </c>
      <c r="AP69" s="70">
        <v>0</v>
      </c>
    </row>
    <row r="70" spans="1:43" ht="12.75" customHeight="1" x14ac:dyDescent="0.3">
      <c r="A70" s="7" t="s">
        <v>23</v>
      </c>
      <c r="B70" s="211"/>
      <c r="C70" s="6" t="s">
        <v>10</v>
      </c>
      <c r="D70" s="34"/>
      <c r="E70" s="33">
        <v>509227.01000000065</v>
      </c>
      <c r="F70" s="123">
        <v>2.6801421578947404</v>
      </c>
      <c r="G70" s="7"/>
      <c r="H70" s="35">
        <v>190000</v>
      </c>
      <c r="I70" s="35">
        <v>153225.80645161291</v>
      </c>
      <c r="J70" s="35">
        <v>153856.14000000205</v>
      </c>
      <c r="K70" s="70">
        <v>1.004113755789487</v>
      </c>
      <c r="L70" s="36"/>
      <c r="M70" s="35">
        <v>45410</v>
      </c>
      <c r="N70" s="35">
        <v>36620.967741935485</v>
      </c>
      <c r="O70" s="37">
        <v>2619.25</v>
      </c>
      <c r="P70" s="35">
        <v>34552.849999999977</v>
      </c>
      <c r="Q70" s="115">
        <v>0.94352640387579767</v>
      </c>
      <c r="R70" s="36"/>
      <c r="S70" s="127">
        <v>0.23899999999999999</v>
      </c>
      <c r="T70" s="127">
        <v>0.22457894758050939</v>
      </c>
      <c r="U70" s="36"/>
      <c r="V70" s="35"/>
      <c r="W70" s="38">
        <v>8.8832398888999435</v>
      </c>
      <c r="X70" s="69" t="s">
        <v>69</v>
      </c>
      <c r="Y70" s="36"/>
      <c r="Z70" s="62"/>
      <c r="AA70" s="33">
        <v>6129.0322580645161</v>
      </c>
      <c r="AB70" s="33">
        <v>4225.9699999999903</v>
      </c>
      <c r="AC70" s="36"/>
      <c r="AD70" s="35">
        <v>1464.8387096774193</v>
      </c>
      <c r="AE70" s="35">
        <v>858.4299999999995</v>
      </c>
      <c r="AF70" s="115">
        <v>0.58602356309182968</v>
      </c>
      <c r="AG70" s="36"/>
      <c r="AH70" s="35">
        <v>1382.1139999999991</v>
      </c>
      <c r="AI70" s="35">
        <v>42845.533999999971</v>
      </c>
      <c r="AJ70" s="115">
        <v>0.94352640387579767</v>
      </c>
      <c r="AK70" s="36"/>
      <c r="AL70" s="108">
        <v>0.23899999999999999</v>
      </c>
      <c r="AM70" s="108">
        <v>0.2031320619881356</v>
      </c>
      <c r="AN70" s="36"/>
      <c r="AO70" s="38">
        <v>8.2409482320032623</v>
      </c>
      <c r="AP70" s="70">
        <v>0</v>
      </c>
    </row>
    <row r="71" spans="1:43" ht="12.75" customHeight="1" x14ac:dyDescent="0.3">
      <c r="A71" s="7" t="s">
        <v>23</v>
      </c>
      <c r="B71" s="211"/>
      <c r="C71" s="6" t="s">
        <v>12</v>
      </c>
      <c r="D71" s="34"/>
      <c r="E71" s="33">
        <v>22137.690000000013</v>
      </c>
      <c r="F71" s="123">
        <v>5.5344225000000034</v>
      </c>
      <c r="G71" s="7"/>
      <c r="H71" s="35">
        <v>4000</v>
      </c>
      <c r="I71" s="35">
        <v>3230.7692307692305</v>
      </c>
      <c r="J71" s="35">
        <v>2148.2000000000012</v>
      </c>
      <c r="K71" s="70">
        <v>0.66491904761904808</v>
      </c>
      <c r="L71" s="36"/>
      <c r="M71" s="35">
        <v>960</v>
      </c>
      <c r="N71" s="35">
        <v>775.38461538461536</v>
      </c>
      <c r="O71" s="37">
        <v>366.45</v>
      </c>
      <c r="P71" s="35">
        <v>887.02000000000021</v>
      </c>
      <c r="Q71" s="115">
        <v>1.1439742063492067</v>
      </c>
      <c r="R71" s="36"/>
      <c r="S71" s="127">
        <v>0.24</v>
      </c>
      <c r="T71" s="127">
        <v>0.41291313657946177</v>
      </c>
      <c r="U71" s="36"/>
      <c r="V71" s="35"/>
      <c r="W71" s="38">
        <v>11.844334791918886</v>
      </c>
      <c r="X71" s="69" t="s">
        <v>69</v>
      </c>
      <c r="Y71" s="36"/>
      <c r="Z71" s="62"/>
      <c r="AA71" s="33">
        <v>153.84615384615384</v>
      </c>
      <c r="AB71" s="33">
        <v>124.02</v>
      </c>
      <c r="AC71" s="36"/>
      <c r="AD71" s="35">
        <v>36.92307692307692</v>
      </c>
      <c r="AE71" s="35">
        <v>28.580000000000002</v>
      </c>
      <c r="AF71" s="115">
        <v>0.77404166666666674</v>
      </c>
      <c r="AG71" s="36"/>
      <c r="AH71" s="35">
        <v>42.239047619047632</v>
      </c>
      <c r="AI71" s="35">
        <v>1098.2152380952384</v>
      </c>
      <c r="AJ71" s="115">
        <v>1.1439742063492067</v>
      </c>
      <c r="AK71" s="36"/>
      <c r="AL71" s="108">
        <v>0.24</v>
      </c>
      <c r="AM71" s="108">
        <v>0.23044670214481539</v>
      </c>
      <c r="AN71" s="36"/>
      <c r="AO71" s="38">
        <v>10.466053862280269</v>
      </c>
      <c r="AP71" s="70">
        <v>0</v>
      </c>
    </row>
    <row r="72" spans="1:43" s="15" customFormat="1" ht="14.25" customHeight="1" x14ac:dyDescent="0.3">
      <c r="A72" s="26"/>
      <c r="B72" s="211"/>
      <c r="C72" s="9" t="s">
        <v>79</v>
      </c>
      <c r="D72" s="28"/>
      <c r="E72" s="27">
        <v>1119901.4000000006</v>
      </c>
      <c r="F72" s="124">
        <v>2.7927715710723207</v>
      </c>
      <c r="G72" s="26"/>
      <c r="H72" s="29">
        <v>401000</v>
      </c>
      <c r="I72" s="29">
        <v>323468.98263027298</v>
      </c>
      <c r="J72" s="29">
        <v>314170.97000000573</v>
      </c>
      <c r="K72" s="31">
        <v>0.9712553192746306</v>
      </c>
      <c r="L72" s="39"/>
      <c r="M72" s="29">
        <v>94073.978006339457</v>
      </c>
      <c r="N72" s="29">
        <v>75882.840823971026</v>
      </c>
      <c r="O72" s="27">
        <v>3231.22</v>
      </c>
      <c r="P72" s="29">
        <v>69023.389999999825</v>
      </c>
      <c r="Q72" s="31">
        <v>0.90960471762142658</v>
      </c>
      <c r="R72" s="39"/>
      <c r="S72" s="128">
        <v>0.23459844889361461</v>
      </c>
      <c r="T72" s="128">
        <v>0.21970008877649824</v>
      </c>
      <c r="U72" s="39"/>
      <c r="V72" s="29"/>
      <c r="W72" s="32">
        <v>9.0702142212583983</v>
      </c>
      <c r="X72" s="30" t="s">
        <v>69</v>
      </c>
      <c r="Y72" s="39"/>
      <c r="Z72" s="62"/>
      <c r="AA72" s="27">
        <v>13344.913151364764</v>
      </c>
      <c r="AB72" s="27">
        <v>11737.91999999998</v>
      </c>
      <c r="AC72" s="39"/>
      <c r="AD72" s="29">
        <v>3118.292094497303</v>
      </c>
      <c r="AE72" s="29">
        <v>2310.5499999999993</v>
      </c>
      <c r="AF72" s="31">
        <v>0.74096650665834463</v>
      </c>
      <c r="AG72" s="39"/>
      <c r="AH72" s="29">
        <v>2855.5048190476114</v>
      </c>
      <c r="AI72" s="29">
        <v>85565.361295237861</v>
      </c>
      <c r="AJ72" s="31">
        <v>0.90955398196801862</v>
      </c>
      <c r="AK72" s="39"/>
      <c r="AL72" s="80">
        <v>0.23459844889361461</v>
      </c>
      <c r="AM72" s="80">
        <v>0.19684492652872088</v>
      </c>
      <c r="AN72" s="39"/>
      <c r="AO72" s="32">
        <v>0</v>
      </c>
      <c r="AP72" s="31">
        <v>0</v>
      </c>
      <c r="AQ72" s="10"/>
    </row>
    <row r="73" spans="1:43" ht="7.75" customHeight="1" x14ac:dyDescent="0.3">
      <c r="B73" s="16"/>
      <c r="D73" s="34"/>
      <c r="E73" s="47"/>
      <c r="F73" s="125"/>
      <c r="G73" s="34"/>
      <c r="H73" s="48"/>
      <c r="I73" s="48"/>
      <c r="J73" s="48"/>
      <c r="K73" s="51"/>
      <c r="L73" s="34"/>
      <c r="M73" s="48"/>
      <c r="N73" s="48"/>
      <c r="O73" s="51"/>
      <c r="P73" s="48"/>
      <c r="Q73" s="47"/>
      <c r="R73" s="34"/>
      <c r="S73" s="51"/>
      <c r="T73" s="51"/>
      <c r="U73" s="34"/>
      <c r="V73" s="48"/>
      <c r="W73" s="52"/>
      <c r="X73" s="48"/>
      <c r="Y73" s="34"/>
      <c r="Z73" s="62"/>
      <c r="AA73" s="47"/>
      <c r="AB73" s="47"/>
      <c r="AC73" s="36"/>
      <c r="AD73" s="48"/>
      <c r="AE73" s="48"/>
      <c r="AF73" s="47"/>
      <c r="AG73" s="36"/>
      <c r="AH73" s="48"/>
      <c r="AI73" s="48"/>
      <c r="AJ73" s="47"/>
      <c r="AK73" s="36"/>
      <c r="AL73" s="49"/>
      <c r="AM73" s="53"/>
      <c r="AN73" s="36"/>
      <c r="AO73" s="52"/>
      <c r="AP73" s="47"/>
    </row>
    <row r="74" spans="1:43" ht="12.75" customHeight="1" x14ac:dyDescent="0.3">
      <c r="A74" s="7" t="s">
        <v>68</v>
      </c>
      <c r="B74" s="211" t="s">
        <v>70</v>
      </c>
      <c r="C74" s="6" t="s">
        <v>8</v>
      </c>
      <c r="D74" s="34"/>
      <c r="E74" s="33">
        <v>39314.570000000029</v>
      </c>
      <c r="F74" s="123">
        <v>0.578155441176471</v>
      </c>
      <c r="G74" s="7"/>
      <c r="H74" s="35">
        <v>68000</v>
      </c>
      <c r="I74" s="35">
        <v>54923.076923076922</v>
      </c>
      <c r="J74" s="35">
        <v>47793.250000000226</v>
      </c>
      <c r="K74" s="70">
        <v>0.87018522408963994</v>
      </c>
      <c r="L74" s="36"/>
      <c r="M74" s="35">
        <v>11900</v>
      </c>
      <c r="N74" s="35">
        <v>9611.538461538461</v>
      </c>
      <c r="O74" s="37">
        <v>342.96</v>
      </c>
      <c r="P74" s="35">
        <v>7008.0400000000054</v>
      </c>
      <c r="Q74" s="115">
        <v>0.72912781112445035</v>
      </c>
      <c r="R74" s="36"/>
      <c r="S74" s="127">
        <v>0.17499999999999999</v>
      </c>
      <c r="T74" s="127">
        <v>0.14663242194242854</v>
      </c>
      <c r="U74" s="36"/>
      <c r="V74" s="35"/>
      <c r="W74" s="38">
        <v>3.0513095468507072</v>
      </c>
      <c r="X74" s="69" t="s">
        <v>69</v>
      </c>
      <c r="Y74" s="36"/>
      <c r="Z74" s="62"/>
      <c r="AA74" s="33">
        <v>2615.3846153846152</v>
      </c>
      <c r="AB74" s="33">
        <v>1906.67</v>
      </c>
      <c r="AC74" s="36"/>
      <c r="AD74" s="35">
        <v>457.69230769230768</v>
      </c>
      <c r="AE74" s="35">
        <v>346.6</v>
      </c>
      <c r="AF74" s="115">
        <v>0.75727731092436978</v>
      </c>
      <c r="AG74" s="36"/>
      <c r="AH74" s="35">
        <v>333.71619047619072</v>
      </c>
      <c r="AI74" s="35">
        <v>8676.6209523809594</v>
      </c>
      <c r="AJ74" s="115">
        <v>0.72912781112445035</v>
      </c>
      <c r="AK74" s="36"/>
      <c r="AL74" s="108">
        <v>0.17499999999999999</v>
      </c>
      <c r="AM74" s="108">
        <v>0.18178289898094585</v>
      </c>
      <c r="AN74" s="36"/>
      <c r="AO74" s="38">
        <v>7.1884489712430666</v>
      </c>
      <c r="AP74" s="70">
        <v>0</v>
      </c>
    </row>
    <row r="75" spans="1:43" ht="12.5" customHeight="1" x14ac:dyDescent="0.3">
      <c r="A75" s="7" t="s">
        <v>68</v>
      </c>
      <c r="B75" s="211"/>
      <c r="C75" s="6" t="s">
        <v>9</v>
      </c>
      <c r="D75" s="34"/>
      <c r="E75" s="33">
        <v>81716.599999999948</v>
      </c>
      <c r="F75" s="123">
        <v>0.534095424836601</v>
      </c>
      <c r="G75" s="7"/>
      <c r="H75" s="35">
        <v>153000</v>
      </c>
      <c r="I75" s="35">
        <v>123387.09677419353</v>
      </c>
      <c r="J75" s="35">
        <v>123687.86000000652</v>
      </c>
      <c r="K75" s="70">
        <v>1.0024375581699876</v>
      </c>
      <c r="L75" s="36"/>
      <c r="M75" s="35">
        <v>30083.290842020251</v>
      </c>
      <c r="N75" s="35">
        <v>24260.718420984074</v>
      </c>
      <c r="O75" s="37">
        <v>936.24</v>
      </c>
      <c r="P75" s="35">
        <v>23655.230000000211</v>
      </c>
      <c r="Q75" s="115">
        <v>0.9750424364820065</v>
      </c>
      <c r="R75" s="36"/>
      <c r="S75" s="127">
        <v>0.19662281596091669</v>
      </c>
      <c r="T75" s="127">
        <v>0.19124940798554493</v>
      </c>
      <c r="U75" s="36"/>
      <c r="V75" s="35"/>
      <c r="W75" s="38">
        <v>7.8378104366963033</v>
      </c>
      <c r="X75" s="69" t="s">
        <v>69</v>
      </c>
      <c r="Y75" s="36"/>
      <c r="Z75" s="62"/>
      <c r="AA75" s="33">
        <v>4935.4838709677415</v>
      </c>
      <c r="AB75" s="33">
        <v>4031.989999999987</v>
      </c>
      <c r="AC75" s="36"/>
      <c r="AD75" s="35">
        <v>970.42873683936295</v>
      </c>
      <c r="AE75" s="35">
        <v>632.25999999999988</v>
      </c>
      <c r="AF75" s="115">
        <v>0.65152646041711271</v>
      </c>
      <c r="AG75" s="36"/>
      <c r="AH75" s="35">
        <v>946.20920000000842</v>
      </c>
      <c r="AI75" s="35">
        <v>29332.485200000261</v>
      </c>
      <c r="AJ75" s="115">
        <v>0.97504243648200661</v>
      </c>
      <c r="AK75" s="36"/>
      <c r="AL75" s="108">
        <v>0.19662281596091669</v>
      </c>
      <c r="AM75" s="108">
        <v>0.15681090478895085</v>
      </c>
      <c r="AN75" s="36"/>
      <c r="AO75" s="38">
        <v>5.0865701551836766</v>
      </c>
      <c r="AP75" s="70">
        <v>0</v>
      </c>
    </row>
    <row r="76" spans="1:43" ht="12.75" customHeight="1" x14ac:dyDescent="0.3">
      <c r="A76" s="7" t="s">
        <v>68</v>
      </c>
      <c r="B76" s="211"/>
      <c r="C76" s="6" t="s">
        <v>10</v>
      </c>
      <c r="D76" s="34"/>
      <c r="E76" s="33">
        <v>133770.78000000009</v>
      </c>
      <c r="F76" s="123">
        <v>0.58671394736842142</v>
      </c>
      <c r="G76" s="7"/>
      <c r="H76" s="35">
        <v>228000</v>
      </c>
      <c r="I76" s="35">
        <v>183870.96774193548</v>
      </c>
      <c r="J76" s="35">
        <v>208044.32999999681</v>
      </c>
      <c r="K76" s="70">
        <v>1.1314691631578775</v>
      </c>
      <c r="L76" s="36"/>
      <c r="M76" s="35">
        <v>39900</v>
      </c>
      <c r="N76" s="35">
        <v>32177.419354838708</v>
      </c>
      <c r="O76" s="37">
        <v>2416.4100000000003</v>
      </c>
      <c r="P76" s="35">
        <v>31307.290000000339</v>
      </c>
      <c r="Q76" s="115">
        <v>0.9729583859649229</v>
      </c>
      <c r="R76" s="36"/>
      <c r="S76" s="127">
        <v>0.17499999999999999</v>
      </c>
      <c r="T76" s="127">
        <v>0.15048374545944521</v>
      </c>
      <c r="U76" s="36"/>
      <c r="V76" s="35"/>
      <c r="W76" s="38">
        <v>3.6810808542567401</v>
      </c>
      <c r="X76" s="69" t="s">
        <v>69</v>
      </c>
      <c r="Y76" s="36"/>
      <c r="Z76" s="62"/>
      <c r="AA76" s="33">
        <v>7354.8387096774195</v>
      </c>
      <c r="AB76" s="33">
        <v>7490.9499999999753</v>
      </c>
      <c r="AC76" s="36"/>
      <c r="AD76" s="35">
        <v>1287.0967741935483</v>
      </c>
      <c r="AE76" s="35">
        <v>1154.4600000000009</v>
      </c>
      <c r="AF76" s="115">
        <v>0.89694887218045194</v>
      </c>
      <c r="AG76" s="36"/>
      <c r="AH76" s="35">
        <v>1252.2916000000137</v>
      </c>
      <c r="AI76" s="35">
        <v>38821.039600000426</v>
      </c>
      <c r="AJ76" s="115">
        <v>0.9729583859649229</v>
      </c>
      <c r="AK76" s="36"/>
      <c r="AL76" s="108">
        <v>0.17499999999999999</v>
      </c>
      <c r="AM76" s="108">
        <v>0.15411396418344867</v>
      </c>
      <c r="AN76" s="36"/>
      <c r="AO76" s="38">
        <v>5.0578364559899311</v>
      </c>
      <c r="AP76" s="70">
        <v>0</v>
      </c>
    </row>
    <row r="77" spans="1:43" ht="12.75" customHeight="1" x14ac:dyDescent="0.3">
      <c r="A77" s="7" t="s">
        <v>68</v>
      </c>
      <c r="B77" s="211"/>
      <c r="C77" s="6" t="s">
        <v>12</v>
      </c>
      <c r="D77" s="34"/>
      <c r="E77" s="33">
        <v>1775.2599999999998</v>
      </c>
      <c r="F77" s="123">
        <v>0.44381499999999996</v>
      </c>
      <c r="G77" s="7"/>
      <c r="H77" s="35">
        <v>4000</v>
      </c>
      <c r="I77" s="35">
        <v>3230.7692307692305</v>
      </c>
      <c r="J77" s="35">
        <v>4916.3999999999714</v>
      </c>
      <c r="K77" s="70">
        <v>1.5217428571428484</v>
      </c>
      <c r="L77" s="36"/>
      <c r="M77" s="35">
        <v>630.99967958987622</v>
      </c>
      <c r="N77" s="35">
        <v>509.65358736105384</v>
      </c>
      <c r="O77" s="37">
        <v>0</v>
      </c>
      <c r="P77" s="35">
        <v>785.05000000000041</v>
      </c>
      <c r="Q77" s="115">
        <v>1.5403600003385192</v>
      </c>
      <c r="R77" s="36"/>
      <c r="S77" s="127">
        <v>0.15774991989746906</v>
      </c>
      <c r="T77" s="127">
        <v>0.15967984704255248</v>
      </c>
      <c r="U77" s="36"/>
      <c r="V77" s="35"/>
      <c r="W77" s="38">
        <v>4.7622243918308413</v>
      </c>
      <c r="X77" s="69" t="s">
        <v>69</v>
      </c>
      <c r="Y77" s="36"/>
      <c r="Z77" s="62"/>
      <c r="AA77" s="33">
        <v>153.84615384615384</v>
      </c>
      <c r="AB77" s="33">
        <v>141.79</v>
      </c>
      <c r="AC77" s="36"/>
      <c r="AD77" s="35">
        <v>24.269218445764469</v>
      </c>
      <c r="AE77" s="35">
        <v>27.800000000000004</v>
      </c>
      <c r="AF77" s="115">
        <v>1.1454839414019835</v>
      </c>
      <c r="AG77" s="36"/>
      <c r="AH77" s="35">
        <v>37.383333333333354</v>
      </c>
      <c r="AI77" s="35">
        <v>971.96666666666715</v>
      </c>
      <c r="AJ77" s="115">
        <v>1.5403600003385189</v>
      </c>
      <c r="AK77" s="36"/>
      <c r="AL77" s="108">
        <v>0.15774991989746906</v>
      </c>
      <c r="AM77" s="108">
        <v>0.19606460258128222</v>
      </c>
      <c r="AN77" s="36"/>
      <c r="AO77" s="38">
        <v>9.6621764581423157</v>
      </c>
      <c r="AP77" s="70">
        <v>0</v>
      </c>
    </row>
    <row r="78" spans="1:43" s="15" customFormat="1" ht="14.25" customHeight="1" x14ac:dyDescent="0.3">
      <c r="A78" s="26"/>
      <c r="B78" s="211"/>
      <c r="C78" s="9" t="s">
        <v>80</v>
      </c>
      <c r="D78" s="28"/>
      <c r="E78" s="27">
        <v>256577.21000000008</v>
      </c>
      <c r="F78" s="124">
        <v>0.56639560706401781</v>
      </c>
      <c r="G78" s="26"/>
      <c r="H78" s="29">
        <v>453000</v>
      </c>
      <c r="I78" s="29">
        <v>365411.91066997522</v>
      </c>
      <c r="J78" s="29">
        <v>384441.84000000352</v>
      </c>
      <c r="K78" s="31">
        <v>1.0520780214720897</v>
      </c>
      <c r="L78" s="39"/>
      <c r="M78" s="29">
        <v>82514.290521610121</v>
      </c>
      <c r="N78" s="29">
        <v>66559.329824722299</v>
      </c>
      <c r="O78" s="27">
        <v>3695.6100000000006</v>
      </c>
      <c r="P78" s="29">
        <v>62755.610000000554</v>
      </c>
      <c r="Q78" s="31">
        <v>0.94285219165008904</v>
      </c>
      <c r="R78" s="39"/>
      <c r="S78" s="128">
        <v>0.18215075170333361</v>
      </c>
      <c r="T78" s="128">
        <v>0.16323824170646978</v>
      </c>
      <c r="U78" s="39"/>
      <c r="V78" s="29"/>
      <c r="W78" s="32">
        <v>4.9539743124742728</v>
      </c>
      <c r="X78" s="30" t="s">
        <v>69</v>
      </c>
      <c r="Y78" s="39"/>
      <c r="Z78" s="62"/>
      <c r="AA78" s="27">
        <v>15059.553349875931</v>
      </c>
      <c r="AB78" s="27">
        <v>13571.399999999963</v>
      </c>
      <c r="AC78" s="39"/>
      <c r="AD78" s="29">
        <v>2739.4870371709835</v>
      </c>
      <c r="AE78" s="29">
        <v>2161.1200000000008</v>
      </c>
      <c r="AF78" s="31">
        <v>0.78887761492448916</v>
      </c>
      <c r="AG78" s="39"/>
      <c r="AH78" s="29">
        <v>2569.6003238095459</v>
      </c>
      <c r="AI78" s="29">
        <v>77802.112419048324</v>
      </c>
      <c r="AJ78" s="31">
        <v>0.94289258172403845</v>
      </c>
      <c r="AK78" s="39"/>
      <c r="AL78" s="80">
        <v>0.18215075170333361</v>
      </c>
      <c r="AM78" s="80">
        <v>0.15924075629632953</v>
      </c>
      <c r="AN78" s="39"/>
      <c r="AO78" s="32">
        <v>0</v>
      </c>
      <c r="AP78" s="31">
        <v>0</v>
      </c>
      <c r="AQ78" s="10"/>
    </row>
    <row r="79" spans="1:43" ht="8" customHeight="1" x14ac:dyDescent="0.3">
      <c r="B79" s="16"/>
      <c r="D79" s="34"/>
      <c r="E79" s="47"/>
      <c r="F79" s="125"/>
      <c r="G79" s="34"/>
      <c r="H79" s="48"/>
      <c r="I79" s="48"/>
      <c r="J79" s="48"/>
      <c r="K79" s="51"/>
      <c r="L79" s="34"/>
      <c r="M79" s="48"/>
      <c r="N79" s="48"/>
      <c r="O79" s="51"/>
      <c r="P79" s="48"/>
      <c r="Q79" s="47"/>
      <c r="R79" s="34"/>
      <c r="S79" s="51"/>
      <c r="T79" s="51"/>
      <c r="U79" s="34"/>
      <c r="V79" s="48"/>
      <c r="W79" s="52"/>
      <c r="X79" s="48"/>
      <c r="Y79" s="34"/>
      <c r="Z79" s="62"/>
      <c r="AA79" s="47"/>
      <c r="AB79" s="47"/>
      <c r="AC79" s="36"/>
      <c r="AD79" s="48"/>
      <c r="AE79" s="48"/>
      <c r="AF79" s="47"/>
      <c r="AG79" s="36"/>
      <c r="AH79" s="48"/>
      <c r="AI79" s="48"/>
      <c r="AJ79" s="47"/>
      <c r="AK79" s="36"/>
      <c r="AL79" s="49"/>
      <c r="AM79" s="53"/>
      <c r="AN79" s="36"/>
      <c r="AO79" s="52"/>
      <c r="AP79" s="47"/>
    </row>
    <row r="80" spans="1:43" ht="12.75" customHeight="1" x14ac:dyDescent="0.3">
      <c r="A80" s="7" t="s">
        <v>29</v>
      </c>
      <c r="B80" s="211" t="s">
        <v>66</v>
      </c>
      <c r="C80" s="6" t="s">
        <v>8</v>
      </c>
      <c r="D80" s="34"/>
      <c r="E80" s="33">
        <v>601517.76000000013</v>
      </c>
      <c r="F80" s="123">
        <v>2.6152946086956526</v>
      </c>
      <c r="G80" s="7"/>
      <c r="H80" s="35">
        <v>230000</v>
      </c>
      <c r="I80" s="130">
        <v>185769.23076923075</v>
      </c>
      <c r="J80" s="35">
        <v>206601.05999999586</v>
      </c>
      <c r="K80" s="70">
        <v>1.1121382111801021</v>
      </c>
      <c r="L80" s="36"/>
      <c r="M80" s="35">
        <v>25300</v>
      </c>
      <c r="N80" s="35">
        <v>20434.615384615387</v>
      </c>
      <c r="O80" s="37">
        <v>12646.619999999999</v>
      </c>
      <c r="P80" s="130">
        <v>25419.280000000064</v>
      </c>
      <c r="Q80" s="70">
        <v>1.2439323922454388</v>
      </c>
      <c r="R80" s="36"/>
      <c r="S80" s="127">
        <v>0.11</v>
      </c>
      <c r="T80" s="127">
        <v>0.12303557397043642</v>
      </c>
      <c r="U80" s="36"/>
      <c r="V80" s="35"/>
      <c r="W80" s="38">
        <v>-3.1144031884464902</v>
      </c>
      <c r="X80" s="69" t="s">
        <v>69</v>
      </c>
      <c r="Y80" s="36"/>
      <c r="Z80" s="62"/>
      <c r="AA80" s="33">
        <v>8846.1538461538457</v>
      </c>
      <c r="AB80" s="33">
        <v>8429.5499999999756</v>
      </c>
      <c r="AC80" s="36"/>
      <c r="AD80" s="35">
        <v>973.07692307692309</v>
      </c>
      <c r="AE80" s="35">
        <v>974.4199999999995</v>
      </c>
      <c r="AF80" s="115">
        <v>1.0013802371541496</v>
      </c>
      <c r="AG80" s="36"/>
      <c r="AH80" s="35">
        <v>1210.4419047619078</v>
      </c>
      <c r="AI80" s="35">
        <v>31471.489523809603</v>
      </c>
      <c r="AJ80" s="115">
        <v>1.2439323922454388</v>
      </c>
      <c r="AK80" s="36"/>
      <c r="AL80" s="108">
        <v>0.11</v>
      </c>
      <c r="AM80" s="108">
        <v>0.11559573168199991</v>
      </c>
      <c r="AN80" s="36"/>
      <c r="AO80" s="38">
        <v>2.0871814035146827</v>
      </c>
      <c r="AP80" s="70">
        <v>0</v>
      </c>
    </row>
    <row r="81" spans="1:43" ht="12.75" customHeight="1" x14ac:dyDescent="0.3">
      <c r="A81" s="7" t="s">
        <v>29</v>
      </c>
      <c r="B81" s="211"/>
      <c r="C81" s="6" t="s">
        <v>9</v>
      </c>
      <c r="D81" s="34"/>
      <c r="E81" s="33">
        <v>494895.40999999992</v>
      </c>
      <c r="F81" s="123">
        <v>1.4555747352941173</v>
      </c>
      <c r="G81" s="7"/>
      <c r="H81" s="35">
        <v>340000</v>
      </c>
      <c r="I81" s="130">
        <v>274193.54838709679</v>
      </c>
      <c r="J81" s="35">
        <v>263527.31999997835</v>
      </c>
      <c r="K81" s="70">
        <v>0.96109963764697981</v>
      </c>
      <c r="L81" s="36"/>
      <c r="M81" s="35">
        <v>50660</v>
      </c>
      <c r="N81" s="35">
        <v>40854.838709677424</v>
      </c>
      <c r="O81" s="37">
        <v>4499</v>
      </c>
      <c r="P81" s="130">
        <v>35350.070000000611</v>
      </c>
      <c r="Q81" s="70">
        <v>0.86526030003949372</v>
      </c>
      <c r="R81" s="36"/>
      <c r="S81" s="127">
        <v>0.14899999999999999</v>
      </c>
      <c r="T81" s="127">
        <v>0.13414195537678414</v>
      </c>
      <c r="U81" s="36"/>
      <c r="V81" s="35"/>
      <c r="W81" s="38">
        <v>1.7928274002030267</v>
      </c>
      <c r="X81" s="69" t="s">
        <v>69</v>
      </c>
      <c r="Y81" s="36"/>
      <c r="Z81" s="62"/>
      <c r="AA81" s="33">
        <v>10967.741935483871</v>
      </c>
      <c r="AB81" s="33">
        <v>8323.0699999999506</v>
      </c>
      <c r="AC81" s="36"/>
      <c r="AD81" s="35">
        <v>1634.1935483870968</v>
      </c>
      <c r="AE81" s="35">
        <v>1047.9500000000007</v>
      </c>
      <c r="AF81" s="115">
        <v>0.64126431109356541</v>
      </c>
      <c r="AG81" s="36"/>
      <c r="AH81" s="35">
        <v>1414.0028000000245</v>
      </c>
      <c r="AI81" s="35">
        <v>43834.086800000761</v>
      </c>
      <c r="AJ81" s="115">
        <v>0.86526030003949395</v>
      </c>
      <c r="AK81" s="36"/>
      <c r="AL81" s="108">
        <v>0.14899999999999999</v>
      </c>
      <c r="AM81" s="108">
        <v>0.12590906961013268</v>
      </c>
      <c r="AN81" s="36"/>
      <c r="AO81" s="38">
        <v>2.7749376131639534</v>
      </c>
      <c r="AP81" s="70">
        <v>0</v>
      </c>
    </row>
    <row r="82" spans="1:43" ht="12.75" customHeight="1" x14ac:dyDescent="0.3">
      <c r="A82" s="7" t="s">
        <v>29</v>
      </c>
      <c r="B82" s="211"/>
      <c r="C82" s="6" t="s">
        <v>10</v>
      </c>
      <c r="D82" s="34"/>
      <c r="E82" s="33">
        <v>901536.41000000108</v>
      </c>
      <c r="F82" s="123">
        <v>2.096596302325584</v>
      </c>
      <c r="G82" s="7"/>
      <c r="H82" s="35">
        <v>430000</v>
      </c>
      <c r="I82" s="130">
        <v>346774.19354838709</v>
      </c>
      <c r="J82" s="35">
        <v>331173.42999996804</v>
      </c>
      <c r="K82" s="70">
        <v>0.95501175162781482</v>
      </c>
      <c r="L82" s="36"/>
      <c r="M82" s="35">
        <v>59770.000000000007</v>
      </c>
      <c r="N82" s="35">
        <v>48201.61290322581</v>
      </c>
      <c r="O82" s="37">
        <v>5664.0999999999995</v>
      </c>
      <c r="P82" s="130">
        <v>42293.840000000448</v>
      </c>
      <c r="Q82" s="70">
        <v>0.87743619876192991</v>
      </c>
      <c r="R82" s="36"/>
      <c r="S82" s="127">
        <v>0.13900000000000001</v>
      </c>
      <c r="T82" s="127">
        <v>0.12770903752757137</v>
      </c>
      <c r="U82" s="36"/>
      <c r="V82" s="35"/>
      <c r="W82" s="38">
        <v>1.21521826191417</v>
      </c>
      <c r="X82" s="69" t="s">
        <v>69</v>
      </c>
      <c r="Y82" s="36"/>
      <c r="Z82" s="62"/>
      <c r="AA82" s="33">
        <v>13870.967741935483</v>
      </c>
      <c r="AB82" s="33">
        <v>13619.339999999942</v>
      </c>
      <c r="AC82" s="36"/>
      <c r="AD82" s="35">
        <v>1928.0645161290324</v>
      </c>
      <c r="AE82" s="35">
        <v>827.8600000000007</v>
      </c>
      <c r="AF82" s="115">
        <v>0.42937359879538262</v>
      </c>
      <c r="AG82" s="36"/>
      <c r="AH82" s="35">
        <v>1691.753600000018</v>
      </c>
      <c r="AI82" s="35">
        <v>52444.361600000557</v>
      </c>
      <c r="AJ82" s="115">
        <v>0.87743619876192991</v>
      </c>
      <c r="AK82" s="36"/>
      <c r="AL82" s="108">
        <v>0.13900000000000001</v>
      </c>
      <c r="AM82" s="108">
        <v>6.0785618098968396E-2</v>
      </c>
      <c r="AN82" s="36"/>
      <c r="AO82" s="38">
        <v>-4.580765294060237</v>
      </c>
      <c r="AP82" s="70">
        <v>0</v>
      </c>
    </row>
    <row r="83" spans="1:43" ht="12.75" customHeight="1" x14ac:dyDescent="0.3">
      <c r="A83" s="7" t="s">
        <v>29</v>
      </c>
      <c r="B83" s="211"/>
      <c r="C83" s="6" t="s">
        <v>12</v>
      </c>
      <c r="D83" s="34"/>
      <c r="E83" s="33">
        <v>17725.709999999995</v>
      </c>
      <c r="F83" s="123">
        <v>1.4771424999999996</v>
      </c>
      <c r="G83" s="7"/>
      <c r="H83" s="35">
        <v>12000</v>
      </c>
      <c r="I83" s="130">
        <v>9692.3076923076933</v>
      </c>
      <c r="J83" s="35">
        <v>4072.7699999999854</v>
      </c>
      <c r="K83" s="70">
        <v>0.42020642857142704</v>
      </c>
      <c r="L83" s="36"/>
      <c r="M83" s="35">
        <v>1872</v>
      </c>
      <c r="N83" s="35">
        <v>1512</v>
      </c>
      <c r="O83" s="37">
        <v>3608.01</v>
      </c>
      <c r="P83" s="130">
        <v>4529.16</v>
      </c>
      <c r="Q83" s="70">
        <v>2.9954761904761904</v>
      </c>
      <c r="R83" s="36"/>
      <c r="S83" s="127">
        <v>0.156</v>
      </c>
      <c r="T83" s="127">
        <v>1.112058869025262</v>
      </c>
      <c r="U83" s="36"/>
      <c r="V83" s="35"/>
      <c r="W83" s="38">
        <v>12.829843079770933</v>
      </c>
      <c r="X83" s="69" t="s">
        <v>69</v>
      </c>
      <c r="Y83" s="36"/>
      <c r="Z83" s="62"/>
      <c r="AA83" s="33">
        <v>461.53846153846155</v>
      </c>
      <c r="AB83" s="33">
        <v>303.95000000000016</v>
      </c>
      <c r="AC83" s="36"/>
      <c r="AD83" s="35">
        <v>72</v>
      </c>
      <c r="AE83" s="35">
        <v>66.990000000000009</v>
      </c>
      <c r="AF83" s="115">
        <v>0.93041666666666678</v>
      </c>
      <c r="AG83" s="36"/>
      <c r="AH83" s="35">
        <v>215.6742857142857</v>
      </c>
      <c r="AI83" s="35">
        <v>5607.5314285714285</v>
      </c>
      <c r="AJ83" s="115">
        <v>2.9954761904761904</v>
      </c>
      <c r="AK83" s="36"/>
      <c r="AL83" s="108">
        <v>0.156</v>
      </c>
      <c r="AM83" s="108">
        <v>0.22039809179141298</v>
      </c>
      <c r="AN83" s="36"/>
      <c r="AO83" s="38">
        <v>11.807863135384155</v>
      </c>
      <c r="AP83" s="70">
        <v>0</v>
      </c>
    </row>
    <row r="84" spans="1:43" s="15" customFormat="1" ht="14.25" customHeight="1" x14ac:dyDescent="0.3">
      <c r="A84" s="26"/>
      <c r="B84" s="211"/>
      <c r="C84" s="9" t="s">
        <v>81</v>
      </c>
      <c r="D84" s="28"/>
      <c r="E84" s="27">
        <v>2015675.290000001</v>
      </c>
      <c r="F84" s="124">
        <v>1.9917740019762855</v>
      </c>
      <c r="G84" s="26"/>
      <c r="H84" s="29">
        <v>1012000</v>
      </c>
      <c r="I84" s="29">
        <v>816429.28039702238</v>
      </c>
      <c r="J84" s="29">
        <v>805374.57999994233</v>
      </c>
      <c r="K84" s="31">
        <v>0.98645969631110697</v>
      </c>
      <c r="L84" s="39"/>
      <c r="M84" s="29">
        <v>137602</v>
      </c>
      <c r="N84" s="29">
        <v>111003.06699751862</v>
      </c>
      <c r="O84" s="27">
        <v>26417.729999999996</v>
      </c>
      <c r="P84" s="29">
        <v>107592.35000000113</v>
      </c>
      <c r="Q84" s="31">
        <v>0.96927366882940513</v>
      </c>
      <c r="R84" s="39"/>
      <c r="S84" s="128">
        <v>0.13597035573122529</v>
      </c>
      <c r="T84" s="128">
        <v>0.13359293013694179</v>
      </c>
      <c r="U84" s="39"/>
      <c r="V84" s="29"/>
      <c r="W84" s="32">
        <v>0.35228452330138671</v>
      </c>
      <c r="X84" s="30" t="s">
        <v>69</v>
      </c>
      <c r="Y84" s="39"/>
      <c r="Z84" s="62"/>
      <c r="AA84" s="27">
        <v>34146.401985111661</v>
      </c>
      <c r="AB84" s="27">
        <v>30675.909999999869</v>
      </c>
      <c r="AC84" s="39"/>
      <c r="AD84" s="29">
        <v>4607.3349875930526</v>
      </c>
      <c r="AE84" s="29">
        <v>2917.2200000000012</v>
      </c>
      <c r="AF84" s="31">
        <v>0.63316863389696887</v>
      </c>
      <c r="AG84" s="39"/>
      <c r="AH84" s="29">
        <v>4531.8725904762359</v>
      </c>
      <c r="AI84" s="29">
        <v>133357.46935238235</v>
      </c>
      <c r="AJ84" s="31">
        <v>0.96915356864276936</v>
      </c>
      <c r="AK84" s="39"/>
      <c r="AL84" s="80">
        <v>0.13597035573122529</v>
      </c>
      <c r="AM84" s="80">
        <v>9.5098075330121046E-2</v>
      </c>
      <c r="AN84" s="39"/>
      <c r="AO84" s="32">
        <v>0</v>
      </c>
      <c r="AP84" s="31">
        <v>0</v>
      </c>
      <c r="AQ84" s="10"/>
    </row>
    <row r="85" spans="1:43" x14ac:dyDescent="0.3">
      <c r="B85" s="16"/>
      <c r="D85" s="34"/>
      <c r="E85" s="47"/>
      <c r="F85" s="125"/>
      <c r="G85" s="34"/>
      <c r="H85" s="48"/>
      <c r="I85" s="48"/>
      <c r="J85" s="48"/>
      <c r="K85" s="51"/>
      <c r="L85" s="34"/>
      <c r="M85" s="48"/>
      <c r="N85" s="48"/>
      <c r="O85" s="51"/>
      <c r="P85" s="48"/>
      <c r="Q85" s="47"/>
      <c r="R85" s="34"/>
      <c r="S85" s="51"/>
      <c r="T85" s="51"/>
      <c r="U85" s="34"/>
      <c r="V85" s="48"/>
      <c r="W85" s="52"/>
      <c r="X85" s="48"/>
      <c r="Y85" s="34"/>
      <c r="Z85" s="62"/>
      <c r="AA85" s="47"/>
      <c r="AB85" s="47"/>
      <c r="AC85" s="36"/>
      <c r="AD85" s="48"/>
      <c r="AE85" s="48"/>
      <c r="AF85" s="47"/>
      <c r="AG85" s="36"/>
      <c r="AH85" s="48"/>
      <c r="AI85" s="48"/>
      <c r="AJ85" s="47"/>
      <c r="AK85" s="36"/>
      <c r="AL85" s="49"/>
      <c r="AM85" s="53"/>
      <c r="AN85" s="36"/>
      <c r="AO85" s="52"/>
      <c r="AP85" s="47"/>
    </row>
    <row r="86" spans="1:43" x14ac:dyDescent="0.3">
      <c r="A86" s="64" t="s">
        <v>59</v>
      </c>
      <c r="B86" s="211" t="s">
        <v>73</v>
      </c>
      <c r="C86" s="6" t="s">
        <v>8</v>
      </c>
      <c r="D86" s="34"/>
      <c r="E86" s="33">
        <v>514840.15000000037</v>
      </c>
      <c r="F86" s="123">
        <v>2.3401825000000018</v>
      </c>
      <c r="G86" s="7"/>
      <c r="H86" s="35">
        <v>220000</v>
      </c>
      <c r="I86" s="35">
        <v>177692.30769230769</v>
      </c>
      <c r="J86" s="35">
        <v>173018.76000000004</v>
      </c>
      <c r="K86" s="70">
        <v>0.97369864935064954</v>
      </c>
      <c r="L86" s="36"/>
      <c r="M86" s="35">
        <v>28600</v>
      </c>
      <c r="N86" s="35">
        <v>23100</v>
      </c>
      <c r="O86" s="37">
        <v>1279.82</v>
      </c>
      <c r="P86" s="35">
        <v>21555.664149999888</v>
      </c>
      <c r="Q86" s="115">
        <v>0.93314563419912933</v>
      </c>
      <c r="R86" s="36"/>
      <c r="S86" s="127">
        <v>0.13</v>
      </c>
      <c r="T86" s="127">
        <v>0.12458570475247818</v>
      </c>
      <c r="U86" s="36"/>
      <c r="V86" s="35"/>
      <c r="W86" s="38">
        <v>3.1362865795595893</v>
      </c>
      <c r="X86" s="69" t="s">
        <v>69</v>
      </c>
      <c r="Y86" s="36"/>
      <c r="Z86" s="62"/>
      <c r="AA86" s="33">
        <v>8461.538461538461</v>
      </c>
      <c r="AB86" s="33">
        <v>9870.4599999999718</v>
      </c>
      <c r="AC86" s="36"/>
      <c r="AD86" s="35">
        <v>1100</v>
      </c>
      <c r="AE86" s="35">
        <v>1119.3999999999999</v>
      </c>
      <c r="AF86" s="115">
        <v>1.0176363636363635</v>
      </c>
      <c r="AG86" s="36"/>
      <c r="AH86" s="35">
        <v>1026.4601976190422</v>
      </c>
      <c r="AI86" s="35">
        <v>26687.965138095096</v>
      </c>
      <c r="AJ86" s="115">
        <v>0.93314563419912921</v>
      </c>
      <c r="AK86" s="36"/>
      <c r="AL86" s="108">
        <v>0.13</v>
      </c>
      <c r="AM86" s="108">
        <v>0.11340910150084221</v>
      </c>
      <c r="AN86" s="36"/>
      <c r="AO86" s="38">
        <v>3.1937721240951902</v>
      </c>
      <c r="AP86" s="70">
        <v>0</v>
      </c>
    </row>
    <row r="87" spans="1:43" x14ac:dyDescent="0.3">
      <c r="A87" s="64" t="s">
        <v>59</v>
      </c>
      <c r="B87" s="211"/>
      <c r="C87" s="6" t="s">
        <v>9</v>
      </c>
      <c r="D87" s="34"/>
      <c r="E87" s="33">
        <v>624582.78999999957</v>
      </c>
      <c r="F87" s="123">
        <v>1.8103848985507234</v>
      </c>
      <c r="G87" s="7"/>
      <c r="H87" s="35">
        <v>345000</v>
      </c>
      <c r="I87" s="35">
        <v>278225.80645161291</v>
      </c>
      <c r="J87" s="35">
        <v>274087.96999999002</v>
      </c>
      <c r="K87" s="70">
        <v>0.98512777623184822</v>
      </c>
      <c r="L87" s="36"/>
      <c r="M87" s="35">
        <v>55890</v>
      </c>
      <c r="N87" s="35">
        <v>45072.580645161295</v>
      </c>
      <c r="O87" s="37">
        <v>3173.4</v>
      </c>
      <c r="P87" s="35">
        <v>44567.909999999625</v>
      </c>
      <c r="Q87" s="115">
        <v>0.98880315619966952</v>
      </c>
      <c r="R87" s="36"/>
      <c r="S87" s="127">
        <v>0.16200000000000001</v>
      </c>
      <c r="T87" s="127">
        <v>0.16260440033176665</v>
      </c>
      <c r="U87" s="36"/>
      <c r="V87" s="35"/>
      <c r="W87" s="38">
        <v>6.46667929277986</v>
      </c>
      <c r="X87" s="69" t="s">
        <v>69</v>
      </c>
      <c r="Y87" s="36"/>
      <c r="Z87" s="62"/>
      <c r="AA87" s="33">
        <v>11129.032258064517</v>
      </c>
      <c r="AB87" s="33">
        <v>8262.7299999999523</v>
      </c>
      <c r="AC87" s="36"/>
      <c r="AD87" s="35">
        <v>1802.9032258064517</v>
      </c>
      <c r="AE87" s="35">
        <v>1243.2800000000007</v>
      </c>
      <c r="AF87" s="115">
        <v>0.68959885489354122</v>
      </c>
      <c r="AG87" s="36"/>
      <c r="AH87" s="35">
        <v>1782.716399999985</v>
      </c>
      <c r="AI87" s="35">
        <v>55264.208399999538</v>
      </c>
      <c r="AJ87" s="115">
        <v>0.98880315619966963</v>
      </c>
      <c r="AK87" s="36"/>
      <c r="AL87" s="108">
        <v>0.16200000000000001</v>
      </c>
      <c r="AM87" s="108">
        <v>0.15046842871544971</v>
      </c>
      <c r="AN87" s="36"/>
      <c r="AO87" s="38">
        <v>6.639210043169216</v>
      </c>
      <c r="AP87" s="70">
        <v>0</v>
      </c>
    </row>
    <row r="88" spans="1:43" x14ac:dyDescent="0.3">
      <c r="A88" s="64" t="s">
        <v>59</v>
      </c>
      <c r="B88" s="211"/>
      <c r="C88" s="6" t="s">
        <v>10</v>
      </c>
      <c r="D88" s="34"/>
      <c r="E88" s="33">
        <v>996689.36000000138</v>
      </c>
      <c r="F88" s="123">
        <v>1.8805459622641536</v>
      </c>
      <c r="G88" s="7"/>
      <c r="H88" s="35">
        <v>530000</v>
      </c>
      <c r="I88" s="35">
        <v>427419.35483870964</v>
      </c>
      <c r="J88" s="35">
        <v>389776.41999996983</v>
      </c>
      <c r="K88" s="70">
        <v>0.91192973735842009</v>
      </c>
      <c r="L88" s="36"/>
      <c r="M88" s="35">
        <v>80560</v>
      </c>
      <c r="N88" s="35">
        <v>64967.741935483864</v>
      </c>
      <c r="O88" s="37">
        <v>4735.16</v>
      </c>
      <c r="P88" s="35">
        <v>59452.454349999709</v>
      </c>
      <c r="Q88" s="115">
        <v>0.91510729138529845</v>
      </c>
      <c r="R88" s="36"/>
      <c r="S88" s="127">
        <v>0.152</v>
      </c>
      <c r="T88" s="127">
        <v>0.15252963314200566</v>
      </c>
      <c r="U88" s="36"/>
      <c r="V88" s="35"/>
      <c r="W88" s="38">
        <v>5.4948332559396293</v>
      </c>
      <c r="X88" s="69" t="s">
        <v>69</v>
      </c>
      <c r="Y88" s="36"/>
      <c r="Z88" s="62"/>
      <c r="AA88" s="33">
        <v>17096.774193548386</v>
      </c>
      <c r="AB88" s="33">
        <v>23009.599999999966</v>
      </c>
      <c r="AC88" s="36"/>
      <c r="AD88" s="35">
        <v>2598.7096774193546</v>
      </c>
      <c r="AE88" s="35">
        <v>1776.7289500000018</v>
      </c>
      <c r="AF88" s="115">
        <v>0.68369659198113275</v>
      </c>
      <c r="AG88" s="36"/>
      <c r="AH88" s="35">
        <v>2378.0981739999884</v>
      </c>
      <c r="AI88" s="35">
        <v>73721.043393999644</v>
      </c>
      <c r="AJ88" s="115">
        <v>0.91510729138529845</v>
      </c>
      <c r="AK88" s="36"/>
      <c r="AL88" s="108">
        <v>0.152</v>
      </c>
      <c r="AM88" s="108">
        <v>7.7216855138724894E-2</v>
      </c>
      <c r="AN88" s="36"/>
      <c r="AO88" s="38">
        <v>0.34033164418322914</v>
      </c>
      <c r="AP88" s="70">
        <v>0</v>
      </c>
    </row>
    <row r="89" spans="1:43" x14ac:dyDescent="0.3">
      <c r="A89" s="64" t="s">
        <v>59</v>
      </c>
      <c r="B89" s="211"/>
      <c r="C89" s="6" t="s">
        <v>12</v>
      </c>
      <c r="D89" s="34"/>
      <c r="E89" s="33">
        <v>14982.500000000004</v>
      </c>
      <c r="F89" s="123">
        <v>2.1403571428571433</v>
      </c>
      <c r="G89" s="7"/>
      <c r="H89" s="35">
        <v>7000</v>
      </c>
      <c r="I89" s="35">
        <v>5653.8461538461534</v>
      </c>
      <c r="J89" s="35">
        <v>5577.4999999999691</v>
      </c>
      <c r="K89" s="70">
        <v>0.98649659863945038</v>
      </c>
      <c r="L89" s="36"/>
      <c r="M89" s="35">
        <v>1680</v>
      </c>
      <c r="N89" s="35">
        <v>1356.9230769230769</v>
      </c>
      <c r="O89" s="37">
        <v>0</v>
      </c>
      <c r="P89" s="35">
        <v>1169.8199999999995</v>
      </c>
      <c r="Q89" s="115">
        <v>0.86211224489795879</v>
      </c>
      <c r="R89" s="36"/>
      <c r="S89" s="127">
        <v>0.24</v>
      </c>
      <c r="T89" s="127">
        <v>0.20973913043478368</v>
      </c>
      <c r="U89" s="36"/>
      <c r="V89" s="35"/>
      <c r="W89" s="38">
        <v>13.400448229492969</v>
      </c>
      <c r="X89" s="69" t="s">
        <v>69</v>
      </c>
      <c r="Y89" s="36"/>
      <c r="Z89" s="62"/>
      <c r="AA89" s="33">
        <v>269.23076923076923</v>
      </c>
      <c r="AB89" s="33">
        <v>468.50000000000006</v>
      </c>
      <c r="AC89" s="36"/>
      <c r="AD89" s="35">
        <v>64.615384615384613</v>
      </c>
      <c r="AE89" s="35">
        <v>122.87</v>
      </c>
      <c r="AF89" s="115">
        <v>1.901559523809524</v>
      </c>
      <c r="AG89" s="36"/>
      <c r="AH89" s="35">
        <v>55.705714285714258</v>
      </c>
      <c r="AI89" s="35">
        <v>1448.3485714285707</v>
      </c>
      <c r="AJ89" s="115">
        <v>0.86211224489795879</v>
      </c>
      <c r="AK89" s="36"/>
      <c r="AL89" s="108">
        <v>0.24</v>
      </c>
      <c r="AM89" s="108">
        <v>0.26226254002134469</v>
      </c>
      <c r="AN89" s="36"/>
      <c r="AO89" s="38">
        <v>20.023479188900744</v>
      </c>
      <c r="AP89" s="70">
        <v>0</v>
      </c>
    </row>
    <row r="90" spans="1:43" s="15" customFormat="1" x14ac:dyDescent="0.3">
      <c r="A90" s="26"/>
      <c r="B90" s="211"/>
      <c r="C90" s="9" t="s">
        <v>74</v>
      </c>
      <c r="D90" s="28"/>
      <c r="E90" s="27">
        <v>2151094.8000000012</v>
      </c>
      <c r="F90" s="124">
        <v>1.9519916515426508</v>
      </c>
      <c r="G90" s="26"/>
      <c r="H90" s="29">
        <v>1102000</v>
      </c>
      <c r="I90" s="29">
        <v>888991.3151364763</v>
      </c>
      <c r="J90" s="29">
        <v>842460.64999995986</v>
      </c>
      <c r="K90" s="31">
        <v>0.94765903294637566</v>
      </c>
      <c r="L90" s="39"/>
      <c r="M90" s="29">
        <v>166730</v>
      </c>
      <c r="N90" s="29">
        <v>134497.24565756822</v>
      </c>
      <c r="O90" s="27">
        <v>9188.380000000001</v>
      </c>
      <c r="P90" s="29">
        <v>126745.84849999921</v>
      </c>
      <c r="Q90" s="31">
        <v>0.942367614149481</v>
      </c>
      <c r="R90" s="39"/>
      <c r="S90" s="128">
        <v>0.15129764065335752</v>
      </c>
      <c r="T90" s="128">
        <v>0.15044720308302262</v>
      </c>
      <c r="U90" s="39"/>
      <c r="V90" s="29"/>
      <c r="W90" s="32">
        <v>5.3789727152196161</v>
      </c>
      <c r="X90" s="30" t="s">
        <v>69</v>
      </c>
      <c r="Y90" s="39"/>
      <c r="Z90" s="62"/>
      <c r="AA90" s="27">
        <v>36956.575682382128</v>
      </c>
      <c r="AB90" s="27">
        <v>41611.289999999892</v>
      </c>
      <c r="AC90" s="39"/>
      <c r="AD90" s="29">
        <v>5566.2282878411916</v>
      </c>
      <c r="AE90" s="29">
        <v>4262.2789500000017</v>
      </c>
      <c r="AF90" s="31">
        <v>0.76573915577815543</v>
      </c>
      <c r="AG90" s="39"/>
      <c r="AH90" s="29">
        <v>5242.980485904729</v>
      </c>
      <c r="AI90" s="29">
        <v>157121.56550352284</v>
      </c>
      <c r="AJ90" s="31">
        <v>0.94237129193020353</v>
      </c>
      <c r="AK90" s="39"/>
      <c r="AL90" s="80">
        <v>0.15129764065335752</v>
      </c>
      <c r="AM90" s="80">
        <v>0.10243082946959858</v>
      </c>
      <c r="AN90" s="39"/>
      <c r="AO90" s="32">
        <v>0</v>
      </c>
      <c r="AP90" s="31">
        <v>0</v>
      </c>
      <c r="AQ90" s="10"/>
    </row>
    <row r="91" spans="1:43" x14ac:dyDescent="0.3">
      <c r="B91" s="16"/>
      <c r="D91" s="34"/>
      <c r="E91" s="47"/>
      <c r="F91" s="125"/>
      <c r="G91" s="34"/>
      <c r="H91" s="48"/>
      <c r="I91" s="48"/>
      <c r="J91" s="48"/>
      <c r="K91" s="51"/>
      <c r="L91" s="34"/>
      <c r="M91" s="48"/>
      <c r="N91" s="48"/>
      <c r="O91" s="51"/>
      <c r="P91" s="48"/>
      <c r="Q91" s="47"/>
      <c r="R91" s="34"/>
      <c r="S91" s="51"/>
      <c r="T91" s="51"/>
      <c r="U91" s="34"/>
      <c r="V91" s="50"/>
      <c r="W91" s="52"/>
      <c r="X91" s="48"/>
      <c r="Y91" s="34"/>
      <c r="Z91" s="62"/>
      <c r="AA91" s="47"/>
      <c r="AB91" s="47"/>
      <c r="AC91" s="36"/>
      <c r="AD91" s="48"/>
      <c r="AE91" s="48"/>
      <c r="AF91" s="47"/>
      <c r="AG91" s="36"/>
      <c r="AH91" s="48"/>
      <c r="AI91" s="48"/>
      <c r="AJ91" s="47"/>
      <c r="AK91" s="36"/>
      <c r="AL91" s="49"/>
      <c r="AM91" s="53"/>
      <c r="AN91" s="36"/>
      <c r="AO91" s="52"/>
      <c r="AP91" s="47"/>
    </row>
    <row r="92" spans="1:43" x14ac:dyDescent="0.3">
      <c r="B92" s="210" t="s">
        <v>32</v>
      </c>
      <c r="C92" s="94" t="s">
        <v>8</v>
      </c>
      <c r="D92" s="34"/>
      <c r="E92" s="93">
        <v>4401503.5300000031</v>
      </c>
      <c r="F92" s="126">
        <v>0.82968963807728613</v>
      </c>
      <c r="G92" s="34"/>
      <c r="H92" s="93">
        <v>5305000</v>
      </c>
      <c r="I92" s="93">
        <v>4284807.692307693</v>
      </c>
      <c r="J92" s="93">
        <v>4536456.2299999762</v>
      </c>
      <c r="K92" s="112">
        <v>1.0587304158700181</v>
      </c>
      <c r="L92" s="36"/>
      <c r="M92" s="93">
        <v>530312.894377677</v>
      </c>
      <c r="N92" s="93">
        <v>428329.64545889286</v>
      </c>
      <c r="O92" s="93">
        <v>14805.979999999998</v>
      </c>
      <c r="P92" s="93">
        <v>463475.1261100003</v>
      </c>
      <c r="Q92" s="112">
        <v>1.0820524122570461</v>
      </c>
      <c r="R92" s="96"/>
      <c r="S92" s="129">
        <v>9.9964730325669562E-2</v>
      </c>
      <c r="T92" s="129">
        <v>0.10216678010580138</v>
      </c>
      <c r="U92" s="98"/>
      <c r="V92" s="99">
        <v>0</v>
      </c>
      <c r="W92" s="103">
        <v>-4.4368926687522485</v>
      </c>
      <c r="X92" s="100" t="s">
        <v>69</v>
      </c>
      <c r="Y92" s="98"/>
      <c r="Z92" s="101"/>
      <c r="AA92" s="93">
        <v>204038.46153846156</v>
      </c>
      <c r="AB92" s="93">
        <v>232951.80999999988</v>
      </c>
      <c r="AC92" s="98"/>
      <c r="AD92" s="93">
        <v>20396.649783756809</v>
      </c>
      <c r="AE92" s="93">
        <v>32117.193949999986</v>
      </c>
      <c r="AF92" s="112">
        <v>1.5746308482276836</v>
      </c>
      <c r="AG92" s="98"/>
      <c r="AH92" s="93">
        <v>22070.244100476204</v>
      </c>
      <c r="AI92" s="93">
        <v>573826.34661238128</v>
      </c>
      <c r="AJ92" s="112">
        <v>1.0820524122570456</v>
      </c>
      <c r="AK92" s="98"/>
      <c r="AL92" s="102">
        <v>9.9964730325669562E-2</v>
      </c>
      <c r="AM92" s="97">
        <v>0.13787054906334492</v>
      </c>
      <c r="AN92" s="98"/>
      <c r="AO92" s="103">
        <v>-4.5682778983344789</v>
      </c>
      <c r="AP92" s="95">
        <v>0</v>
      </c>
    </row>
    <row r="93" spans="1:43" ht="12.75" customHeight="1" x14ac:dyDescent="0.3">
      <c r="B93" s="210"/>
      <c r="C93" s="94" t="s">
        <v>9</v>
      </c>
      <c r="D93" s="34"/>
      <c r="E93" s="93">
        <v>5314692.4799999986</v>
      </c>
      <c r="F93" s="126">
        <v>0.9965671254453401</v>
      </c>
      <c r="G93" s="34"/>
      <c r="H93" s="93">
        <v>5333000</v>
      </c>
      <c r="I93" s="93">
        <v>4300806.4516129037</v>
      </c>
      <c r="J93" s="93">
        <v>4006042.8399998196</v>
      </c>
      <c r="K93" s="112">
        <v>0.93146317674850476</v>
      </c>
      <c r="L93" s="36"/>
      <c r="M93" s="93">
        <v>817629.02353412041</v>
      </c>
      <c r="N93" s="93">
        <v>659378.24478558113</v>
      </c>
      <c r="O93" s="93">
        <v>9625.06</v>
      </c>
      <c r="P93" s="93">
        <v>630147.66697000084</v>
      </c>
      <c r="Q93" s="112">
        <v>0.95566948402265595</v>
      </c>
      <c r="R93" s="96"/>
      <c r="S93" s="129">
        <v>0.15331502410165393</v>
      </c>
      <c r="T93" s="129">
        <v>0.15729928314247113</v>
      </c>
      <c r="U93" s="98"/>
      <c r="V93" s="99">
        <v>0</v>
      </c>
      <c r="W93" s="103">
        <v>3.4609374514282356</v>
      </c>
      <c r="X93" s="100" t="s">
        <v>69</v>
      </c>
      <c r="Y93" s="98"/>
      <c r="Z93" s="101"/>
      <c r="AA93" s="93">
        <v>172032.25806451609</v>
      </c>
      <c r="AB93" s="93">
        <v>130409.0199999997</v>
      </c>
      <c r="AC93" s="98"/>
      <c r="AD93" s="93">
        <v>26375.129791423242</v>
      </c>
      <c r="AE93" s="93">
        <v>18985.377099999994</v>
      </c>
      <c r="AF93" s="112">
        <v>0.71982118192926303</v>
      </c>
      <c r="AG93" s="98"/>
      <c r="AH93" s="93">
        <v>25205.906678800027</v>
      </c>
      <c r="AI93" s="93">
        <v>781383.10704280087</v>
      </c>
      <c r="AJ93" s="112">
        <v>0.95566948402265595</v>
      </c>
      <c r="AK93" s="98"/>
      <c r="AL93" s="102">
        <v>0.15331502410165393</v>
      </c>
      <c r="AM93" s="97">
        <v>0.14558331241197917</v>
      </c>
      <c r="AN93" s="98"/>
      <c r="AO93" s="103">
        <v>2.9085695912749809</v>
      </c>
      <c r="AP93" s="95">
        <v>0</v>
      </c>
    </row>
    <row r="94" spans="1:43" ht="12.75" customHeight="1" x14ac:dyDescent="0.3">
      <c r="B94" s="210"/>
      <c r="C94" s="94" t="s">
        <v>10</v>
      </c>
      <c r="D94" s="34"/>
      <c r="E94" s="93">
        <v>8338476.3900000006</v>
      </c>
      <c r="F94" s="126">
        <v>1.0134268825960138</v>
      </c>
      <c r="G94" s="34"/>
      <c r="H94" s="93">
        <v>8228000</v>
      </c>
      <c r="I94" s="93">
        <v>6635483.8709677421</v>
      </c>
      <c r="J94" s="93">
        <v>6355201.2799996063</v>
      </c>
      <c r="K94" s="112">
        <v>0.95776003733586679</v>
      </c>
      <c r="L94" s="36"/>
      <c r="M94" s="93">
        <v>1301569.1825819584</v>
      </c>
      <c r="N94" s="93">
        <v>1049652.5665983534</v>
      </c>
      <c r="O94" s="93">
        <v>27110.37</v>
      </c>
      <c r="P94" s="93">
        <v>1004685.0554199992</v>
      </c>
      <c r="Q94" s="112">
        <v>0.95715962347038119</v>
      </c>
      <c r="R94" s="96"/>
      <c r="S94" s="129">
        <v>0.15818779564681068</v>
      </c>
      <c r="T94" s="129">
        <v>0.15808862869250639</v>
      </c>
      <c r="U94" s="98"/>
      <c r="V94" s="99">
        <v>0</v>
      </c>
      <c r="W94" s="103">
        <v>2.8905239555152877</v>
      </c>
      <c r="X94" s="100" t="s">
        <v>69</v>
      </c>
      <c r="Y94" s="98"/>
      <c r="Z94" s="101"/>
      <c r="AA94" s="93">
        <v>265419.35483870964</v>
      </c>
      <c r="AB94" s="93">
        <v>218582.94999999978</v>
      </c>
      <c r="AC94" s="98"/>
      <c r="AD94" s="93">
        <v>41986.102663934129</v>
      </c>
      <c r="AE94" s="93">
        <v>32550.337629999995</v>
      </c>
      <c r="AF94" s="112">
        <v>0.77526456529056664</v>
      </c>
      <c r="AG94" s="98"/>
      <c r="AH94" s="93">
        <v>40187.402216799972</v>
      </c>
      <c r="AI94" s="93">
        <v>1245809.4687207991</v>
      </c>
      <c r="AJ94" s="112">
        <v>0.95715962347038119</v>
      </c>
      <c r="AK94" s="98"/>
      <c r="AL94" s="102">
        <v>0.15818779564681068</v>
      </c>
      <c r="AM94" s="97">
        <v>0.1489152636562002</v>
      </c>
      <c r="AN94" s="98"/>
      <c r="AO94" s="103">
        <v>3.0802849124324281</v>
      </c>
      <c r="AP94" s="95">
        <v>0</v>
      </c>
    </row>
    <row r="95" spans="1:43" ht="12.75" customHeight="1" x14ac:dyDescent="0.3">
      <c r="B95" s="210"/>
      <c r="C95" s="94" t="s">
        <v>12</v>
      </c>
      <c r="D95" s="34"/>
      <c r="E95" s="93">
        <v>545476.35</v>
      </c>
      <c r="F95" s="126">
        <v>0.16529586363636362</v>
      </c>
      <c r="G95" s="34"/>
      <c r="H95" s="93">
        <v>3300000</v>
      </c>
      <c r="I95" s="93">
        <v>2665384.615384615</v>
      </c>
      <c r="J95" s="93">
        <v>2939613.799999997</v>
      </c>
      <c r="K95" s="112">
        <v>1.1028854083694073</v>
      </c>
      <c r="L95" s="36"/>
      <c r="M95" s="93">
        <v>555198.5430327655</v>
      </c>
      <c r="N95" s="93">
        <v>448429.59244954132</v>
      </c>
      <c r="O95" s="93">
        <v>38842.28</v>
      </c>
      <c r="P95" s="93">
        <v>360278.37999999977</v>
      </c>
      <c r="Q95" s="112">
        <v>0.80342240134506604</v>
      </c>
      <c r="R95" s="96"/>
      <c r="S95" s="129">
        <v>0.16824198273720167</v>
      </c>
      <c r="T95" s="129">
        <v>0.12255976618425186</v>
      </c>
      <c r="U95" s="98"/>
      <c r="V95" s="99">
        <v>0</v>
      </c>
      <c r="W95" s="103">
        <v>-5.0331734052957309</v>
      </c>
      <c r="X95" s="100" t="s">
        <v>69</v>
      </c>
      <c r="Y95" s="98"/>
      <c r="Z95" s="101"/>
      <c r="AA95" s="93">
        <v>126923.07692307692</v>
      </c>
      <c r="AB95" s="93">
        <v>91578.02</v>
      </c>
      <c r="AC95" s="98"/>
      <c r="AD95" s="93">
        <v>21353.790116644828</v>
      </c>
      <c r="AE95" s="93">
        <v>13027.260000000002</v>
      </c>
      <c r="AF95" s="112">
        <v>0.61006781132711085</v>
      </c>
      <c r="AG95" s="98"/>
      <c r="AH95" s="93">
        <v>17156.113333333324</v>
      </c>
      <c r="AI95" s="93">
        <v>446058.94666666654</v>
      </c>
      <c r="AJ95" s="112">
        <v>0.80342240134506626</v>
      </c>
      <c r="AK95" s="98"/>
      <c r="AL95" s="102">
        <v>0.16824198273720167</v>
      </c>
      <c r="AM95" s="97">
        <v>0.1422531301725021</v>
      </c>
      <c r="AN95" s="98"/>
      <c r="AO95" s="103">
        <v>-2.2513917640935999</v>
      </c>
      <c r="AP95" s="95">
        <v>0</v>
      </c>
    </row>
    <row r="96" spans="1:43" ht="4.25" customHeight="1" x14ac:dyDescent="0.3">
      <c r="B96" s="210"/>
      <c r="D96" s="34"/>
      <c r="E96" s="47"/>
      <c r="F96" s="125"/>
      <c r="G96" s="34"/>
      <c r="H96" s="47"/>
      <c r="I96" s="47"/>
      <c r="J96" s="48"/>
      <c r="K96" s="51"/>
      <c r="L96" s="34"/>
      <c r="M96" s="47"/>
      <c r="N96" s="48"/>
      <c r="O96" s="51"/>
      <c r="P96" s="48"/>
      <c r="Q96" s="47"/>
      <c r="R96" s="34"/>
      <c r="S96" s="51"/>
      <c r="T96" s="51"/>
      <c r="U96" s="34"/>
      <c r="V96" s="50"/>
      <c r="W96" s="52"/>
      <c r="X96" s="48"/>
      <c r="Y96" s="34"/>
      <c r="Z96" s="62"/>
      <c r="AA96" s="47"/>
      <c r="AB96" s="47"/>
      <c r="AC96" s="36"/>
      <c r="AD96" s="48"/>
      <c r="AE96" s="48"/>
      <c r="AF96" s="47"/>
      <c r="AG96" s="36"/>
      <c r="AH96" s="48"/>
      <c r="AI96" s="48"/>
      <c r="AJ96" s="47"/>
      <c r="AK96" s="36"/>
      <c r="AL96" s="49"/>
      <c r="AM96" s="53"/>
      <c r="AN96" s="36"/>
      <c r="AO96" s="52"/>
      <c r="AP96" s="47"/>
    </row>
    <row r="97" spans="1:43" s="15" customFormat="1" ht="14.25" customHeight="1" x14ac:dyDescent="0.3">
      <c r="A97" s="26"/>
      <c r="B97" s="210"/>
      <c r="C97" s="94" t="s">
        <v>7</v>
      </c>
      <c r="D97" s="28"/>
      <c r="E97" s="93">
        <v>18600148.750000004</v>
      </c>
      <c r="F97" s="126">
        <v>0.8391296918704324</v>
      </c>
      <c r="G97" s="28"/>
      <c r="H97" s="93">
        <v>22166000</v>
      </c>
      <c r="I97" s="93">
        <v>17886482.630272955</v>
      </c>
      <c r="J97" s="93">
        <v>17837314.149999399</v>
      </c>
      <c r="K97" s="44">
        <v>0.99725108165255827</v>
      </c>
      <c r="L97" s="39"/>
      <c r="M97" s="93">
        <v>3204709.643526521</v>
      </c>
      <c r="N97" s="93">
        <v>2585790.0492923688</v>
      </c>
      <c r="O97" s="93">
        <v>90383.69</v>
      </c>
      <c r="P97" s="93">
        <v>2458586.2285000002</v>
      </c>
      <c r="Q97" s="44">
        <v>0.95080659358744946</v>
      </c>
      <c r="R97" s="39"/>
      <c r="S97" s="129">
        <v>0.14457771557910859</v>
      </c>
      <c r="T97" s="129">
        <v>0.13783388058454321</v>
      </c>
      <c r="U97" s="45"/>
      <c r="V97" s="43">
        <v>0</v>
      </c>
      <c r="W97" s="46">
        <v>-0.1507418733252037</v>
      </c>
      <c r="X97" s="81" t="s">
        <v>69</v>
      </c>
      <c r="Y97" s="45"/>
      <c r="Z97" s="62"/>
      <c r="AA97" s="93">
        <v>768413.15136476408</v>
      </c>
      <c r="AB97" s="93">
        <v>673521.79999999935</v>
      </c>
      <c r="AC97" s="98"/>
      <c r="AD97" s="93">
        <v>110111.672355759</v>
      </c>
      <c r="AE97" s="93">
        <v>96680.168679999973</v>
      </c>
      <c r="AF97" s="112">
        <v>0.87801925637489842</v>
      </c>
      <c r="AG97" s="98"/>
      <c r="AH97" s="93">
        <v>104619.66632940953</v>
      </c>
      <c r="AI97" s="93">
        <v>3047077.869042648</v>
      </c>
      <c r="AJ97" s="112">
        <v>0.95081246290056654</v>
      </c>
      <c r="AK97" s="98"/>
      <c r="AL97" s="102">
        <v>0.14457771557910859</v>
      </c>
      <c r="AM97" s="97">
        <v>0.14354423075838091</v>
      </c>
      <c r="AN97" s="98"/>
      <c r="AO97" s="103">
        <v>-0.32332306393062621</v>
      </c>
      <c r="AP97" s="42">
        <v>0</v>
      </c>
      <c r="AQ97" s="10"/>
    </row>
    <row r="98" spans="1:43" ht="14.5" x14ac:dyDescent="0.35">
      <c r="D98" s="55"/>
      <c r="E98" s="54"/>
      <c r="F98" s="118"/>
      <c r="G98" s="55"/>
      <c r="H98" s="56"/>
      <c r="I98" s="48"/>
      <c r="J98" s="56"/>
      <c r="K98" s="51"/>
      <c r="L98" s="34"/>
      <c r="M98" s="56"/>
      <c r="N98" s="48"/>
      <c r="O98" s="48"/>
      <c r="P98" s="48"/>
      <c r="Q98" s="47"/>
      <c r="R98" s="34"/>
      <c r="S98" s="49"/>
      <c r="T98" s="49"/>
      <c r="U98" s="34"/>
      <c r="V98" s="50"/>
      <c r="W98" s="50"/>
      <c r="X98" s="48"/>
      <c r="Y98" s="34"/>
      <c r="Z98" s="63"/>
      <c r="AA98" s="47"/>
      <c r="AB98" s="47"/>
      <c r="AC98" s="36"/>
      <c r="AD98" s="48"/>
      <c r="AE98" s="48"/>
      <c r="AF98" s="47"/>
      <c r="AG98" s="36"/>
      <c r="AH98" s="48"/>
      <c r="AI98" s="48"/>
      <c r="AJ98" s="47"/>
      <c r="AK98" s="36"/>
      <c r="AL98" s="49"/>
      <c r="AM98" s="53"/>
      <c r="AN98" s="36"/>
      <c r="AO98" s="52"/>
      <c r="AP98" s="47"/>
    </row>
    <row r="99" spans="1:43" ht="14.5" x14ac:dyDescent="0.35">
      <c r="D99" s="55"/>
      <c r="E99" s="54"/>
      <c r="F99" s="118"/>
      <c r="G99" s="55"/>
      <c r="H99" s="48"/>
      <c r="I99" s="56"/>
      <c r="J99" s="56"/>
      <c r="K99" s="51"/>
      <c r="L99" s="34"/>
      <c r="M99" s="56"/>
      <c r="N99" s="56"/>
      <c r="O99" s="56"/>
      <c r="P99" s="56"/>
      <c r="Q99" s="47"/>
      <c r="R99" s="34"/>
      <c r="S99" s="49"/>
      <c r="T99" s="49"/>
      <c r="U99" s="34"/>
      <c r="V99" s="50"/>
      <c r="W99" s="50"/>
      <c r="X99" s="48"/>
      <c r="Y99" s="34"/>
      <c r="Z99" s="63"/>
      <c r="AA99" s="59"/>
      <c r="AB99" s="59"/>
      <c r="AC99" s="36"/>
      <c r="AD99" s="56"/>
      <c r="AE99" s="56"/>
      <c r="AF99" s="47"/>
      <c r="AG99" s="36"/>
      <c r="AH99" s="56"/>
      <c r="AI99" s="56"/>
      <c r="AJ99" s="59"/>
      <c r="AK99" s="36"/>
      <c r="AL99" s="49"/>
      <c r="AM99" s="53"/>
      <c r="AN99" s="36"/>
      <c r="AO99" s="52"/>
      <c r="AP99" s="47"/>
    </row>
    <row r="100" spans="1:43" ht="14.5" x14ac:dyDescent="0.35">
      <c r="D100" s="55"/>
      <c r="E100" s="54"/>
      <c r="F100" s="118"/>
      <c r="G100" s="55"/>
      <c r="H100" s="48"/>
      <c r="I100" s="56"/>
      <c r="J100" s="56"/>
      <c r="K100" s="51"/>
      <c r="L100" s="34"/>
      <c r="M100" s="56"/>
      <c r="N100" s="56"/>
      <c r="O100" s="56"/>
      <c r="P100" s="56"/>
      <c r="Q100" s="47"/>
      <c r="R100" s="34"/>
      <c r="S100" s="49"/>
      <c r="T100" s="49"/>
      <c r="U100" s="34"/>
      <c r="V100" s="50"/>
      <c r="W100" s="50"/>
      <c r="X100" s="48"/>
      <c r="Y100" s="34"/>
      <c r="Z100" s="63"/>
      <c r="AA100" s="59"/>
      <c r="AB100" s="59"/>
      <c r="AC100" s="36"/>
      <c r="AD100" s="56"/>
      <c r="AE100" s="56"/>
      <c r="AF100" s="47"/>
      <c r="AG100" s="36"/>
      <c r="AH100" s="56"/>
      <c r="AI100" s="56"/>
      <c r="AJ100" s="59"/>
      <c r="AK100" s="36"/>
      <c r="AL100" s="49"/>
      <c r="AM100" s="53"/>
      <c r="AN100" s="36"/>
      <c r="AO100" s="52"/>
      <c r="AP100" s="47"/>
    </row>
    <row r="101" spans="1:43" ht="14.5" x14ac:dyDescent="0.35">
      <c r="D101" s="55"/>
      <c r="E101" s="54"/>
      <c r="F101" s="118"/>
      <c r="G101" s="55"/>
      <c r="H101" s="48"/>
      <c r="I101" s="48"/>
      <c r="J101" s="56"/>
      <c r="K101" s="51"/>
      <c r="L101" s="34"/>
      <c r="M101" s="56"/>
      <c r="N101" s="56"/>
      <c r="O101" s="56"/>
      <c r="P101" s="56"/>
      <c r="Q101" s="47"/>
      <c r="R101" s="34"/>
      <c r="S101" s="49"/>
      <c r="T101" s="49"/>
      <c r="U101" s="34"/>
      <c r="V101" s="50"/>
      <c r="W101" s="50"/>
      <c r="X101" s="48"/>
      <c r="Y101" s="34"/>
      <c r="Z101" s="63"/>
      <c r="AA101" s="59"/>
      <c r="AB101" s="59"/>
      <c r="AC101" s="36"/>
      <c r="AD101" s="56"/>
      <c r="AE101" s="56"/>
      <c r="AF101" s="47"/>
      <c r="AG101" s="36"/>
      <c r="AH101" s="56"/>
      <c r="AI101" s="56"/>
      <c r="AJ101" s="59"/>
      <c r="AK101" s="36"/>
      <c r="AL101" s="49"/>
      <c r="AM101" s="53"/>
      <c r="AN101" s="36"/>
      <c r="AO101" s="52"/>
      <c r="AP101" s="47"/>
    </row>
    <row r="102" spans="1:43" ht="14.5" x14ac:dyDescent="0.35">
      <c r="D102" s="55"/>
      <c r="E102" s="54"/>
      <c r="F102" s="118"/>
      <c r="G102" s="55"/>
      <c r="H102" s="48"/>
      <c r="I102" s="48"/>
      <c r="J102" s="56"/>
      <c r="K102" s="51"/>
      <c r="L102" s="34"/>
      <c r="M102" s="56"/>
      <c r="N102" s="56"/>
      <c r="O102" s="56"/>
      <c r="P102" s="56"/>
      <c r="Q102" s="47"/>
      <c r="R102" s="34"/>
      <c r="S102" s="49"/>
      <c r="T102" s="49"/>
      <c r="U102" s="34"/>
      <c r="V102" s="50"/>
      <c r="W102" s="50"/>
      <c r="X102" s="48"/>
      <c r="Y102" s="34"/>
      <c r="Z102" s="63"/>
      <c r="AA102" s="59"/>
      <c r="AB102" s="59"/>
      <c r="AC102" s="36"/>
      <c r="AD102" s="56"/>
      <c r="AE102" s="56"/>
      <c r="AF102" s="47"/>
      <c r="AG102" s="36"/>
      <c r="AH102" s="56"/>
      <c r="AI102" s="56"/>
      <c r="AJ102" s="59"/>
      <c r="AK102" s="36"/>
      <c r="AL102" s="49"/>
      <c r="AM102" s="53"/>
      <c r="AN102" s="36"/>
      <c r="AO102" s="52"/>
      <c r="AP102" s="47"/>
    </row>
    <row r="103" spans="1:43" ht="14.5" x14ac:dyDescent="0.35">
      <c r="D103" s="55"/>
      <c r="E103" s="54"/>
      <c r="F103" s="118"/>
      <c r="G103" s="55"/>
      <c r="H103" s="48"/>
      <c r="I103" s="48"/>
      <c r="J103" s="56"/>
      <c r="K103" s="51"/>
      <c r="L103" s="34"/>
      <c r="M103" s="56"/>
      <c r="N103" s="56"/>
      <c r="O103" s="56"/>
      <c r="P103" s="56"/>
      <c r="Q103" s="47"/>
      <c r="R103" s="34"/>
      <c r="S103" s="49"/>
      <c r="T103" s="49"/>
      <c r="U103" s="34"/>
      <c r="V103" s="50"/>
      <c r="W103" s="50"/>
      <c r="X103" s="48"/>
      <c r="Y103" s="34"/>
      <c r="Z103" s="63"/>
      <c r="AA103" s="59"/>
      <c r="AB103" s="59"/>
      <c r="AC103" s="36"/>
      <c r="AD103" s="56"/>
      <c r="AE103" s="56"/>
      <c r="AF103" s="47"/>
      <c r="AG103" s="36"/>
      <c r="AH103" s="56"/>
      <c r="AI103" s="56"/>
      <c r="AJ103" s="59"/>
      <c r="AK103" s="36"/>
      <c r="AL103" s="49"/>
      <c r="AM103" s="53"/>
      <c r="AN103" s="36"/>
      <c r="AO103" s="52"/>
      <c r="AP103" s="47"/>
    </row>
    <row r="104" spans="1:43" ht="14.5" x14ac:dyDescent="0.35">
      <c r="D104" s="55"/>
      <c r="E104" s="54"/>
      <c r="F104" s="118"/>
      <c r="G104" s="55"/>
      <c r="H104" s="48"/>
      <c r="I104" s="48"/>
      <c r="J104" s="56"/>
      <c r="K104" s="51"/>
      <c r="L104" s="34"/>
      <c r="M104" s="56"/>
      <c r="N104" s="56"/>
      <c r="O104" s="56"/>
      <c r="P104" s="56"/>
      <c r="Q104" s="47"/>
      <c r="R104" s="34"/>
      <c r="S104" s="49"/>
      <c r="T104" s="49"/>
      <c r="U104" s="34"/>
      <c r="V104" s="50"/>
      <c r="W104" s="50"/>
      <c r="X104" s="48"/>
      <c r="Y104" s="34"/>
      <c r="Z104" s="63"/>
      <c r="AA104" s="59"/>
      <c r="AB104" s="59"/>
      <c r="AC104" s="36"/>
      <c r="AD104" s="56"/>
      <c r="AE104" s="56"/>
      <c r="AF104" s="47"/>
      <c r="AG104" s="36"/>
      <c r="AH104" s="56"/>
      <c r="AI104" s="56"/>
      <c r="AJ104" s="59"/>
      <c r="AK104" s="36"/>
      <c r="AL104" s="49"/>
      <c r="AM104" s="53"/>
      <c r="AN104" s="36"/>
      <c r="AO104" s="52"/>
      <c r="AP104" s="47"/>
    </row>
    <row r="105" spans="1:43" ht="14.5" x14ac:dyDescent="0.35">
      <c r="D105" s="55"/>
      <c r="E105" s="54"/>
      <c r="F105" s="118"/>
      <c r="G105" s="55"/>
      <c r="H105" s="48"/>
      <c r="I105" s="48"/>
      <c r="J105" s="56"/>
      <c r="K105" s="51"/>
      <c r="L105" s="34"/>
      <c r="M105" s="56"/>
      <c r="N105" s="56"/>
      <c r="O105" s="56"/>
      <c r="P105" s="56"/>
      <c r="Q105" s="47"/>
      <c r="R105" s="34"/>
      <c r="S105" s="49"/>
      <c r="T105" s="49"/>
      <c r="U105" s="34"/>
      <c r="V105" s="50"/>
      <c r="W105" s="50"/>
      <c r="X105" s="48"/>
      <c r="Y105" s="34"/>
      <c r="Z105" s="63"/>
      <c r="AA105" s="59"/>
      <c r="AB105" s="59"/>
      <c r="AC105" s="36"/>
      <c r="AD105" s="56"/>
      <c r="AE105" s="56"/>
      <c r="AF105" s="47"/>
      <c r="AG105" s="36"/>
      <c r="AH105" s="56"/>
      <c r="AI105" s="56"/>
      <c r="AJ105" s="59"/>
      <c r="AK105" s="36"/>
      <c r="AL105" s="49"/>
      <c r="AM105" s="53"/>
      <c r="AN105" s="36"/>
      <c r="AO105" s="52"/>
      <c r="AP105" s="47"/>
    </row>
    <row r="106" spans="1:43" ht="14.5" x14ac:dyDescent="0.35">
      <c r="D106" s="55"/>
      <c r="E106" s="54"/>
      <c r="F106" s="118"/>
      <c r="G106" s="55"/>
      <c r="H106" s="48"/>
      <c r="I106" s="48"/>
      <c r="J106" s="56"/>
      <c r="K106" s="51"/>
      <c r="L106" s="34"/>
      <c r="M106" s="56"/>
      <c r="N106" s="56"/>
      <c r="O106" s="56"/>
      <c r="P106" s="56"/>
      <c r="Q106" s="47"/>
      <c r="R106" s="34"/>
      <c r="S106" s="49"/>
      <c r="T106" s="49"/>
      <c r="U106" s="34"/>
      <c r="V106" s="50"/>
      <c r="W106" s="50"/>
      <c r="X106" s="48"/>
      <c r="Y106" s="34"/>
      <c r="Z106" s="63"/>
      <c r="AA106" s="59"/>
      <c r="AB106" s="59"/>
      <c r="AC106" s="36"/>
      <c r="AD106" s="56"/>
      <c r="AE106" s="56"/>
      <c r="AF106" s="47"/>
      <c r="AG106" s="36"/>
      <c r="AH106" s="56"/>
      <c r="AI106" s="56"/>
      <c r="AJ106" s="59"/>
      <c r="AK106" s="36"/>
      <c r="AL106" s="49"/>
      <c r="AM106" s="53"/>
      <c r="AN106" s="36"/>
      <c r="AO106" s="52"/>
      <c r="AP106" s="47"/>
    </row>
  </sheetData>
  <mergeCells count="29">
    <mergeCell ref="B8:B12"/>
    <mergeCell ref="B14:B18"/>
    <mergeCell ref="M5:Q5"/>
    <mergeCell ref="V5:X5"/>
    <mergeCell ref="B1:C5"/>
    <mergeCell ref="E5:F5"/>
    <mergeCell ref="H5:K5"/>
    <mergeCell ref="S5:T5"/>
    <mergeCell ref="E2:AP2"/>
    <mergeCell ref="H4:X4"/>
    <mergeCell ref="AL5:AM5"/>
    <mergeCell ref="AO5:AP5"/>
    <mergeCell ref="AA5:AB5"/>
    <mergeCell ref="AA4:AP4"/>
    <mergeCell ref="AD5:AJ5"/>
    <mergeCell ref="E3:F4"/>
    <mergeCell ref="B92:B97"/>
    <mergeCell ref="B20:B24"/>
    <mergeCell ref="B26:B30"/>
    <mergeCell ref="B32:B36"/>
    <mergeCell ref="B38:B42"/>
    <mergeCell ref="B44:B48"/>
    <mergeCell ref="B50:B54"/>
    <mergeCell ref="B56:B60"/>
    <mergeCell ref="B62:B66"/>
    <mergeCell ref="B68:B72"/>
    <mergeCell ref="B80:B84"/>
    <mergeCell ref="B86:B90"/>
    <mergeCell ref="B74:B78"/>
  </mergeCells>
  <conditionalFormatting sqref="E98:E106">
    <cfRule type="cellIs" dxfId="134" priority="41" operator="greaterThanOrEqual">
      <formula>0.91</formula>
    </cfRule>
    <cfRule type="cellIs" dxfId="133" priority="42" operator="between">
      <formula>0.71</formula>
      <formula>0.9</formula>
    </cfRule>
    <cfRule type="cellIs" dxfId="132" priority="43" operator="between">
      <formula>0.1</formula>
      <formula>0.79</formula>
    </cfRule>
  </conditionalFormatting>
  <conditionalFormatting sqref="F7">
    <cfRule type="cellIs" dxfId="131" priority="1191" operator="greaterThanOrEqual">
      <formula>0.91</formula>
    </cfRule>
    <cfRule type="cellIs" dxfId="130" priority="1192" operator="between">
      <formula>0.71</formula>
      <formula>0.9</formula>
    </cfRule>
    <cfRule type="cellIs" dxfId="129" priority="1193" operator="between">
      <formula>0.1</formula>
      <formula>0.79</formula>
    </cfRule>
  </conditionalFormatting>
  <conditionalFormatting sqref="F8:F12 F14:F18 F20:F24 F26:F30 F32:F36 F38:F42 F44:F48 F50:F54 F56:F60 F62:F66 F68:F72 F74:F78 F80:F84 F86:F90 F92:F95 F97">
    <cfRule type="cellIs" dxfId="128" priority="1175" operator="greaterThanOrEqual">
      <formula>0.9</formula>
    </cfRule>
    <cfRule type="cellIs" dxfId="127" priority="1176" operator="between">
      <formula>0.79</formula>
      <formula>0.9</formula>
    </cfRule>
    <cfRule type="cellIs" dxfId="126" priority="1177" operator="between">
      <formula>0.0001</formula>
      <formula>0.79</formula>
    </cfRule>
  </conditionalFormatting>
  <conditionalFormatting sqref="F13 F19 F25 F31 F37 F43 F49 F55 F61 F67 F79 F91 F98:F1048576">
    <cfRule type="cellIs" dxfId="125" priority="1198" operator="greaterThanOrEqual">
      <formula>0.91</formula>
    </cfRule>
    <cfRule type="cellIs" dxfId="124" priority="1199" operator="between">
      <formula>0.71</formula>
      <formula>0.9</formula>
    </cfRule>
    <cfRule type="cellIs" dxfId="123" priority="1200" operator="between">
      <formula>0.1</formula>
      <formula>0.79</formula>
    </cfRule>
  </conditionalFormatting>
  <conditionalFormatting sqref="F73">
    <cfRule type="cellIs" dxfId="122" priority="11" operator="greaterThanOrEqual">
      <formula>0.91</formula>
    </cfRule>
    <cfRule type="cellIs" dxfId="121" priority="12" operator="between">
      <formula>0.71</formula>
      <formula>0.9</formula>
    </cfRule>
    <cfRule type="cellIs" dxfId="120" priority="13" operator="between">
      <formula>0.1</formula>
      <formula>0.79</formula>
    </cfRule>
  </conditionalFormatting>
  <conditionalFormatting sqref="F85">
    <cfRule type="cellIs" dxfId="119" priority="221" operator="greaterThanOrEqual">
      <formula>0.91</formula>
    </cfRule>
    <cfRule type="cellIs" dxfId="118" priority="222" operator="between">
      <formula>0.71</formula>
      <formula>0.9</formula>
    </cfRule>
    <cfRule type="cellIs" dxfId="117" priority="223" operator="between">
      <formula>0.1</formula>
      <formula>0.79</formula>
    </cfRule>
  </conditionalFormatting>
  <conditionalFormatting sqref="F96">
    <cfRule type="cellIs" dxfId="116" priority="90" operator="greaterThanOrEqual">
      <formula>0.91</formula>
    </cfRule>
    <cfRule type="cellIs" dxfId="115" priority="91" operator="between">
      <formula>0.71</formula>
      <formula>0.9</formula>
    </cfRule>
    <cfRule type="cellIs" dxfId="114" priority="92" operator="between">
      <formula>0.1</formula>
      <formula>0.79</formula>
    </cfRule>
  </conditionalFormatting>
  <conditionalFormatting sqref="K7">
    <cfRule type="cellIs" dxfId="113" priority="1194" operator="greaterThanOrEqual">
      <formula>1</formula>
    </cfRule>
    <cfRule type="cellIs" dxfId="112" priority="1195" operator="between">
      <formula>0.9001</formula>
      <formula>0.9999</formula>
    </cfRule>
    <cfRule type="cellIs" dxfId="111" priority="1196" operator="lessThan">
      <formula>0.9</formula>
    </cfRule>
  </conditionalFormatting>
  <conditionalFormatting sqref="K8:K12 K14:K18 K20:K24 K26:K30 K32:K36 K38:K42 K44:K48 K50:K54 K56:K60 K62:K66 K68:K72 K74:K78 K80:K84 K86:K90">
    <cfRule type="cellIs" dxfId="110" priority="1189" operator="between">
      <formula>0.86</formula>
      <formula>0.9999</formula>
    </cfRule>
    <cfRule type="cellIs" dxfId="109" priority="1190" operator="greaterThanOrEqual">
      <formula>1</formula>
    </cfRule>
    <cfRule type="cellIs" dxfId="108" priority="1197" operator="lessThanOrEqual">
      <formula>0.86</formula>
    </cfRule>
  </conditionalFormatting>
  <conditionalFormatting sqref="K13 K19 K25 K31 K37 K43 K49 K55 K61 K67 K79 K91 K98:K1048576">
    <cfRule type="cellIs" dxfId="107" priority="1201" operator="greaterThanOrEqual">
      <formula>1</formula>
    </cfRule>
    <cfRule type="cellIs" dxfId="106" priority="1202" operator="between">
      <formula>0.9001</formula>
      <formula>0.9999</formula>
    </cfRule>
    <cfRule type="cellIs" dxfId="105" priority="1203" operator="lessThan">
      <formula>0.9</formula>
    </cfRule>
  </conditionalFormatting>
  <conditionalFormatting sqref="K73">
    <cfRule type="cellIs" dxfId="104" priority="14" operator="greaterThanOrEqual">
      <formula>1</formula>
    </cfRule>
    <cfRule type="cellIs" dxfId="103" priority="15" operator="between">
      <formula>0.9001</formula>
      <formula>0.9999</formula>
    </cfRule>
    <cfRule type="cellIs" dxfId="102" priority="16" operator="lessThan">
      <formula>0.9</formula>
    </cfRule>
  </conditionalFormatting>
  <conditionalFormatting sqref="K85">
    <cfRule type="cellIs" dxfId="101" priority="224" operator="greaterThanOrEqual">
      <formula>1</formula>
    </cfRule>
    <cfRule type="cellIs" dxfId="100" priority="225" operator="between">
      <formula>0.9001</formula>
      <formula>0.9999</formula>
    </cfRule>
    <cfRule type="cellIs" dxfId="99" priority="226" operator="lessThan">
      <formula>0.9</formula>
    </cfRule>
  </conditionalFormatting>
  <conditionalFormatting sqref="K92:K95 K97 X92:X95 X97">
    <cfRule type="cellIs" dxfId="98" priority="787" operator="lessThanOrEqual">
      <formula>0.86</formula>
    </cfRule>
  </conditionalFormatting>
  <conditionalFormatting sqref="K92:K95 K97">
    <cfRule type="cellIs" dxfId="97" priority="786" operator="between">
      <formula>0.86</formula>
      <formula>0.9999</formula>
    </cfRule>
  </conditionalFormatting>
  <conditionalFormatting sqref="K92:K95 X92:X95 K97 X97">
    <cfRule type="cellIs" dxfId="96" priority="784" operator="greaterThanOrEqual">
      <formula>1</formula>
    </cfRule>
  </conditionalFormatting>
  <conditionalFormatting sqref="K96">
    <cfRule type="cellIs" dxfId="95" priority="93" operator="greaterThanOrEqual">
      <formula>1</formula>
    </cfRule>
    <cfRule type="cellIs" dxfId="94" priority="94" operator="between">
      <formula>0.9001</formula>
      <formula>0.9999</formula>
    </cfRule>
    <cfRule type="cellIs" dxfId="93" priority="95" operator="lessThan">
      <formula>0.9</formula>
    </cfRule>
  </conditionalFormatting>
  <conditionalFormatting sqref="Q8:Q12 X8:X12 AF8:AF12 AJ8:AJ12 AP8:AP12 Q14:Q18 X14:X18 AF14:AF18 AJ14:AJ18 AP14:AP18 Q20:Q24 X20:X24 AF20:AF24 AJ20:AJ24 AP20:AP24 Q26:Q30 X26:X30 AF26:AF30 AJ26:AJ30 AP26:AP30 Q32:Q36 X32:X36 AF32:AF36 AJ32:AJ36 AP32:AP36 Q38:Q42 X38:X42 AF38:AF42 AJ38:AJ42 AP38:AP42 Q44:Q48 X44:X48 AF44:AF48 AJ44:AJ48 AP44:AP48 Q50:Q54 X50:X54 AF50:AF54 AJ50:AJ54 AP50:AP54 Q56:Q60 X56:X60 AF56:AF60 AJ56:AJ60 AP56:AP60 Q62:Q66 X62:X66 AF62:AF66 AJ62:AJ66 AP62:AP66 Q68:Q72 X68:X72 AF68:AF72 AJ68:AJ72 AP68:AP72 Q74:Q78 X74:X78 AF74:AF78 AJ74:AJ78 AP74:AP78 Q80:Q84 X80:X84 AF80:AF84 AJ80:AJ84 AP80:AP84 Q86:Q90 X86:X90 AF86:AF90 AJ86:AJ90 AP86:AP90 Q92:Q95 AF92:AF95 AJ92:AJ95 AP92:AP95 Q97 AF97 AJ97 AP97">
    <cfRule type="cellIs" dxfId="92" priority="1068" operator="greaterThanOrEqual">
      <formula>1</formula>
    </cfRule>
    <cfRule type="cellIs" dxfId="91" priority="1073" operator="between">
      <formula>0.86</formula>
      <formula>0.9999</formula>
    </cfRule>
  </conditionalFormatting>
  <conditionalFormatting sqref="S7:T7">
    <cfRule type="cellIs" dxfId="90" priority="1069" operator="greaterThanOrEqual">
      <formula>1</formula>
    </cfRule>
    <cfRule type="cellIs" dxfId="89" priority="1070" operator="between">
      <formula>0.9001</formula>
      <formula>0.9999</formula>
    </cfRule>
    <cfRule type="cellIs" dxfId="88" priority="1071" operator="lessThan">
      <formula>0.9</formula>
    </cfRule>
  </conditionalFormatting>
  <conditionalFormatting sqref="S13:T13 S19:T19 S25:T25 S31:T31 S37:T37 S43:T43 S49:T49 S55:T55 S61:T61 S67:T67 S79:T79 S91:T91 S98:T1048576">
    <cfRule type="cellIs" dxfId="87" priority="1074" operator="greaterThanOrEqual">
      <formula>1</formula>
    </cfRule>
    <cfRule type="cellIs" dxfId="86" priority="1075" operator="between">
      <formula>0.9001</formula>
      <formula>0.9999</formula>
    </cfRule>
    <cfRule type="cellIs" dxfId="85" priority="1076" operator="lessThan">
      <formula>0.9</formula>
    </cfRule>
  </conditionalFormatting>
  <conditionalFormatting sqref="S73:T73">
    <cfRule type="cellIs" dxfId="84" priority="8" operator="greaterThanOrEqual">
      <formula>1</formula>
    </cfRule>
    <cfRule type="cellIs" dxfId="83" priority="9" operator="between">
      <formula>0.9001</formula>
      <formula>0.9999</formula>
    </cfRule>
    <cfRule type="cellIs" dxfId="82" priority="10" operator="lessThan">
      <formula>0.9</formula>
    </cfRule>
  </conditionalFormatting>
  <conditionalFormatting sqref="S85:T85">
    <cfRule type="cellIs" dxfId="81" priority="218" operator="greaterThanOrEqual">
      <formula>1</formula>
    </cfRule>
    <cfRule type="cellIs" dxfId="80" priority="219" operator="between">
      <formula>0.9001</formula>
      <formula>0.9999</formula>
    </cfRule>
    <cfRule type="cellIs" dxfId="79" priority="220" operator="lessThan">
      <formula>0.9</formula>
    </cfRule>
  </conditionalFormatting>
  <conditionalFormatting sqref="S96:T96">
    <cfRule type="cellIs" dxfId="78" priority="87" operator="greaterThanOrEqual">
      <formula>1</formula>
    </cfRule>
    <cfRule type="cellIs" dxfId="77" priority="88" operator="between">
      <formula>0.9001</formula>
      <formula>0.9999</formula>
    </cfRule>
    <cfRule type="cellIs" dxfId="76" priority="89" operator="lessThan">
      <formula>0.9</formula>
    </cfRule>
  </conditionalFormatting>
  <conditionalFormatting sqref="X8:X12 AP92:AP95 AP97 X80:X84 X86:X90 AP8:AP12 AP80:AP84 AP86:AP90 X14:X18 AP14:AP18 X26:X30 AP26:AP30 X32:X36 AP32:AP36 X38:X42 AP38:AP42 X44:X48 AP44:AP48 X56:X60 AP56:AP60 X68:X72 AP68:AP72 X20:X24 AP20:AP24 X50:X54 AP50:AP54 X62:X66 AP62:AP66 X74:X78 AP74:AP78 Q8:Q12 AF8:AF12 AJ8:AJ12 Q14:Q18 AF14:AF18 AJ14:AJ18 Q20:Q24 AF20:AF24 AJ20:AJ24 Q26:Q30 AF26:AF30 AJ26:AJ30 Q32:Q36 AF32:AF36 AJ32:AJ36 Q38:Q42 AF38:AF42 AJ38:AJ42 Q44:Q48 AF44:AF48 AJ44:AJ48 Q50:Q54 AF50:AF54 AJ50:AJ54 Q56:Q60 AF56:AF60 AJ56:AJ60 Q62:Q66 AF62:AF66 AJ62:AJ66 Q68:Q72 AF68:AF72 AJ68:AJ72 Q74:Q78 AF74:AF78 AJ74:AJ78 Q80:Q84 AF80:AF84 AJ80:AJ84 Q86:Q90 AF86:AF90 AJ86:AJ90 Q92:Q95 AF92:AF95 AJ92:AJ95 Q97 AF97 AJ97">
    <cfRule type="cellIs" dxfId="75" priority="1072" operator="lessThanOrEqual">
      <formula>0.86</formula>
    </cfRule>
  </conditionalFormatting>
  <conditionalFormatting sqref="X8:X12">
    <cfRule type="cellIs" dxfId="74" priority="453" operator="lessThanOrEqual">
      <formula>0.85</formula>
    </cfRule>
    <cfRule type="cellIs" dxfId="73" priority="454" operator="between">
      <formula>0.86</formula>
      <formula>0.9999</formula>
    </cfRule>
  </conditionalFormatting>
  <conditionalFormatting sqref="X14:X18">
    <cfRule type="cellIs" dxfId="72" priority="82" operator="lessThanOrEqual">
      <formula>0.85</formula>
    </cfRule>
    <cfRule type="cellIs" dxfId="71" priority="83" operator="between">
      <formula>0.86</formula>
      <formula>0.9999</formula>
    </cfRule>
  </conditionalFormatting>
  <conditionalFormatting sqref="X20:X24">
    <cfRule type="cellIs" dxfId="70" priority="54" operator="lessThanOrEqual">
      <formula>0.85</formula>
    </cfRule>
    <cfRule type="cellIs" dxfId="69" priority="55" operator="between">
      <formula>0.86</formula>
      <formula>0.9999</formula>
    </cfRule>
  </conditionalFormatting>
  <conditionalFormatting sqref="X26:X30">
    <cfRule type="cellIs" dxfId="68" priority="78" operator="lessThanOrEqual">
      <formula>0.85</formula>
    </cfRule>
    <cfRule type="cellIs" dxfId="67" priority="79" operator="between">
      <formula>0.86</formula>
      <formula>0.9999</formula>
    </cfRule>
  </conditionalFormatting>
  <conditionalFormatting sqref="X32:X36">
    <cfRule type="cellIs" dxfId="66" priority="74" operator="lessThanOrEqual">
      <formula>0.85</formula>
    </cfRule>
    <cfRule type="cellIs" dxfId="65" priority="75" operator="between">
      <formula>0.86</formula>
      <formula>0.9999</formula>
    </cfRule>
  </conditionalFormatting>
  <conditionalFormatting sqref="X38:X42">
    <cfRule type="cellIs" dxfId="64" priority="70" operator="lessThanOrEqual">
      <formula>0.85</formula>
    </cfRule>
    <cfRule type="cellIs" dxfId="63" priority="71" operator="between">
      <formula>0.86</formula>
      <formula>0.9999</formula>
    </cfRule>
  </conditionalFormatting>
  <conditionalFormatting sqref="X44:X48">
    <cfRule type="cellIs" dxfId="62" priority="66" operator="lessThanOrEqual">
      <formula>0.85</formula>
    </cfRule>
    <cfRule type="cellIs" dxfId="61" priority="67" operator="between">
      <formula>0.86</formula>
      <formula>0.9999</formula>
    </cfRule>
  </conditionalFormatting>
  <conditionalFormatting sqref="X50:X54">
    <cfRule type="cellIs" dxfId="60" priority="50" operator="lessThanOrEqual">
      <formula>0.85</formula>
    </cfRule>
    <cfRule type="cellIs" dxfId="59" priority="51" operator="between">
      <formula>0.86</formula>
      <formula>0.9999</formula>
    </cfRule>
  </conditionalFormatting>
  <conditionalFormatting sqref="X56:X60">
    <cfRule type="cellIs" dxfId="58" priority="62" operator="lessThanOrEqual">
      <formula>0.85</formula>
    </cfRule>
    <cfRule type="cellIs" dxfId="57" priority="63" operator="between">
      <formula>0.86</formula>
      <formula>0.9999</formula>
    </cfRule>
  </conditionalFormatting>
  <conditionalFormatting sqref="X62:X66">
    <cfRule type="cellIs" dxfId="56" priority="46" operator="lessThanOrEqual">
      <formula>0.85</formula>
    </cfRule>
    <cfRule type="cellIs" dxfId="55" priority="47" operator="between">
      <formula>0.86</formula>
      <formula>0.9999</formula>
    </cfRule>
  </conditionalFormatting>
  <conditionalFormatting sqref="X68:X72">
    <cfRule type="cellIs" dxfId="54" priority="58" operator="lessThanOrEqual">
      <formula>0.85</formula>
    </cfRule>
    <cfRule type="cellIs" dxfId="53" priority="59" operator="between">
      <formula>0.86</formula>
      <formula>0.9999</formula>
    </cfRule>
  </conditionalFormatting>
  <conditionalFormatting sqref="X74:X78">
    <cfRule type="cellIs" dxfId="52" priority="6" operator="lessThanOrEqual">
      <formula>0.85</formula>
    </cfRule>
    <cfRule type="cellIs" dxfId="51" priority="7" operator="between">
      <formula>0.86</formula>
      <formula>0.9999</formula>
    </cfRule>
  </conditionalFormatting>
  <conditionalFormatting sqref="X80:X84 X86:X90">
    <cfRule type="cellIs" dxfId="50" priority="168" operator="lessThanOrEqual">
      <formula>0.85</formula>
    </cfRule>
    <cfRule type="cellIs" dxfId="49" priority="169" operator="between">
      <formula>0.86</formula>
      <formula>0.9999</formula>
    </cfRule>
  </conditionalFormatting>
  <conditionalFormatting sqref="X92:X95 X97">
    <cfRule type="cellIs" dxfId="48" priority="405" operator="between">
      <formula>0.86</formula>
      <formula>0.999999999</formula>
    </cfRule>
  </conditionalFormatting>
  <conditionalFormatting sqref="AL7">
    <cfRule type="cellIs" dxfId="47" priority="391" operator="greaterThanOrEqual">
      <formula>1</formula>
    </cfRule>
    <cfRule type="cellIs" dxfId="46" priority="392" operator="between">
      <formula>0.9001</formula>
      <formula>0.9999</formula>
    </cfRule>
    <cfRule type="cellIs" dxfId="45" priority="393" operator="lessThan">
      <formula>0.9</formula>
    </cfRule>
  </conditionalFormatting>
  <conditionalFormatting sqref="AL13 AL19 AL25 AL31 AL37 AL43 AL49 AL55 AL61 AL67 AL79 AL91">
    <cfRule type="cellIs" dxfId="44" priority="163" operator="greaterThanOrEqual">
      <formula>1</formula>
    </cfRule>
    <cfRule type="cellIs" dxfId="43" priority="164" operator="between">
      <formula>0.9001</formula>
      <formula>0.9999</formula>
    </cfRule>
    <cfRule type="cellIs" dxfId="42" priority="165" operator="lessThan">
      <formula>0.9</formula>
    </cfRule>
  </conditionalFormatting>
  <conditionalFormatting sqref="AL73">
    <cfRule type="cellIs" dxfId="41" priority="3" operator="greaterThanOrEqual">
      <formula>1</formula>
    </cfRule>
    <cfRule type="cellIs" dxfId="40" priority="4" operator="between">
      <formula>0.9001</formula>
      <formula>0.9999</formula>
    </cfRule>
    <cfRule type="cellIs" dxfId="39" priority="5" operator="lessThan">
      <formula>0.9</formula>
    </cfRule>
  </conditionalFormatting>
  <conditionalFormatting sqref="AL85">
    <cfRule type="cellIs" dxfId="38" priority="160" operator="greaterThanOrEqual">
      <formula>1</formula>
    </cfRule>
    <cfRule type="cellIs" dxfId="37" priority="161" operator="between">
      <formula>0.9001</formula>
      <formula>0.9999</formula>
    </cfRule>
    <cfRule type="cellIs" dxfId="36" priority="162" operator="lessThan">
      <formula>0.9</formula>
    </cfRule>
  </conditionalFormatting>
  <conditionalFormatting sqref="AL96">
    <cfRule type="cellIs" dxfId="35" priority="84" operator="greaterThanOrEqual">
      <formula>1</formula>
    </cfRule>
    <cfRule type="cellIs" dxfId="34" priority="85" operator="between">
      <formula>0.9001</formula>
      <formula>0.9999</formula>
    </cfRule>
    <cfRule type="cellIs" dxfId="33" priority="86" operator="lessThan">
      <formula>0.9</formula>
    </cfRule>
  </conditionalFormatting>
  <conditionalFormatting sqref="AL98:AL1048576">
    <cfRule type="cellIs" dxfId="32" priority="396" operator="greaterThanOrEqual">
      <formula>1</formula>
    </cfRule>
    <cfRule type="cellIs" dxfId="31" priority="397" operator="between">
      <formula>0.9001</formula>
      <formula>0.9999</formula>
    </cfRule>
    <cfRule type="cellIs" dxfId="30" priority="398" operator="lessThan">
      <formula>0.9</formula>
    </cfRule>
  </conditionalFormatting>
  <conditionalFormatting sqref="AP8:AP12">
    <cfRule type="cellIs" dxfId="29" priority="158" operator="lessThanOrEqual">
      <formula>0.85</formula>
    </cfRule>
    <cfRule type="cellIs" dxfId="28" priority="159" operator="between">
      <formula>0.86</formula>
      <formula>0.9999</formula>
    </cfRule>
  </conditionalFormatting>
  <conditionalFormatting sqref="AP14:AP18">
    <cfRule type="cellIs" dxfId="27" priority="80" operator="lessThanOrEqual">
      <formula>0.85</formula>
    </cfRule>
    <cfRule type="cellIs" dxfId="26" priority="81" operator="between">
      <formula>0.86</formula>
      <formula>0.9999</formula>
    </cfRule>
  </conditionalFormatting>
  <conditionalFormatting sqref="AP20:AP24">
    <cfRule type="cellIs" dxfId="25" priority="52" operator="lessThanOrEqual">
      <formula>0.85</formula>
    </cfRule>
    <cfRule type="cellIs" dxfId="24" priority="53" operator="between">
      <formula>0.86</formula>
      <formula>0.9999</formula>
    </cfRule>
  </conditionalFormatting>
  <conditionalFormatting sqref="AP26:AP30">
    <cfRule type="cellIs" dxfId="23" priority="76" operator="lessThanOrEqual">
      <formula>0.85</formula>
    </cfRule>
    <cfRule type="cellIs" dxfId="22" priority="77" operator="between">
      <formula>0.86</formula>
      <formula>0.9999</formula>
    </cfRule>
  </conditionalFormatting>
  <conditionalFormatting sqref="AP32:AP36">
    <cfRule type="cellIs" dxfId="21" priority="72" operator="lessThanOrEqual">
      <formula>0.85</formula>
    </cfRule>
    <cfRule type="cellIs" dxfId="20" priority="73" operator="between">
      <formula>0.86</formula>
      <formula>0.9999</formula>
    </cfRule>
  </conditionalFormatting>
  <conditionalFormatting sqref="AP38:AP42">
    <cfRule type="cellIs" dxfId="19" priority="68" operator="lessThanOrEqual">
      <formula>0.85</formula>
    </cfRule>
    <cfRule type="cellIs" dxfId="18" priority="69" operator="between">
      <formula>0.86</formula>
      <formula>0.9999</formula>
    </cfRule>
  </conditionalFormatting>
  <conditionalFormatting sqref="AP44:AP48">
    <cfRule type="cellIs" dxfId="17" priority="64" operator="lessThanOrEqual">
      <formula>0.85</formula>
    </cfRule>
    <cfRule type="cellIs" dxfId="16" priority="65" operator="between">
      <formula>0.86</formula>
      <formula>0.9999</formula>
    </cfRule>
  </conditionalFormatting>
  <conditionalFormatting sqref="AP50:AP54">
    <cfRule type="cellIs" dxfId="15" priority="48" operator="lessThanOrEqual">
      <formula>0.85</formula>
    </cfRule>
    <cfRule type="cellIs" dxfId="14" priority="49" operator="between">
      <formula>0.86</formula>
      <formula>0.9999</formula>
    </cfRule>
  </conditionalFormatting>
  <conditionalFormatting sqref="AP56:AP60">
    <cfRule type="cellIs" dxfId="13" priority="60" operator="lessThanOrEqual">
      <formula>0.85</formula>
    </cfRule>
    <cfRule type="cellIs" dxfId="12" priority="61" operator="between">
      <formula>0.86</formula>
      <formula>0.9999</formula>
    </cfRule>
  </conditionalFormatting>
  <conditionalFormatting sqref="AP62:AP66">
    <cfRule type="cellIs" dxfId="11" priority="44" operator="lessThanOrEqual">
      <formula>0.85</formula>
    </cfRule>
    <cfRule type="cellIs" dxfId="10" priority="45" operator="between">
      <formula>0.86</formula>
      <formula>0.9999</formula>
    </cfRule>
  </conditionalFormatting>
  <conditionalFormatting sqref="AP68:AP72">
    <cfRule type="cellIs" dxfId="9" priority="56" operator="lessThanOrEqual">
      <formula>0.85</formula>
    </cfRule>
    <cfRule type="cellIs" dxfId="8" priority="57" operator="between">
      <formula>0.86</formula>
      <formula>0.9999</formula>
    </cfRule>
  </conditionalFormatting>
  <conditionalFormatting sqref="AP74:AP78">
    <cfRule type="cellIs" dxfId="7" priority="1" operator="lessThanOrEqual">
      <formula>0.85</formula>
    </cfRule>
    <cfRule type="cellIs" dxfId="6" priority="2" operator="between">
      <formula>0.86</formula>
      <formula>0.9999</formula>
    </cfRule>
  </conditionalFormatting>
  <conditionalFormatting sqref="AP80:AP84">
    <cfRule type="cellIs" dxfId="5" priority="102" operator="lessThanOrEqual">
      <formula>0.85</formula>
    </cfRule>
    <cfRule type="cellIs" dxfId="4" priority="103" operator="between">
      <formula>0.86</formula>
      <formula>0.9999</formula>
    </cfRule>
  </conditionalFormatting>
  <conditionalFormatting sqref="AP86:AP90">
    <cfRule type="cellIs" dxfId="3" priority="96" operator="lessThanOrEqual">
      <formula>0.85</formula>
    </cfRule>
    <cfRule type="cellIs" dxfId="2" priority="97" operator="between">
      <formula>0.86</formula>
      <formula>0.9999</formula>
    </cfRule>
  </conditionalFormatting>
  <conditionalFormatting sqref="AP92:AP95 AP97">
    <cfRule type="cellIs" dxfId="1" priority="230" operator="lessThanOrEqual">
      <formula>0.85</formula>
    </cfRule>
    <cfRule type="cellIs" dxfId="0" priority="231" operator="between">
      <formula>0.86</formula>
      <formula>0.9999</formula>
    </cfRule>
  </conditionalFormatting>
  <printOptions horizontalCentered="1"/>
  <pageMargins left="0" right="0" top="0" bottom="0" header="0" footer="0"/>
  <pageSetup paperSize="9" scale="31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PAD - DISTRIBUIÇÃO</vt:lpstr>
      <vt:lpstr>PAD - LOJAS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francislanias</dc:creator>
  <cp:lastModifiedBy>LEONARDO SANTOS DE SOUZA</cp:lastModifiedBy>
  <cp:lastPrinted>2026-08-25T13:47:05Z</cp:lastPrinted>
  <dcterms:created xsi:type="dcterms:W3CDTF">2013-12-24T17:42:15Z</dcterms:created>
  <dcterms:modified xsi:type="dcterms:W3CDTF">2026-08-26T13:02:19Z</dcterms:modified>
</cp:coreProperties>
</file>