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Comercial\Suporte\PAD\PAD 2026\08. AGOSTO\"/>
    </mc:Choice>
  </mc:AlternateContent>
  <bookViews>
    <workbookView xWindow="-110" yWindow="-110" windowWidth="19420" windowHeight="10300" tabRatio="858"/>
  </bookViews>
  <sheets>
    <sheet name="PAD - DISTRIBUIÇÃO" sheetId="2" r:id="rId1"/>
    <sheet name="PAD - LOJAS" sheetId="3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<sst xmlns="http://schemas.openxmlformats.org/spreadsheetml/2006/main" count="325" uniqueCount="84">
  <si>
    <t>GESTOR</t>
  </si>
  <si>
    <t>META</t>
  </si>
  <si>
    <t>REAL</t>
  </si>
  <si>
    <t>%</t>
  </si>
  <si>
    <t>C01</t>
  </si>
  <si>
    <t>ESTOQUE</t>
  </si>
  <si>
    <t>DIA</t>
  </si>
  <si>
    <t>TOTAL LOJAS</t>
  </si>
  <si>
    <t>CEASA</t>
  </si>
  <si>
    <t>CASA AMARELA</t>
  </si>
  <si>
    <t>IMBIRIBEIRA</t>
  </si>
  <si>
    <t>REAL VERBA</t>
  </si>
  <si>
    <t>LOJÃO</t>
  </si>
  <si>
    <t>%  VENDA</t>
  </si>
  <si>
    <t>C03</t>
  </si>
  <si>
    <t>DIOGO</t>
  </si>
  <si>
    <t>C06</t>
  </si>
  <si>
    <t>C09</t>
  </si>
  <si>
    <t>C05</t>
  </si>
  <si>
    <t>C07</t>
  </si>
  <si>
    <t>C08</t>
  </si>
  <si>
    <t>C10</t>
  </si>
  <si>
    <t>C11</t>
  </si>
  <si>
    <t>C12</t>
  </si>
  <si>
    <t>C02</t>
  </si>
  <si>
    <t>RONALDO</t>
  </si>
  <si>
    <t>TOTAL RONALDO</t>
  </si>
  <si>
    <t>ELISANGELA</t>
  </si>
  <si>
    <t>TOTAL ELISANGELA</t>
  </si>
  <si>
    <t>C17</t>
  </si>
  <si>
    <t>TOTAL GERALDO</t>
  </si>
  <si>
    <t>GERALDO</t>
  </si>
  <si>
    <t>TOTAL</t>
  </si>
  <si>
    <t>BÁRBARA</t>
  </si>
  <si>
    <t>TOTAL BÁRBARA</t>
  </si>
  <si>
    <t>MÊS</t>
  </si>
  <si>
    <t>FATURAMENTO</t>
  </si>
  <si>
    <t>META PROPORCIONAL</t>
  </si>
  <si>
    <t>%
PREVISÃO</t>
  </si>
  <si>
    <t>PROJEÇÃO</t>
  </si>
  <si>
    <t>MARGEM DE REFERÊNCIA</t>
  </si>
  <si>
    <t>MARGEM BRUTA</t>
  </si>
  <si>
    <t>LB REFERÊNCIA</t>
  </si>
  <si>
    <t>REAL
(TOTAL)</t>
  </si>
  <si>
    <t>PROPOSTA</t>
  </si>
  <si>
    <t>RENTABILIDADE</t>
  </si>
  <si>
    <t>META DIA</t>
  </si>
  <si>
    <t>LB</t>
  </si>
  <si>
    <t>RONALDO MORAIS</t>
  </si>
  <si>
    <t>TOTAL DISTRIBUIÇÃO</t>
  </si>
  <si>
    <t>TOTAL DIOGO</t>
  </si>
  <si>
    <t>RAFAELA BEZERRA</t>
  </si>
  <si>
    <t>ELISANGELA CABRAL</t>
  </si>
  <si>
    <t>BRUNO</t>
  </si>
  <si>
    <t xml:space="preserve">TOTAL BRUNO </t>
  </si>
  <si>
    <t>RAFAELA</t>
  </si>
  <si>
    <t>TOTAL RAFAELA</t>
  </si>
  <si>
    <t>VINICIUS</t>
  </si>
  <si>
    <t>TOTAL VINICIUS</t>
  </si>
  <si>
    <t>C18</t>
  </si>
  <si>
    <t>DIOGO PADILHA</t>
  </si>
  <si>
    <t>BARBARA MIRANDA</t>
  </si>
  <si>
    <t>VINÍCIUS JORDÃO</t>
  </si>
  <si>
    <t>GERALDO JOSÉ</t>
  </si>
  <si>
    <t>BRUNO OLIVEIRA</t>
  </si>
  <si>
    <t>MÉDIA /
DIA</t>
  </si>
  <si>
    <t>HEMILI</t>
  </si>
  <si>
    <t>CAROLINA</t>
  </si>
  <si>
    <t>C16</t>
  </si>
  <si>
    <t/>
  </si>
  <si>
    <t>em aberto</t>
  </si>
  <si>
    <t>TOTAL CAROL - Laticínios</t>
  </si>
  <si>
    <t>CAROL - LATICÍNIOS</t>
  </si>
  <si>
    <t>ISAIAS</t>
  </si>
  <si>
    <t>TOTAL ISAIAS</t>
  </si>
  <si>
    <t>HIGIENE</t>
  </si>
  <si>
    <t>ANDRYO</t>
  </si>
  <si>
    <t>ANDRYO - Iogurtes</t>
  </si>
  <si>
    <t>TOTAL HEMILI - Higiene</t>
  </si>
  <si>
    <t>TOTAL ISAIAS - Bazar</t>
  </si>
  <si>
    <t>TOTAL ANDRYO - Iogurtes</t>
  </si>
  <si>
    <t>TOTAL HEMILI - Limpeza</t>
  </si>
  <si>
    <t>PAD DISTRIBUIÇÃO - AGOSTO  / 2026</t>
  </si>
  <si>
    <t>PAD LOJAS - AGOSTO  /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</si>
</sst>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&quot;R$&quot;\ #,##0.00"/>
  </numFmts>
  <fonts count="65" x14ac:knownFonts="1">
    <font>
      <sz val="11"/>
      <color theme="1"/>
      <name val="Cambria"/>
      <family val="2"/>
      <scheme val="minor"/>
    </font>
    <font>
      <sz val="11"/>
      <color theme="1"/>
      <name val="Cambria"/>
      <family val="2"/>
      <scheme val="minor"/>
    </font>
    <font>
      <sz val="10"/>
      <color theme="1"/>
      <name val="Cambria"/>
      <family val="2"/>
      <scheme val="minor"/>
    </font>
    <font>
      <sz val="14"/>
      <color theme="1"/>
      <name val="Cambria"/>
      <family val="2"/>
      <scheme val="minor"/>
    </font>
    <font>
      <b/>
      <sz val="10"/>
      <color theme="1"/>
      <name val="Cambria"/>
      <family val="1"/>
      <scheme val="minor"/>
    </font>
    <font>
      <b/>
      <sz val="11"/>
      <color theme="1"/>
      <name val="Cambria"/>
      <family val="1"/>
      <scheme val="minor"/>
    </font>
    <font>
      <b/>
      <sz val="8"/>
      <color theme="1"/>
      <name val="Cambria"/>
      <family val="2"/>
      <scheme val="minor"/>
    </font>
    <font>
      <sz val="9"/>
      <color theme="1"/>
      <name val="Cambria"/>
      <family val="2"/>
      <scheme val="minor"/>
    </font>
    <font>
      <sz val="10"/>
      <color theme="1"/>
      <name val="Cambria"/>
      <family val="1"/>
      <scheme val="minor"/>
    </font>
    <font>
      <b/>
      <sz val="10"/>
      <color theme="0"/>
      <name val="Cambria"/>
      <family val="1"/>
      <scheme val="minor"/>
    </font>
    <font>
      <sz val="8"/>
      <color rgb="FFFF0000"/>
      <name val="Cambria"/>
      <family val="1"/>
      <scheme val="minor"/>
    </font>
    <font>
      <b/>
      <sz val="9"/>
      <color theme="0"/>
      <name val="Cambria"/>
      <family val="1"/>
      <scheme val="minor"/>
    </font>
    <font>
      <b/>
      <sz val="8"/>
      <color theme="0"/>
      <name val="Cambria"/>
      <family val="2"/>
      <scheme val="minor"/>
    </font>
    <font>
      <sz val="8"/>
      <color theme="1"/>
      <name val="Cambria"/>
      <family val="2"/>
      <scheme val="minor"/>
    </font>
    <font>
      <sz val="9"/>
      <color theme="0"/>
      <name val="Cambria"/>
      <family val="2"/>
      <scheme val="minor"/>
    </font>
    <font>
      <b/>
      <sz val="8"/>
      <color rgb="FFFF0000"/>
      <name val="Cambria"/>
      <family val="1"/>
      <scheme val="minor"/>
    </font>
    <font>
      <b/>
      <sz val="9"/>
      <color theme="1"/>
      <name val="Calibri"/>
      <family val="2"/>
      <scheme val="major"/>
    </font>
    <font>
      <b/>
      <sz val="10"/>
      <color theme="1"/>
      <name val="Calibri"/>
      <family val="2"/>
      <scheme val="major"/>
    </font>
    <font>
      <sz val="9"/>
      <color theme="0"/>
      <name val="Calibri"/>
      <family val="2"/>
      <scheme val="major"/>
    </font>
    <font>
      <sz val="9"/>
      <color theme="1"/>
      <name val="Calibri"/>
      <family val="2"/>
      <scheme val="major"/>
    </font>
    <font>
      <sz val="10"/>
      <color theme="1"/>
      <name val="Calibri"/>
      <family val="2"/>
      <scheme val="major"/>
    </font>
    <font>
      <b/>
      <sz val="9"/>
      <color theme="0"/>
      <name val="Calibri"/>
      <family val="2"/>
      <scheme val="major"/>
    </font>
    <font>
      <b/>
      <sz val="10"/>
      <color theme="0"/>
      <name val="Calibri"/>
      <family val="2"/>
      <scheme val="major"/>
    </font>
    <font>
      <sz val="11"/>
      <color theme="1"/>
      <name val="Calibri"/>
      <family val="2"/>
      <scheme val="major"/>
    </font>
    <font>
      <sz val="12"/>
      <color theme="1" tint="0.249977111117893"/>
      <name val="Cambria"/>
      <family val="1"/>
      <scheme val="minor"/>
    </font>
    <font>
      <sz val="10"/>
      <color theme="1" tint="0.249977111117893"/>
      <name val="Cambria"/>
      <family val="1"/>
      <scheme val="minor"/>
    </font>
    <font>
      <sz val="10"/>
      <color rgb="FFFF0000"/>
      <name val="Cambria"/>
      <family val="1"/>
      <scheme val="minor"/>
    </font>
    <font>
      <b/>
      <sz val="10"/>
      <name val="Calibri"/>
      <family val="2"/>
      <scheme val="major"/>
    </font>
    <font>
      <b/>
      <sz val="9"/>
      <name val="Calibri"/>
      <family val="2"/>
      <scheme val="major"/>
    </font>
    <font>
      <sz val="11"/>
      <color theme="0"/>
      <name val="Cambria"/>
      <family val="2"/>
      <scheme val="minor"/>
    </font>
    <font>
      <sz val="10"/>
      <color theme="0"/>
      <name val="Cambria"/>
      <family val="2"/>
      <scheme val="minor"/>
    </font>
    <font>
      <sz val="11"/>
      <color theme="0"/>
      <name val="Cambria"/>
      <family val="1"/>
      <scheme val="minor"/>
    </font>
    <font>
      <sz val="8"/>
      <name val="Cambria"/>
      <family val="1"/>
      <scheme val="minor"/>
    </font>
    <font>
      <b/>
      <sz val="9"/>
      <name val="Cambria"/>
      <family val="1"/>
      <scheme val="minor"/>
    </font>
    <font>
      <sz val="12"/>
      <name val="Cambria"/>
      <family val="1"/>
      <scheme val="minor"/>
    </font>
    <font>
      <sz val="8"/>
      <color theme="0"/>
      <name val="Cambria"/>
      <family val="1"/>
      <scheme val="minor"/>
    </font>
    <font>
      <sz val="14"/>
      <color theme="0"/>
      <name val="Cambria"/>
      <family val="2"/>
      <scheme val="minor"/>
    </font>
    <font>
      <sz val="9"/>
      <color theme="0"/>
      <name val="Cambria"/>
      <family val="1"/>
      <scheme val="minor"/>
    </font>
    <font>
      <b/>
      <sz val="14"/>
      <color theme="0"/>
      <name val="Cambria"/>
      <family val="1"/>
      <scheme val="minor"/>
    </font>
    <font>
      <sz val="12"/>
      <color theme="0"/>
      <name val="Cambria"/>
      <family val="1"/>
      <scheme val="minor"/>
    </font>
    <font>
      <b/>
      <sz val="9"/>
      <color theme="1"/>
      <name val="Cambria"/>
      <family val="1"/>
      <scheme val="minor"/>
    </font>
    <font>
      <sz val="9"/>
      <name val="Cambria"/>
      <family val="1"/>
      <scheme val="minor"/>
    </font>
    <font>
      <sz val="9"/>
      <color theme="1" tint="0.249977111117893"/>
      <name val="Cambria"/>
      <family val="1"/>
      <scheme val="minor"/>
    </font>
    <font>
      <sz val="9"/>
      <color theme="1"/>
      <name val="Cambria"/>
      <family val="1"/>
      <scheme val="minor"/>
    </font>
    <font>
      <b/>
      <sz val="9"/>
      <color theme="0"/>
      <name val="Cambria"/>
      <family val="2"/>
      <scheme val="minor"/>
    </font>
    <font>
      <b/>
      <sz val="9"/>
      <color theme="1"/>
      <name val="Cambria"/>
      <family val="2"/>
      <scheme val="minor"/>
    </font>
    <font>
      <sz val="8"/>
      <color theme="1"/>
      <name val="Cambria"/>
      <family val="1"/>
      <scheme val="minor"/>
    </font>
    <font>
      <b/>
      <sz val="8"/>
      <color theme="1"/>
      <name val="Cambria"/>
      <family val="1"/>
      <scheme val="minor"/>
    </font>
    <font>
      <b/>
      <sz val="8"/>
      <color theme="1"/>
      <name val="Calibri"/>
      <family val="2"/>
      <scheme val="major"/>
    </font>
    <font>
      <b/>
      <sz val="9"/>
      <color rgb="FF7A0B0B"/>
      <name val="Cambria"/>
      <family val="1"/>
      <scheme val="minor"/>
    </font>
    <font>
      <sz val="9"/>
      <color rgb="FF7A0B0B"/>
      <name val="Cambria"/>
      <family val="1"/>
      <scheme val="minor"/>
    </font>
    <font>
      <sz val="10"/>
      <color theme="0"/>
      <name val="Cambria"/>
      <family val="1"/>
      <scheme val="minor"/>
    </font>
    <font>
      <sz val="10"/>
      <color rgb="FF7A0B0B"/>
      <name val="Cambria"/>
      <family val="1"/>
      <scheme val="minor"/>
    </font>
    <font>
      <sz val="11"/>
      <color rgb="FF7A0B0B"/>
      <name val="Cambria"/>
      <family val="1"/>
      <scheme val="minor"/>
    </font>
    <font>
      <b/>
      <sz val="8"/>
      <color rgb="FF92D050"/>
      <name val="Cambria"/>
      <family val="1"/>
      <scheme val="minor"/>
    </font>
    <font>
      <b/>
      <sz val="26"/>
      <color theme="1"/>
      <name val="Cambria"/>
      <family val="1"/>
      <scheme val="minor"/>
    </font>
    <font>
      <b/>
      <sz val="9"/>
      <color theme="1"/>
      <name val="Calibri"/>
      <family val="1"/>
      <scheme val="major"/>
    </font>
    <font>
      <b/>
      <sz val="14"/>
      <color theme="1"/>
      <name val="Cambria"/>
      <family val="1"/>
      <scheme val="minor"/>
    </font>
    <font>
      <sz val="11"/>
      <color theme="1"/>
      <name val="Cambria"/>
      <family val="1"/>
      <scheme val="minor"/>
    </font>
    <font>
      <b/>
      <sz val="12"/>
      <color theme="1"/>
      <name val="Cambria"/>
      <family val="1"/>
      <scheme val="minor"/>
    </font>
    <font>
      <b/>
      <sz val="7"/>
      <color theme="1"/>
      <name val="Cambria"/>
      <family val="1"/>
      <scheme val="minor"/>
    </font>
    <font>
      <b/>
      <sz val="9"/>
      <color theme="0" tint="-0.14999847407452621"/>
      <name val="Cambria"/>
      <family val="1"/>
      <scheme val="minor"/>
    </font>
    <font>
      <sz val="9"/>
      <color theme="0" tint="-0.14999847407452621"/>
      <name val="Cambria"/>
      <family val="1"/>
      <scheme val="minor"/>
    </font>
    <font>
      <sz val="9"/>
      <color rgb="FFFF0000"/>
      <name val="Cambria"/>
      <family val="1"/>
      <scheme val="minor"/>
    </font>
    <font>
      <b/>
      <sz val="9"/>
      <color rgb="FFFF0000"/>
      <name val="Cambr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2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center"/>
    </xf>
    <xf numFmtId="43" fontId="2" fillId="2" borderId="0" xfId="1" applyFont="1" applyFill="1"/>
    <xf numFmtId="165" fontId="2" fillId="2" borderId="0" xfId="2" applyNumberFormat="1" applyFont="1" applyFill="1"/>
    <xf numFmtId="0" fontId="2" fillId="2" borderId="1" xfId="0" applyFont="1" applyFill="1" applyBorder="1" applyAlignment="1">
      <alignment horizontal="left"/>
    </xf>
    <xf numFmtId="0" fontId="10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/>
    <xf numFmtId="0" fontId="8" fillId="0" borderId="0" xfId="0" applyFont="1"/>
    <xf numFmtId="0" fontId="7" fillId="0" borderId="0" xfId="0" applyFont="1"/>
    <xf numFmtId="0" fontId="4" fillId="0" borderId="0" xfId="0" applyFont="1"/>
    <xf numFmtId="0" fontId="4" fillId="0" borderId="0" xfId="0" applyFont="1" applyAlignment="1">
      <alignment vertical="center"/>
    </xf>
    <xf numFmtId="0" fontId="13" fillId="2" borderId="0" xfId="0" applyFont="1" applyFill="1"/>
    <xf numFmtId="0" fontId="6" fillId="2" borderId="0" xfId="0" applyFont="1" applyFill="1"/>
    <xf numFmtId="0" fontId="7" fillId="2" borderId="0" xfId="0" applyFont="1" applyFill="1"/>
    <xf numFmtId="43" fontId="7" fillId="2" borderId="0" xfId="1" applyFont="1" applyFill="1"/>
    <xf numFmtId="164" fontId="7" fillId="2" borderId="0" xfId="1" applyNumberFormat="1" applyFont="1" applyFill="1"/>
    <xf numFmtId="0" fontId="8" fillId="2" borderId="0" xfId="0" applyFont="1" applyFill="1" applyAlignment="1">
      <alignment horizontal="center"/>
    </xf>
    <xf numFmtId="0" fontId="8" fillId="2" borderId="0" xfId="0" applyFont="1" applyFill="1"/>
    <xf numFmtId="165" fontId="8" fillId="2" borderId="0" xfId="2" applyNumberFormat="1" applyFont="1" applyFill="1" applyAlignment="1">
      <alignment horizontal="center"/>
    </xf>
    <xf numFmtId="43" fontId="8" fillId="2" borderId="0" xfId="1" applyFont="1" applyFill="1"/>
    <xf numFmtId="0" fontId="9" fillId="3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/>
    </xf>
    <xf numFmtId="164" fontId="16" fillId="4" borderId="1" xfId="0" applyNumberFormat="1" applyFont="1" applyFill="1" applyBorder="1" applyAlignment="1">
      <alignment vertical="center"/>
    </xf>
    <xf numFmtId="0" fontId="17" fillId="0" borderId="0" xfId="0" applyFont="1"/>
    <xf numFmtId="164" fontId="17" fillId="4" borderId="1" xfId="0" applyNumberFormat="1" applyFont="1" applyFill="1" applyBorder="1" applyAlignment="1">
      <alignment vertical="center"/>
    </xf>
    <xf numFmtId="165" fontId="17" fillId="4" borderId="1" xfId="2" applyNumberFormat="1" applyFont="1" applyFill="1" applyBorder="1" applyAlignment="1">
      <alignment horizontal="center" vertical="center"/>
    </xf>
    <xf numFmtId="165" fontId="16" fillId="4" borderId="1" xfId="2" applyNumberFormat="1" applyFont="1" applyFill="1" applyBorder="1" applyAlignment="1">
      <alignment horizontal="center" vertical="center"/>
    </xf>
    <xf numFmtId="43" fontId="16" fillId="4" borderId="1" xfId="1" applyFont="1" applyFill="1" applyBorder="1" applyAlignment="1">
      <alignment vertical="center"/>
    </xf>
    <xf numFmtId="164" fontId="19" fillId="2" borderId="1" xfId="1" applyNumberFormat="1" applyFont="1" applyFill="1" applyBorder="1"/>
    <xf numFmtId="0" fontId="20" fillId="0" borderId="0" xfId="0" applyFont="1"/>
    <xf numFmtId="164" fontId="20" fillId="2" borderId="1" xfId="1" applyNumberFormat="1" applyFont="1" applyFill="1" applyBorder="1"/>
    <xf numFmtId="0" fontId="19" fillId="0" borderId="0" xfId="0" applyFont="1"/>
    <xf numFmtId="164" fontId="19" fillId="2" borderId="2" xfId="1" applyNumberFormat="1" applyFont="1" applyFill="1" applyBorder="1" applyAlignment="1">
      <alignment horizontal="center"/>
    </xf>
    <xf numFmtId="43" fontId="19" fillId="2" borderId="1" xfId="1" applyFont="1" applyFill="1" applyBorder="1"/>
    <xf numFmtId="0" fontId="16" fillId="0" borderId="0" xfId="0" applyFont="1" applyAlignment="1">
      <alignment vertical="center"/>
    </xf>
    <xf numFmtId="164" fontId="21" fillId="3" borderId="1" xfId="0" applyNumberFormat="1" applyFont="1" applyFill="1" applyBorder="1" applyAlignment="1">
      <alignment vertical="center"/>
    </xf>
    <xf numFmtId="164" fontId="22" fillId="3" borderId="1" xfId="0" applyNumberFormat="1" applyFont="1" applyFill="1" applyBorder="1" applyAlignment="1">
      <alignment vertical="center"/>
    </xf>
    <xf numFmtId="165" fontId="17" fillId="3" borderId="1" xfId="2" applyNumberFormat="1" applyFont="1" applyFill="1" applyBorder="1" applyAlignment="1">
      <alignment horizontal="center" vertical="center"/>
    </xf>
    <xf numFmtId="43" fontId="22" fillId="3" borderId="1" xfId="1" applyFont="1" applyFill="1" applyBorder="1" applyAlignment="1">
      <alignment vertical="center"/>
    </xf>
    <xf numFmtId="165" fontId="16" fillId="3" borderId="1" xfId="2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43" fontId="21" fillId="3" borderId="1" xfId="1" applyFont="1" applyFill="1" applyBorder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0" fillId="2" borderId="0" xfId="0" applyFont="1" applyFill="1" applyAlignment="1">
      <alignment horizontal="center"/>
    </xf>
    <xf numFmtId="43" fontId="20" fillId="2" borderId="0" xfId="1" applyFont="1" applyFill="1"/>
    <xf numFmtId="0" fontId="19" fillId="2" borderId="0" xfId="0" applyFont="1" applyFill="1" applyAlignment="1">
      <alignment horizontal="center"/>
    </xf>
    <xf numFmtId="43" fontId="19" fillId="2" borderId="0" xfId="1" applyFont="1" applyFill="1"/>
    <xf numFmtId="164" fontId="19" fillId="2" borderId="0" xfId="1" applyNumberFormat="1" applyFont="1" applyFill="1"/>
    <xf numFmtId="165" fontId="19" fillId="2" borderId="0" xfId="2" applyNumberFormat="1" applyFont="1" applyFill="1"/>
    <xf numFmtId="0" fontId="23" fillId="0" borderId="0" xfId="0" applyFont="1"/>
    <xf numFmtId="164" fontId="20" fillId="2" borderId="0" xfId="0" applyNumberFormat="1" applyFont="1" applyFill="1"/>
    <xf numFmtId="0" fontId="24" fillId="0" borderId="0" xfId="0" applyFont="1" applyAlignment="1">
      <alignment vertical="center"/>
    </xf>
    <xf numFmtId="0" fontId="25" fillId="0" borderId="0" xfId="0" applyFont="1"/>
    <xf numFmtId="164" fontId="19" fillId="2" borderId="0" xfId="0" applyNumberFormat="1" applyFont="1" applyFill="1"/>
    <xf numFmtId="164" fontId="8" fillId="2" borderId="0" xfId="0" applyNumberFormat="1" applyFont="1" applyFill="1"/>
    <xf numFmtId="0" fontId="14" fillId="0" borderId="0" xfId="0" applyFont="1"/>
    <xf numFmtId="9" fontId="18" fillId="0" borderId="0" xfId="2" applyFont="1" applyFill="1"/>
    <xf numFmtId="0" fontId="18" fillId="0" borderId="0" xfId="0" applyFont="1"/>
    <xf numFmtId="0" fontId="15" fillId="0" borderId="0" xfId="0" applyFont="1" applyAlignment="1">
      <alignment horizontal="center"/>
    </xf>
    <xf numFmtId="0" fontId="26" fillId="0" borderId="0" xfId="0" applyFont="1"/>
    <xf numFmtId="43" fontId="7" fillId="0" borderId="0" xfId="1" applyFont="1" applyFill="1"/>
    <xf numFmtId="43" fontId="8" fillId="0" borderId="0" xfId="1" applyFont="1" applyFill="1"/>
    <xf numFmtId="164" fontId="21" fillId="5" borderId="1" xfId="0" applyNumberFormat="1" applyFont="1" applyFill="1" applyBorder="1" applyAlignment="1">
      <alignment vertical="center"/>
    </xf>
    <xf numFmtId="165" fontId="17" fillId="0" borderId="1" xfId="2" applyNumberFormat="1" applyFont="1" applyFill="1" applyBorder="1" applyAlignment="1">
      <alignment horizontal="center" vertical="center"/>
    </xf>
    <xf numFmtId="165" fontId="16" fillId="0" borderId="1" xfId="2" applyNumberFormat="1" applyFont="1" applyFill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64" fontId="21" fillId="0" borderId="3" xfId="0" applyNumberFormat="1" applyFont="1" applyBorder="1" applyAlignment="1">
      <alignment vertical="center"/>
    </xf>
    <xf numFmtId="0" fontId="22" fillId="0" borderId="3" xfId="0" applyFont="1" applyBorder="1" applyAlignment="1">
      <alignment vertical="center"/>
    </xf>
    <xf numFmtId="164" fontId="22" fillId="0" borderId="3" xfId="0" applyNumberFormat="1" applyFont="1" applyBorder="1" applyAlignment="1">
      <alignment vertical="center"/>
    </xf>
    <xf numFmtId="165" fontId="17" fillId="0" borderId="3" xfId="2" applyNumberFormat="1" applyFont="1" applyFill="1" applyBorder="1" applyAlignment="1">
      <alignment horizontal="center" vertical="center"/>
    </xf>
    <xf numFmtId="43" fontId="22" fillId="0" borderId="3" xfId="1" applyFont="1" applyFill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10" fontId="17" fillId="4" borderId="1" xfId="2" applyNumberFormat="1" applyFont="1" applyFill="1" applyBorder="1" applyAlignment="1">
      <alignment horizontal="center" vertical="center"/>
    </xf>
    <xf numFmtId="10" fontId="17" fillId="3" borderId="1" xfId="2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27" fillId="0" borderId="1" xfId="0" applyNumberFormat="1" applyFont="1" applyBorder="1" applyAlignment="1">
      <alignment horizontal="center" vertical="center"/>
    </xf>
    <xf numFmtId="0" fontId="16" fillId="0" borderId="0" xfId="0" applyFont="1"/>
    <xf numFmtId="43" fontId="17" fillId="0" borderId="1" xfId="0" applyNumberFormat="1" applyFont="1" applyBorder="1" applyAlignment="1">
      <alignment vertical="center"/>
    </xf>
    <xf numFmtId="43" fontId="27" fillId="0" borderId="1" xfId="0" applyNumberFormat="1" applyFont="1" applyBorder="1" applyAlignment="1">
      <alignment horizontal="center" vertical="center"/>
    </xf>
    <xf numFmtId="164" fontId="28" fillId="0" borderId="1" xfId="1" applyNumberFormat="1" applyFont="1" applyFill="1" applyBorder="1" applyAlignment="1">
      <alignment horizontal="center" vertical="center"/>
    </xf>
    <xf numFmtId="43" fontId="28" fillId="0" borderId="1" xfId="1" applyFont="1" applyFill="1" applyBorder="1" applyAlignment="1">
      <alignment horizontal="center" vertical="center"/>
    </xf>
    <xf numFmtId="165" fontId="16" fillId="0" borderId="0" xfId="0" applyNumberFormat="1" applyFont="1"/>
    <xf numFmtId="165" fontId="19" fillId="0" borderId="0" xfId="0" applyNumberFormat="1" applyFont="1"/>
    <xf numFmtId="164" fontId="21" fillId="5" borderId="14" xfId="0" applyNumberFormat="1" applyFont="1" applyFill="1" applyBorder="1" applyAlignment="1">
      <alignment vertical="center"/>
    </xf>
    <xf numFmtId="0" fontId="9" fillId="3" borderId="14" xfId="0" applyFont="1" applyFill="1" applyBorder="1" applyAlignment="1">
      <alignment horizontal="center" vertical="center"/>
    </xf>
    <xf numFmtId="165" fontId="17" fillId="3" borderId="14" xfId="2" applyNumberFormat="1" applyFont="1" applyFill="1" applyBorder="1" applyAlignment="1">
      <alignment horizontal="center" vertical="center"/>
    </xf>
    <xf numFmtId="0" fontId="16" fillId="0" borderId="14" xfId="0" applyFont="1" applyBorder="1" applyAlignment="1">
      <alignment vertical="center"/>
    </xf>
    <xf numFmtId="10" fontId="22" fillId="3" borderId="14" xfId="2" applyNumberFormat="1" applyFont="1" applyFill="1" applyBorder="1" applyAlignment="1">
      <alignment horizontal="center" vertical="center"/>
    </xf>
    <xf numFmtId="0" fontId="21" fillId="0" borderId="14" xfId="0" applyFont="1" applyBorder="1" applyAlignment="1">
      <alignment vertical="center"/>
    </xf>
    <xf numFmtId="43" fontId="22" fillId="3" borderId="14" xfId="1" applyFont="1" applyFill="1" applyBorder="1" applyAlignment="1">
      <alignment vertical="center"/>
    </xf>
    <xf numFmtId="10" fontId="17" fillId="3" borderId="14" xfId="2" applyNumberFormat="1" applyFont="1" applyFill="1" applyBorder="1" applyAlignment="1">
      <alignment horizontal="center" vertical="center"/>
    </xf>
    <xf numFmtId="9" fontId="18" fillId="0" borderId="14" xfId="2" applyFont="1" applyFill="1" applyBorder="1"/>
    <xf numFmtId="165" fontId="22" fillId="3" borderId="14" xfId="2" applyNumberFormat="1" applyFont="1" applyFill="1" applyBorder="1" applyAlignment="1">
      <alignment horizontal="center" vertical="center"/>
    </xf>
    <xf numFmtId="43" fontId="21" fillId="3" borderId="14" xfId="1" applyFont="1" applyFill="1" applyBorder="1" applyAlignment="1">
      <alignment vertical="center"/>
    </xf>
    <xf numFmtId="164" fontId="20" fillId="2" borderId="0" xfId="1" applyNumberFormat="1" applyFont="1" applyFill="1"/>
    <xf numFmtId="49" fontId="4" fillId="0" borderId="1" xfId="0" applyNumberFormat="1" applyFont="1" applyBorder="1" applyAlignment="1">
      <alignment horizontal="center" vertical="center"/>
    </xf>
    <xf numFmtId="0" fontId="41" fillId="0" borderId="5" xfId="0" applyFont="1" applyBorder="1" applyAlignment="1">
      <alignment horizontal="center"/>
    </xf>
    <xf numFmtId="0" fontId="42" fillId="0" borderId="0" xfId="0" applyFont="1"/>
    <xf numFmtId="10" fontId="20" fillId="0" borderId="1" xfId="2" applyNumberFormat="1" applyFont="1" applyFill="1" applyBorder="1" applyAlignment="1">
      <alignment horizontal="center" vertical="center"/>
    </xf>
    <xf numFmtId="164" fontId="2" fillId="2" borderId="0" xfId="0" applyNumberFormat="1" applyFont="1" applyFill="1"/>
    <xf numFmtId="165" fontId="16" fillId="0" borderId="3" xfId="2" applyNumberFormat="1" applyFont="1" applyFill="1" applyBorder="1" applyAlignment="1">
      <alignment horizontal="center" vertical="center"/>
    </xf>
    <xf numFmtId="0" fontId="43" fillId="2" borderId="0" xfId="0" applyFont="1" applyFill="1" applyAlignment="1">
      <alignment horizontal="center"/>
    </xf>
    <xf numFmtId="165" fontId="16" fillId="3" borderId="14" xfId="2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3" fillId="2" borderId="0" xfId="0" applyFont="1" applyFill="1"/>
    <xf numFmtId="165" fontId="16" fillId="2" borderId="1" xfId="2" applyNumberFormat="1" applyFont="1" applyFill="1" applyBorder="1" applyAlignment="1">
      <alignment horizontal="center" vertical="center"/>
    </xf>
    <xf numFmtId="0" fontId="43" fillId="0" borderId="0" xfId="0" applyFont="1"/>
    <xf numFmtId="165" fontId="40" fillId="2" borderId="0" xfId="2" applyNumberFormat="1" applyFont="1" applyFill="1" applyAlignment="1">
      <alignment horizontal="center"/>
    </xf>
    <xf numFmtId="165" fontId="16" fillId="2" borderId="0" xfId="2" applyNumberFormat="1" applyFont="1" applyFill="1"/>
    <xf numFmtId="165" fontId="45" fillId="2" borderId="0" xfId="2" applyNumberFormat="1" applyFont="1" applyFill="1"/>
    <xf numFmtId="165" fontId="46" fillId="0" borderId="1" xfId="2" applyNumberFormat="1" applyFont="1" applyFill="1" applyBorder="1" applyAlignment="1">
      <alignment horizontal="center" vertical="center"/>
    </xf>
    <xf numFmtId="165" fontId="46" fillId="0" borderId="3" xfId="2" applyNumberFormat="1" applyFont="1" applyFill="1" applyBorder="1" applyAlignment="1">
      <alignment horizontal="center" vertical="center"/>
    </xf>
    <xf numFmtId="165" fontId="46" fillId="5" borderId="1" xfId="2" applyNumberFormat="1" applyFont="1" applyFill="1" applyBorder="1" applyAlignment="1">
      <alignment horizontal="center" vertical="center"/>
    </xf>
    <xf numFmtId="165" fontId="47" fillId="2" borderId="1" xfId="2" applyNumberFormat="1" applyFont="1" applyFill="1" applyBorder="1" applyAlignment="1">
      <alignment horizontal="center" vertical="center"/>
    </xf>
    <xf numFmtId="165" fontId="47" fillId="4" borderId="1" xfId="2" applyNumberFormat="1" applyFont="1" applyFill="1" applyBorder="1" applyAlignment="1">
      <alignment horizontal="center" vertical="center"/>
    </xf>
    <xf numFmtId="165" fontId="48" fillId="2" borderId="0" xfId="2" applyNumberFormat="1" applyFont="1" applyFill="1" applyAlignment="1">
      <alignment horizontal="center"/>
    </xf>
    <xf numFmtId="165" fontId="47" fillId="5" borderId="14" xfId="2" applyNumberFormat="1" applyFont="1" applyFill="1" applyBorder="1" applyAlignment="1">
      <alignment horizontal="center" vertical="center"/>
    </xf>
    <xf numFmtId="10" fontId="19" fillId="0" borderId="1" xfId="2" applyNumberFormat="1" applyFont="1" applyFill="1" applyBorder="1" applyAlignment="1">
      <alignment horizontal="center" vertical="center"/>
    </xf>
    <xf numFmtId="10" fontId="16" fillId="4" borderId="1" xfId="2" applyNumberFormat="1" applyFont="1" applyFill="1" applyBorder="1" applyAlignment="1">
      <alignment horizontal="center" vertical="center"/>
    </xf>
    <xf numFmtId="10" fontId="21" fillId="3" borderId="14" xfId="2" applyNumberFormat="1" applyFont="1" applyFill="1" applyBorder="1" applyAlignment="1">
      <alignment horizontal="center" vertical="center"/>
    </xf>
    <xf numFmtId="164" fontId="20" fillId="0" borderId="1" xfId="1" applyNumberFormat="1" applyFont="1" applyFill="1" applyBorder="1"/>
    <xf numFmtId="165" fontId="54" fillId="2" borderId="1" xfId="2" applyNumberFormat="1" applyFont="1" applyFill="1" applyBorder="1" applyAlignment="1">
      <alignment horizontal="center" vertical="center"/>
    </xf>
    <xf numFmtId="0" fontId="29" fillId="6" borderId="0" xfId="0" applyFont="1" applyFill="1"/>
    <xf numFmtId="0" fontId="11" fillId="6" borderId="0" xfId="0" applyFont="1" applyFill="1" applyAlignment="1">
      <alignment horizontal="center"/>
    </xf>
    <xf numFmtId="0" fontId="31" fillId="6" borderId="0" xfId="0" applyFont="1" applyFill="1" applyAlignment="1">
      <alignment vertical="center"/>
    </xf>
    <xf numFmtId="0" fontId="58" fillId="6" borderId="0" xfId="0" applyFont="1" applyFill="1" applyAlignment="1">
      <alignment vertical="center"/>
    </xf>
    <xf numFmtId="0" fontId="37" fillId="6" borderId="6" xfId="0" applyFont="1" applyFill="1" applyBorder="1"/>
    <xf numFmtId="43" fontId="40" fillId="6" borderId="6" xfId="1" applyFont="1" applyFill="1" applyBorder="1" applyAlignment="1">
      <alignment horizontal="center" vertical="center" wrapText="1"/>
    </xf>
    <xf numFmtId="0" fontId="37" fillId="6" borderId="0" xfId="0" applyFont="1" applyFill="1"/>
    <xf numFmtId="43" fontId="47" fillId="6" borderId="6" xfId="1" applyFont="1" applyFill="1" applyBorder="1" applyAlignment="1">
      <alignment horizontal="center" vertical="center" wrapText="1"/>
    </xf>
    <xf numFmtId="43" fontId="56" fillId="6" borderId="6" xfId="1" applyFont="1" applyFill="1" applyBorder="1" applyAlignment="1">
      <alignment horizontal="center" vertical="center" wrapText="1"/>
    </xf>
    <xf numFmtId="43" fontId="40" fillId="6" borderId="7" xfId="1" applyFont="1" applyFill="1" applyBorder="1" applyAlignment="1">
      <alignment horizontal="center" vertical="center" wrapText="1"/>
    </xf>
    <xf numFmtId="0" fontId="52" fillId="6" borderId="0" xfId="0" applyFont="1" applyFill="1"/>
    <xf numFmtId="165" fontId="52" fillId="6" borderId="0" xfId="2" applyNumberFormat="1" applyFont="1" applyFill="1"/>
    <xf numFmtId="0" fontId="53" fillId="6" borderId="0" xfId="0" applyFont="1" applyFill="1"/>
    <xf numFmtId="0" fontId="52" fillId="6" borderId="0" xfId="0" applyFont="1" applyFill="1" applyAlignment="1">
      <alignment horizontal="center"/>
    </xf>
    <xf numFmtId="43" fontId="52" fillId="6" borderId="0" xfId="1" applyFont="1" applyFill="1"/>
    <xf numFmtId="0" fontId="49" fillId="6" borderId="0" xfId="0" applyFont="1" applyFill="1" applyAlignment="1">
      <alignment horizontal="center"/>
    </xf>
    <xf numFmtId="0" fontId="50" fillId="6" borderId="0" xfId="0" applyFont="1" applyFill="1"/>
    <xf numFmtId="43" fontId="37" fillId="6" borderId="0" xfId="1" applyFont="1" applyFill="1"/>
    <xf numFmtId="0" fontId="51" fillId="6" borderId="0" xfId="0" applyFont="1" applyFill="1"/>
    <xf numFmtId="0" fontId="36" fillId="6" borderId="0" xfId="0" applyFont="1" applyFill="1"/>
    <xf numFmtId="43" fontId="59" fillId="6" borderId="6" xfId="1" applyFont="1" applyFill="1" applyBorder="1" applyAlignment="1">
      <alignment horizontal="center" vertical="center" wrapText="1"/>
    </xf>
    <xf numFmtId="0" fontId="58" fillId="6" borderId="0" xfId="0" applyFont="1" applyFill="1"/>
    <xf numFmtId="43" fontId="4" fillId="6" borderId="7" xfId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/>
    </xf>
    <xf numFmtId="166" fontId="57" fillId="6" borderId="10" xfId="0" applyNumberFormat="1" applyFont="1" applyFill="1" applyBorder="1" applyAlignment="1">
      <alignment vertical="center"/>
    </xf>
    <xf numFmtId="0" fontId="11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9" fillId="0" borderId="0" xfId="0" applyFont="1" applyAlignment="1">
      <alignment horizontal="center" vertical="center"/>
    </xf>
    <xf numFmtId="0" fontId="35" fillId="0" borderId="5" xfId="0" applyFont="1" applyBorder="1" applyAlignment="1">
      <alignment horizontal="center"/>
    </xf>
    <xf numFmtId="0" fontId="32" fillId="0" borderId="0" xfId="0" applyFont="1" applyAlignment="1">
      <alignment horizontal="center"/>
    </xf>
    <xf numFmtId="0" fontId="3" fillId="0" borderId="0" xfId="0" applyFont="1"/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31" fillId="4" borderId="8" xfId="0" applyFont="1" applyFill="1" applyBorder="1" applyAlignment="1">
      <alignment vertical="center"/>
    </xf>
    <xf numFmtId="0" fontId="29" fillId="4" borderId="16" xfId="0" applyFont="1" applyFill="1" applyBorder="1"/>
    <xf numFmtId="0" fontId="30" fillId="4" borderId="16" xfId="0" applyFont="1" applyFill="1" applyBorder="1"/>
    <xf numFmtId="165" fontId="44" fillId="4" borderId="16" xfId="2" applyNumberFormat="1" applyFont="1" applyFill="1" applyBorder="1"/>
    <xf numFmtId="0" fontId="14" fillId="4" borderId="16" xfId="0" applyFont="1" applyFill="1" applyBorder="1" applyAlignment="1">
      <alignment horizontal="center"/>
    </xf>
    <xf numFmtId="0" fontId="14" fillId="4" borderId="16" xfId="0" applyFont="1" applyFill="1" applyBorder="1"/>
    <xf numFmtId="0" fontId="30" fillId="4" borderId="16" xfId="0" applyFont="1" applyFill="1" applyBorder="1" applyAlignment="1">
      <alignment horizontal="center"/>
    </xf>
    <xf numFmtId="43" fontId="30" fillId="4" borderId="16" xfId="1" applyFont="1" applyFill="1" applyBorder="1"/>
    <xf numFmtId="164" fontId="14" fillId="4" borderId="16" xfId="1" applyNumberFormat="1" applyFont="1" applyFill="1" applyBorder="1"/>
    <xf numFmtId="43" fontId="14" fillId="4" borderId="16" xfId="1" applyFont="1" applyFill="1" applyBorder="1"/>
    <xf numFmtId="0" fontId="14" fillId="4" borderId="19" xfId="0" applyFont="1" applyFill="1" applyBorder="1"/>
    <xf numFmtId="0" fontId="30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166" fontId="38" fillId="4" borderId="0" xfId="0" applyNumberFormat="1" applyFont="1" applyFill="1" applyAlignment="1">
      <alignment horizontal="center" vertical="center"/>
    </xf>
    <xf numFmtId="0" fontId="37" fillId="4" borderId="0" xfId="0" applyFont="1" applyFill="1" applyAlignment="1">
      <alignment horizontal="center"/>
    </xf>
    <xf numFmtId="0" fontId="31" fillId="4" borderId="0" xfId="0" applyFont="1" applyFill="1" applyAlignment="1">
      <alignment vertical="center"/>
    </xf>
    <xf numFmtId="0" fontId="58" fillId="4" borderId="0" xfId="0" applyFont="1" applyFill="1" applyAlignment="1">
      <alignment vertical="center"/>
    </xf>
    <xf numFmtId="0" fontId="39" fillId="4" borderId="0" xfId="0" applyFont="1" applyFill="1" applyAlignment="1">
      <alignment vertical="center"/>
    </xf>
    <xf numFmtId="0" fontId="37" fillId="6" borderId="17" xfId="0" applyFont="1" applyFill="1" applyBorder="1"/>
    <xf numFmtId="0" fontId="43" fillId="6" borderId="17" xfId="0" applyFont="1" applyFill="1" applyBorder="1"/>
    <xf numFmtId="0" fontId="37" fillId="6" borderId="12" xfId="0" applyFont="1" applyFill="1" applyBorder="1"/>
    <xf numFmtId="0" fontId="61" fillId="0" borderId="0" xfId="0" applyFont="1" applyAlignment="1">
      <alignment horizontal="center"/>
    </xf>
    <xf numFmtId="0" fontId="61" fillId="6" borderId="0" xfId="0" applyFont="1" applyFill="1" applyAlignment="1">
      <alignment horizontal="center"/>
    </xf>
    <xf numFmtId="0" fontId="61" fillId="4" borderId="0" xfId="0" applyFont="1" applyFill="1" applyAlignment="1">
      <alignment horizontal="center"/>
    </xf>
    <xf numFmtId="0" fontId="62" fillId="4" borderId="20" xfId="0" applyFont="1" applyFill="1" applyBorder="1" applyAlignment="1">
      <alignment horizontal="center"/>
    </xf>
    <xf numFmtId="0" fontId="64" fillId="6" borderId="0" xfId="0" applyFont="1" applyFill="1" applyAlignment="1">
      <alignment horizontal="center"/>
    </xf>
    <xf numFmtId="0" fontId="63" fillId="6" borderId="0" xfId="0" applyFont="1" applyFill="1" applyAlignment="1">
      <alignment horizontal="center"/>
    </xf>
    <xf numFmtId="164" fontId="63" fillId="6" borderId="0" xfId="1" applyNumberFormat="1" applyFont="1" applyFill="1" applyAlignment="1">
      <alignment horizontal="center"/>
    </xf>
    <xf numFmtId="0" fontId="30" fillId="6" borderId="16" xfId="0" applyFont="1" applyFill="1" applyBorder="1" applyAlignment="1">
      <alignment horizontal="center" vertical="center"/>
    </xf>
    <xf numFmtId="0" fontId="30" fillId="6" borderId="17" xfId="0" applyFont="1" applyFill="1" applyBorder="1" applyAlignment="1">
      <alignment horizontal="center" vertical="center"/>
    </xf>
    <xf numFmtId="0" fontId="4" fillId="6" borderId="9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30" fillId="6" borderId="0" xfId="0" applyFont="1" applyFill="1" applyAlignment="1">
      <alignment horizontal="center" vertical="center"/>
    </xf>
    <xf numFmtId="0" fontId="55" fillId="6" borderId="9" xfId="0" applyFont="1" applyFill="1" applyBorder="1" applyAlignment="1">
      <alignment horizontal="center" vertical="center" wrapText="1"/>
    </xf>
    <xf numFmtId="0" fontId="55" fillId="6" borderId="10" xfId="0" applyFont="1" applyFill="1" applyBorder="1" applyAlignment="1">
      <alignment horizontal="center" vertical="center" wrapText="1"/>
    </xf>
    <xf numFmtId="0" fontId="55" fillId="6" borderId="11" xfId="0" applyFont="1" applyFill="1" applyBorder="1" applyAlignment="1">
      <alignment horizontal="center" vertical="center" wrapText="1"/>
    </xf>
    <xf numFmtId="166" fontId="57" fillId="6" borderId="9" xfId="0" applyNumberFormat="1" applyFont="1" applyFill="1" applyBorder="1" applyAlignment="1">
      <alignment horizontal="center" vertical="center"/>
    </xf>
    <xf numFmtId="166" fontId="57" fillId="6" borderId="10" xfId="0" applyNumberFormat="1" applyFont="1" applyFill="1" applyBorder="1" applyAlignment="1">
      <alignment horizontal="center" vertical="center"/>
    </xf>
    <xf numFmtId="166" fontId="57" fillId="6" borderId="11" xfId="0" applyNumberFormat="1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0" fillId="6" borderId="9" xfId="0" applyFont="1" applyFill="1" applyBorder="1" applyAlignment="1">
      <alignment horizontal="center" vertical="center"/>
    </xf>
    <xf numFmtId="0" fontId="40" fillId="6" borderId="1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 textRotation="255"/>
    </xf>
    <xf numFmtId="0" fontId="12" fillId="3" borderId="4" xfId="0" applyFont="1" applyFill="1" applyBorder="1" applyAlignment="1">
      <alignment horizontal="center" vertical="top" textRotation="255"/>
    </xf>
    <xf numFmtId="0" fontId="5" fillId="4" borderId="7" xfId="0" applyFont="1" applyFill="1" applyBorder="1" applyAlignment="1">
      <alignment horizontal="center" vertical="center"/>
    </xf>
    <xf numFmtId="0" fontId="47" fillId="4" borderId="7" xfId="0" applyFont="1" applyFill="1" applyBorder="1" applyAlignment="1">
      <alignment horizontal="center" vertical="center" wrapText="1"/>
    </xf>
    <xf numFmtId="0" fontId="30" fillId="4" borderId="18" xfId="0" applyFont="1" applyFill="1" applyBorder="1" applyAlignment="1">
      <alignment horizontal="center" vertical="center"/>
    </xf>
    <xf numFmtId="0" fontId="30" fillId="4" borderId="16" xfId="0" applyFont="1" applyFill="1" applyBorder="1" applyAlignment="1">
      <alignment horizontal="center" vertical="center"/>
    </xf>
    <xf numFmtId="0" fontId="30" fillId="4" borderId="8" xfId="0" applyFont="1" applyFill="1" applyBorder="1" applyAlignment="1">
      <alignment horizontal="center" vertical="center"/>
    </xf>
    <xf numFmtId="0" fontId="30" fillId="4" borderId="0" xfId="0" applyFont="1" applyFill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/>
    </xf>
    <xf numFmtId="0" fontId="55" fillId="4" borderId="9" xfId="0" applyFont="1" applyFill="1" applyBorder="1" applyAlignment="1">
      <alignment horizontal="center" vertical="center" wrapText="1"/>
    </xf>
    <xf numFmtId="0" fontId="55" fillId="4" borderId="10" xfId="0" applyFont="1" applyFill="1" applyBorder="1" applyAlignment="1">
      <alignment horizontal="center" vertical="center" wrapText="1"/>
    </xf>
    <xf numFmtId="0" fontId="55" fillId="4" borderId="11" xfId="0" applyFont="1" applyFill="1" applyBorder="1" applyAlignment="1">
      <alignment horizontal="center" vertical="center" wrapText="1"/>
    </xf>
    <xf numFmtId="166" fontId="57" fillId="4" borderId="9" xfId="0" applyNumberFormat="1" applyFont="1" applyFill="1" applyBorder="1" applyAlignment="1">
      <alignment horizontal="center" vertical="center"/>
    </xf>
    <xf numFmtId="166" fontId="57" fillId="4" borderId="10" xfId="0" applyNumberFormat="1" applyFont="1" applyFill="1" applyBorder="1" applyAlignment="1">
      <alignment horizontal="center" vertical="center"/>
    </xf>
    <xf numFmtId="166" fontId="57" fillId="4" borderId="11" xfId="0" applyNumberFormat="1" applyFont="1" applyFill="1" applyBorder="1" applyAlignment="1">
      <alignment horizontal="center" vertical="center"/>
    </xf>
    <xf numFmtId="0" fontId="60" fillId="4" borderId="12" xfId="0" applyFont="1" applyFill="1" applyBorder="1" applyAlignment="1">
      <alignment horizontal="center" vertical="center"/>
    </xf>
    <xf numFmtId="0" fontId="60" fillId="4" borderId="13" xfId="0" applyFont="1" applyFill="1" applyBorder="1" applyAlignment="1">
      <alignment horizontal="center" vertical="center"/>
    </xf>
    <xf numFmtId="0" fontId="60" fillId="4" borderId="7" xfId="0" applyFont="1" applyFill="1" applyBorder="1" applyAlignment="1">
      <alignment horizontal="center" vertical="center" wrapText="1"/>
    </xf>
    <xf numFmtId="0" fontId="40" fillId="4" borderId="12" xfId="0" applyFont="1" applyFill="1" applyBorder="1" applyAlignment="1">
      <alignment horizontal="center" vertical="center"/>
    </xf>
    <xf numFmtId="0" fontId="40" fillId="4" borderId="13" xfId="0" applyFont="1" applyFill="1" applyBorder="1" applyAlignment="1">
      <alignment horizontal="center" vertical="center"/>
    </xf>
    <xf numFmtId="0" fontId="11" fillId="4" borderId="16" xfId="0" applyFont="1" applyFill="1" applyBorder="1" applyAlignment="1">
      <alignment horizontal="center" vertical="center"/>
    </xf>
    <xf numFmtId="0" fontId="11" fillId="4" borderId="17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 textRotation="255" wrapText="1"/>
    </xf>
    <xf numFmtId="0" fontId="12" fillId="3" borderId="4" xfId="0" applyFont="1" applyFill="1" applyBorder="1" applyAlignment="1">
      <alignment horizontal="center" vertical="center" textRotation="255"/>
    </xf>
    <xf numFmtId="0" fontId="12" fillId="3" borderId="4" xfId="0" quotePrefix="1" applyFont="1" applyFill="1" applyBorder="1" applyAlignment="1">
      <alignment horizontal="center" vertical="top" textRotation="255"/>
    </xf>
  </cellXfs>
  <cellStyles count="3">
    <cellStyle name="Normal" xfId="0" builtinId="0"/>
    <cellStyle name="Porcentagem" xfId="2" builtinId="5"/>
    <cellStyle name="Vírgula" xfId="1" builtinId="3"/>
  </cellStyles>
  <dxfs count="184"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99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FF0000"/>
      </font>
    </dxf>
    <dxf>
      <font>
        <b/>
        <i val="0"/>
        <color rgb="FFFF6600"/>
      </font>
    </dxf>
    <dxf>
      <font>
        <b/>
        <i val="0"/>
        <color rgb="FF00800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/>
        <i val="0"/>
        <color rgb="FF00B050"/>
      </font>
    </dxf>
    <dxf>
      <font>
        <b val="0"/>
        <i val="0"/>
        <color rgb="FFFF99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66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 val="0"/>
        <i val="0"/>
        <color rgb="FF008000"/>
      </font>
    </dxf>
    <dxf>
      <font>
        <b val="0"/>
        <i val="0"/>
        <color rgb="FFFF6600"/>
      </font>
    </dxf>
    <dxf>
      <font>
        <b val="0"/>
        <i val="0"/>
        <color rgb="FFFF0000"/>
      </font>
    </dxf>
    <dxf>
      <font>
        <b/>
        <i val="0"/>
        <color rgb="FF008000"/>
      </font>
    </dxf>
    <dxf>
      <font>
        <b/>
        <i val="0"/>
        <color rgb="FFFF6600"/>
      </font>
    </dxf>
    <dxf>
      <font>
        <b/>
        <i val="0"/>
        <color rgb="FFFF0000"/>
      </font>
    </dxf>
  </dxfs>
  <tableStyles count="0" defaultTableStyle="TableStyleMedium9" defaultPivotStyle="PivotStyleLight16"/>
  <colors>
    <mruColors>
      <color rgb="FFFFFF2D"/>
      <color rgb="FF7A0B0B"/>
      <color rgb="FFF0F030"/>
      <color rgb="FF99CCFF"/>
      <color rgb="FFFF9900"/>
      <color rgb="FFFFAA2D"/>
      <color rgb="FFD9D9D9"/>
      <color rgb="FFC00000"/>
      <color rgb="FF0082D2"/>
      <color rgb="FFFCD8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Ápice">
      <a:dk1>
        <a:sysClr val="windowText" lastClr="000000"/>
      </a:dk1>
      <a:lt1>
        <a:sysClr val="window" lastClr="FFFFFF"/>
      </a:lt1>
      <a:dk2>
        <a:srgbClr val="69676D"/>
      </a:dk2>
      <a:lt2>
        <a:srgbClr val="C9C2D1"/>
      </a:lt2>
      <a:accent1>
        <a:srgbClr val="CEB966"/>
      </a:accent1>
      <a:accent2>
        <a:srgbClr val="9CB084"/>
      </a:accent2>
      <a:accent3>
        <a:srgbClr val="6BB1C9"/>
      </a:accent3>
      <a:accent4>
        <a:srgbClr val="6585CF"/>
      </a:accent4>
      <a:accent5>
        <a:srgbClr val="7E6BC9"/>
      </a:accent5>
      <a:accent6>
        <a:srgbClr val="A379BB"/>
      </a:accent6>
      <a:hlink>
        <a:srgbClr val="410082"/>
      </a:hlink>
      <a:folHlink>
        <a:srgbClr val="932968"/>
      </a:folHlink>
    </a:clrScheme>
    <a:fontScheme name="Escritório 2">
      <a:majorFont>
        <a:latin typeface="Calibri"/>
        <a:ea typeface=""/>
        <a:cs typeface=""/>
        <a:font script="Jpan" typeface="HGｺﾞｼｯｸM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Cambria"/>
        <a:ea typeface=""/>
        <a:cs typeface=""/>
        <a:font script="Jpan" typeface="HG明朝B"/>
        <a:font script="Hang" typeface="맑은 고딕"/>
        <a:font script="Hans" typeface="黑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29"/>
  <sheetViews>
    <sheetView showGridLines="0" tabSelected="1" zoomScale="80" zoomScaleNormal="80" workbookViewId="0">
      <pane xSplit="2" ySplit="7" topLeftCell="F8" activePane="bottomRight" state="frozen"/>
      <selection sqref="A1:XFD1048576"/>
      <selection pane="topRight" sqref="A1:XFD1048576"/>
      <selection pane="bottomLeft" sqref="A1:XFD1048576"/>
      <selection pane="bottomRight" activeCell="I24" sqref="I24"/>
    </sheetView>
  </sheetViews>
  <sheetFormatPr defaultColWidth="9" defaultRowHeight="14" x14ac:dyDescent="0.3"/>
  <cols>
    <col min="1" max="1" width="8.75" style="7" hidden="1" customWidth="1"/>
    <col min="2" max="2" width="19.4140625" style="1" customWidth="1"/>
    <col min="3" max="3" width="1.1640625" customWidth="1"/>
    <col min="4" max="4" width="10.58203125" style="1" customWidth="1"/>
    <col min="5" max="5" width="7.33203125" style="5" customWidth="1"/>
    <col min="6" max="6" width="1.1640625" customWidth="1"/>
    <col min="7" max="7" width="10.33203125" style="1" bestFit="1" customWidth="1"/>
    <col min="8" max="8" width="10.9140625" style="1" bestFit="1" customWidth="1"/>
    <col min="9" max="9" width="10.33203125" style="1" bestFit="1" customWidth="1"/>
    <col min="10" max="10" width="7" style="3" bestFit="1" customWidth="1"/>
    <col min="11" max="11" width="0.6640625" style="11" customWidth="1"/>
    <col min="12" max="12" width="5.9140625" style="4" bestFit="1" customWidth="1"/>
    <col min="13" max="13" width="6.83203125" style="4" customWidth="1"/>
    <col min="14" max="14" width="6.83203125" style="1" customWidth="1"/>
    <col min="15" max="15" width="0.6640625" style="11" customWidth="1"/>
    <col min="16" max="16" width="9.1640625" style="1" bestFit="1" customWidth="1"/>
    <col min="17" max="17" width="8.6640625" style="1" bestFit="1" customWidth="1"/>
    <col min="18" max="18" width="7.75" style="1" customWidth="1"/>
    <col min="19" max="19" width="8.6640625" style="1" customWidth="1"/>
    <col min="20" max="20" width="6.1640625" style="1" customWidth="1"/>
    <col min="21" max="21" width="0.6640625" style="1" customWidth="1"/>
    <col min="22" max="22" width="8.08203125" style="18" bestFit="1" customWidth="1"/>
    <col min="23" max="23" width="7.83203125" style="18" bestFit="1" customWidth="1"/>
    <col min="24" max="24" width="6.5" style="19" customWidth="1"/>
    <col min="25" max="25" width="6.6640625" style="18" customWidth="1"/>
    <col min="26" max="26" width="0.58203125" style="13" customWidth="1"/>
    <col min="27" max="27" width="7.83203125" style="1" bestFit="1" customWidth="1"/>
    <col min="28" max="28" width="7.6640625" style="1" customWidth="1"/>
    <col min="29" max="29" width="7.1640625" style="1" customWidth="1"/>
    <col min="30" max="16384" width="9" style="11"/>
  </cols>
  <sheetData>
    <row r="1" spans="1:29" s="1" customFormat="1" ht="14.5" thickBot="1" x14ac:dyDescent="0.35">
      <c r="A1" s="158"/>
      <c r="B1" s="198"/>
      <c r="C1" s="132"/>
      <c r="D1" s="142"/>
      <c r="E1" s="143"/>
      <c r="F1" s="144"/>
      <c r="G1" s="142"/>
      <c r="H1" s="142"/>
      <c r="I1" s="142"/>
      <c r="J1" s="145"/>
      <c r="K1" s="142"/>
      <c r="L1" s="146"/>
      <c r="M1" s="146"/>
      <c r="N1" s="142"/>
      <c r="O1" s="142"/>
      <c r="P1" s="142"/>
      <c r="Q1" s="142"/>
      <c r="R1" s="142"/>
      <c r="S1" s="142"/>
      <c r="T1" s="142"/>
      <c r="U1" s="142"/>
      <c r="V1" s="147"/>
      <c r="W1" s="148"/>
      <c r="X1" s="149"/>
      <c r="Y1" s="138"/>
      <c r="Z1" s="138"/>
      <c r="AA1" s="150"/>
      <c r="AB1" s="150"/>
      <c r="AC1" s="150"/>
    </row>
    <row r="2" spans="1:29" s="2" customFormat="1" ht="33.75" customHeight="1" thickBot="1" x14ac:dyDescent="0.4">
      <c r="A2" s="158"/>
      <c r="B2" s="198"/>
      <c r="C2" s="151"/>
      <c r="D2" s="199" t="s">
        <v>82</v>
      </c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  <c r="AA2" s="200"/>
      <c r="AB2" s="200"/>
      <c r="AC2" s="201"/>
    </row>
    <row r="3" spans="1:29" s="186" customFormat="1" ht="12.75" customHeight="1" thickBot="1" x14ac:dyDescent="0.3">
      <c r="B3" s="198"/>
      <c r="C3" s="187"/>
      <c r="D3" s="193"/>
      <c r="E3" s="193"/>
      <c r="F3" s="187"/>
      <c r="G3" s="187">
        <v>10</v>
      </c>
      <c r="H3" s="187"/>
      <c r="I3" s="187"/>
      <c r="J3" s="187"/>
      <c r="K3" s="187"/>
      <c r="L3" s="187">
        <v>33</v>
      </c>
      <c r="M3" s="190"/>
      <c r="N3" s="190"/>
      <c r="O3" s="190"/>
      <c r="P3" s="190"/>
      <c r="Q3" s="190"/>
      <c r="R3" s="190"/>
      <c r="S3" s="190"/>
      <c r="T3" s="190"/>
      <c r="U3" s="190"/>
      <c r="V3" s="190"/>
      <c r="W3" s="191"/>
      <c r="X3" s="192"/>
      <c r="Y3" s="191"/>
      <c r="Z3" s="191"/>
      <c r="AA3" s="190"/>
      <c r="AB3" s="190"/>
      <c r="AC3" s="190"/>
    </row>
    <row r="4" spans="1:29" s="8" customFormat="1" ht="20.25" customHeight="1" thickBot="1" x14ac:dyDescent="0.3">
      <c r="A4" s="157"/>
      <c r="B4" s="198"/>
      <c r="C4" s="133"/>
      <c r="D4" s="194"/>
      <c r="E4" s="194"/>
      <c r="F4" s="133"/>
      <c r="G4" s="202" t="s">
        <v>35</v>
      </c>
      <c r="H4" s="203"/>
      <c r="I4" s="203"/>
      <c r="J4" s="203"/>
      <c r="K4" s="203"/>
      <c r="L4" s="203"/>
      <c r="M4" s="203"/>
      <c r="N4" s="203"/>
      <c r="O4" s="203"/>
      <c r="P4" s="203"/>
      <c r="Q4" s="203"/>
      <c r="R4" s="203"/>
      <c r="S4" s="203"/>
      <c r="T4" s="204"/>
      <c r="U4" s="156"/>
      <c r="V4" s="203" t="s">
        <v>6</v>
      </c>
      <c r="W4" s="203"/>
      <c r="X4" s="203"/>
      <c r="Y4" s="203"/>
      <c r="Z4" s="203"/>
      <c r="AA4" s="203"/>
      <c r="AB4" s="203"/>
      <c r="AC4" s="204"/>
    </row>
    <row r="5" spans="1:29" s="57" customFormat="1" ht="25.5" customHeight="1" thickBot="1" x14ac:dyDescent="0.35">
      <c r="A5" s="159"/>
      <c r="B5" s="198"/>
      <c r="C5" s="134"/>
      <c r="D5" s="205" t="s">
        <v>5</v>
      </c>
      <c r="E5" s="206"/>
      <c r="F5" s="135"/>
      <c r="G5" s="205" t="s">
        <v>36</v>
      </c>
      <c r="H5" s="207"/>
      <c r="I5" s="207"/>
      <c r="J5" s="206"/>
      <c r="K5" s="135"/>
      <c r="L5" s="205" t="s">
        <v>47</v>
      </c>
      <c r="M5" s="207"/>
      <c r="N5" s="206"/>
      <c r="O5" s="135"/>
      <c r="P5" s="205" t="s">
        <v>45</v>
      </c>
      <c r="Q5" s="207"/>
      <c r="R5" s="207"/>
      <c r="S5" s="207"/>
      <c r="T5" s="206"/>
      <c r="U5" s="155"/>
      <c r="V5" s="208" t="s">
        <v>36</v>
      </c>
      <c r="W5" s="209"/>
      <c r="X5" s="195" t="s">
        <v>47</v>
      </c>
      <c r="Y5" s="196"/>
      <c r="Z5" s="135"/>
      <c r="AA5" s="195" t="s">
        <v>45</v>
      </c>
      <c r="AB5" s="197"/>
      <c r="AC5" s="196"/>
    </row>
    <row r="6" spans="1:29" s="58" customFormat="1" ht="33" customHeight="1" thickBot="1" x14ac:dyDescent="0.35">
      <c r="A6" s="160"/>
      <c r="B6" s="152" t="s">
        <v>0</v>
      </c>
      <c r="C6" s="153"/>
      <c r="D6" s="137" t="s">
        <v>2</v>
      </c>
      <c r="E6" s="137" t="s">
        <v>13</v>
      </c>
      <c r="F6" s="153"/>
      <c r="G6" s="137" t="s">
        <v>1</v>
      </c>
      <c r="H6" s="140" t="s">
        <v>37</v>
      </c>
      <c r="I6" s="137" t="s">
        <v>2</v>
      </c>
      <c r="J6" s="137" t="s">
        <v>3</v>
      </c>
      <c r="K6" s="153"/>
      <c r="L6" s="137" t="s">
        <v>1</v>
      </c>
      <c r="M6" s="137" t="s">
        <v>2</v>
      </c>
      <c r="N6" s="137" t="s">
        <v>3</v>
      </c>
      <c r="O6" s="153"/>
      <c r="P6" s="137" t="s">
        <v>1</v>
      </c>
      <c r="Q6" s="137" t="s">
        <v>2</v>
      </c>
      <c r="R6" s="137" t="s">
        <v>11</v>
      </c>
      <c r="S6" s="137" t="s">
        <v>43</v>
      </c>
      <c r="T6" s="137" t="s">
        <v>3</v>
      </c>
      <c r="U6" s="137"/>
      <c r="V6" s="137" t="s">
        <v>46</v>
      </c>
      <c r="W6" s="137" t="s">
        <v>2</v>
      </c>
      <c r="X6" s="137" t="s">
        <v>2</v>
      </c>
      <c r="Y6" s="154" t="s">
        <v>3</v>
      </c>
      <c r="Z6" s="153"/>
      <c r="AA6" s="137" t="s">
        <v>1</v>
      </c>
      <c r="AB6" s="137" t="s">
        <v>2</v>
      </c>
      <c r="AC6" s="137" t="s">
        <v>3</v>
      </c>
    </row>
    <row r="7" spans="1:29" ht="6" customHeight="1" x14ac:dyDescent="0.25">
      <c r="C7" s="22"/>
      <c r="D7" s="12"/>
      <c r="E7" s="23"/>
      <c r="F7" s="12"/>
      <c r="G7" s="22"/>
      <c r="H7" s="60"/>
      <c r="I7" s="12"/>
      <c r="J7" s="21"/>
      <c r="L7" s="24"/>
      <c r="M7" s="67"/>
      <c r="N7" s="22"/>
      <c r="P7" s="12"/>
      <c r="Q7" s="12"/>
      <c r="R7" s="12"/>
      <c r="S7" s="12"/>
      <c r="T7" s="22"/>
      <c r="U7" s="22"/>
      <c r="X7" s="66"/>
      <c r="AA7" s="12"/>
      <c r="AB7" s="12"/>
      <c r="AC7" s="22"/>
    </row>
    <row r="8" spans="1:29" s="14" customFormat="1" ht="14.25" customHeight="1" x14ac:dyDescent="0.3">
      <c r="A8" s="64" t="s">
        <v>4</v>
      </c>
      <c r="B8" s="105" t="s">
        <v>60</v>
      </c>
      <c r="C8" s="64"/>
      <c r="D8" s="83">
        <v>29474171.309999995</v>
      </c>
      <c r="E8" s="120">
        <v>4.0169315834699137</v>
      </c>
      <c r="F8" s="64"/>
      <c r="G8" s="84">
        <v>7337484.021706827</v>
      </c>
      <c r="H8" s="84">
        <v>7337484.0217068279</v>
      </c>
      <c r="I8" s="85">
        <v>7883077.0400000485</v>
      </c>
      <c r="J8" s="70">
        <v>1.0743569616886615</v>
      </c>
      <c r="K8" s="86"/>
      <c r="L8" s="87">
        <v>2.95</v>
      </c>
      <c r="M8" s="88">
        <v>-3.5471192413965977</v>
      </c>
      <c r="N8" s="70">
        <v>-1.2024133021683381</v>
      </c>
      <c r="O8" s="86"/>
      <c r="P8" s="84">
        <v>216455.77864035143</v>
      </c>
      <c r="Q8" s="84">
        <v>-279622.1424999591</v>
      </c>
      <c r="R8" s="83">
        <v>4414.5</v>
      </c>
      <c r="S8" s="85">
        <v>-275207.6424999591</v>
      </c>
      <c r="T8" s="70">
        <v>-1.2714266360946911</v>
      </c>
      <c r="U8" s="69"/>
      <c r="V8" s="83">
        <v>349404.00103365845</v>
      </c>
      <c r="W8" s="89">
        <v>182194.74000000002</v>
      </c>
      <c r="X8" s="90">
        <v>-2.3530756156845878</v>
      </c>
      <c r="Y8" s="70">
        <v>-0.79765275107952127</v>
      </c>
      <c r="Z8" s="91"/>
      <c r="AA8" s="85">
        <v>10307.418030492925</v>
      </c>
      <c r="AB8" s="85">
        <v>-4287.1799999999339</v>
      </c>
      <c r="AC8" s="70">
        <v>-0.41593151527540317</v>
      </c>
    </row>
    <row r="9" spans="1:29" s="14" customFormat="1" ht="14.25" customHeight="1" x14ac:dyDescent="0.3">
      <c r="A9" s="64" t="s">
        <v>24</v>
      </c>
      <c r="B9" s="82" t="s">
        <v>48</v>
      </c>
      <c r="C9" s="28"/>
      <c r="D9" s="83">
        <v>1101575.8600000001</v>
      </c>
      <c r="E9" s="120">
        <v>0.67380406076215249</v>
      </c>
      <c r="F9" s="28"/>
      <c r="G9" s="84">
        <v>1634860.8210434155</v>
      </c>
      <c r="H9" s="84">
        <v>1634860.8210434155</v>
      </c>
      <c r="I9" s="85">
        <v>1511783.230000003</v>
      </c>
      <c r="J9" s="70">
        <v>0.92471677744111525</v>
      </c>
      <c r="K9" s="86"/>
      <c r="L9" s="87">
        <v>3.55</v>
      </c>
      <c r="M9" s="88">
        <v>-1.8441360008998278</v>
      </c>
      <c r="N9" s="70">
        <v>-0.51947492983093746</v>
      </c>
      <c r="O9" s="86"/>
      <c r="P9" s="84">
        <v>58037.559147041247</v>
      </c>
      <c r="Q9" s="84">
        <v>-27879.338799996302</v>
      </c>
      <c r="R9" s="83">
        <v>2922.0699999999997</v>
      </c>
      <c r="S9" s="85">
        <v>-24957.268799996302</v>
      </c>
      <c r="T9" s="70">
        <v>-0.43001926970715176</v>
      </c>
      <c r="U9" s="69"/>
      <c r="V9" s="83">
        <v>77850.515287781687</v>
      </c>
      <c r="W9" s="89">
        <v>40551.340000000011</v>
      </c>
      <c r="X9" s="90">
        <v>-1.4417772630941141</v>
      </c>
      <c r="Y9" s="70">
        <v>-0.40613444030820117</v>
      </c>
      <c r="Z9" s="91"/>
      <c r="AA9" s="85">
        <v>2763.6932927162497</v>
      </c>
      <c r="AB9" s="85">
        <v>-584.65999999998883</v>
      </c>
      <c r="AC9" s="70">
        <v>-0.2115502474680776</v>
      </c>
    </row>
    <row r="10" spans="1:29" s="14" customFormat="1" ht="14.25" customHeight="1" x14ac:dyDescent="0.3">
      <c r="A10" s="64" t="s">
        <v>14</v>
      </c>
      <c r="B10" s="82" t="s">
        <v>61</v>
      </c>
      <c r="C10" s="28"/>
      <c r="D10" s="83">
        <v>12061207.770000001</v>
      </c>
      <c r="E10" s="120">
        <v>0.6801170205973287</v>
      </c>
      <c r="F10" s="28"/>
      <c r="G10" s="84">
        <v>17734018.418487694</v>
      </c>
      <c r="H10" s="84">
        <v>17734018.418487694</v>
      </c>
      <c r="I10" s="85">
        <v>17991003.720000856</v>
      </c>
      <c r="J10" s="70">
        <v>1.0144910925120758</v>
      </c>
      <c r="K10" s="86"/>
      <c r="L10" s="87">
        <v>3.7</v>
      </c>
      <c r="M10" s="88">
        <v>0.42383465026897826</v>
      </c>
      <c r="N10" s="70">
        <v>0.11454990547810223</v>
      </c>
      <c r="O10" s="86"/>
      <c r="P10" s="84">
        <v>656158.68148404476</v>
      </c>
      <c r="Q10" s="84">
        <v>76252.107696544495</v>
      </c>
      <c r="R10" s="83">
        <v>4141.2299999999996</v>
      </c>
      <c r="S10" s="85">
        <v>80393.337696544491</v>
      </c>
      <c r="T10" s="70">
        <v>0.12252118270342408</v>
      </c>
      <c r="U10" s="69"/>
      <c r="V10" s="83">
        <v>844477.06754703308</v>
      </c>
      <c r="W10" s="89">
        <v>852249.1400000006</v>
      </c>
      <c r="X10" s="90">
        <v>-10.419670004008481</v>
      </c>
      <c r="Y10" s="70">
        <v>-2.8161270281104001</v>
      </c>
      <c r="Z10" s="91"/>
      <c r="AA10" s="85">
        <v>31245.651499240226</v>
      </c>
      <c r="AB10" s="85">
        <v>-88801.548000000301</v>
      </c>
      <c r="AC10" s="70">
        <v>-2.8420450123166616</v>
      </c>
    </row>
    <row r="11" spans="1:29" s="14" customFormat="1" ht="14.25" customHeight="1" x14ac:dyDescent="0.3">
      <c r="A11" s="64" t="s">
        <v>18</v>
      </c>
      <c r="B11" s="82" t="s">
        <v>64</v>
      </c>
      <c r="C11" s="28"/>
      <c r="D11" s="83">
        <v>5722763.3699999973</v>
      </c>
      <c r="E11" s="120">
        <v>0.65930720519973518</v>
      </c>
      <c r="F11" s="28"/>
      <c r="G11" s="84">
        <v>8679964.8553306852</v>
      </c>
      <c r="H11" s="84">
        <v>8679964.8553306852</v>
      </c>
      <c r="I11" s="85">
        <v>7872174.1800003666</v>
      </c>
      <c r="J11" s="70">
        <v>0.90693618133324305</v>
      </c>
      <c r="K11" s="86"/>
      <c r="L11" s="87">
        <v>3.7</v>
      </c>
      <c r="M11" s="88">
        <v>-1.0973377458938862</v>
      </c>
      <c r="N11" s="70">
        <v>-0.29657776916050976</v>
      </c>
      <c r="O11" s="86"/>
      <c r="P11" s="84">
        <v>321158.69964723533</v>
      </c>
      <c r="Q11" s="84">
        <v>-86384.338699656539</v>
      </c>
      <c r="R11" s="83">
        <v>0</v>
      </c>
      <c r="S11" s="85">
        <v>-86384.338699656539</v>
      </c>
      <c r="T11" s="70">
        <v>-0.2689771094307648</v>
      </c>
      <c r="U11" s="69"/>
      <c r="V11" s="83">
        <v>413331.65977765166</v>
      </c>
      <c r="W11" s="89">
        <v>186870.49999999968</v>
      </c>
      <c r="X11" s="90">
        <v>-9.3156437212094462E-2</v>
      </c>
      <c r="Y11" s="70">
        <v>-2.5177415462728232E-2</v>
      </c>
      <c r="Z11" s="91"/>
      <c r="AA11" s="85">
        <v>15293.271411773114</v>
      </c>
      <c r="AB11" s="85">
        <v>-174.08190000042669</v>
      </c>
      <c r="AC11" s="70">
        <v>-1.1382907901995018E-2</v>
      </c>
    </row>
    <row r="12" spans="1:29" s="14" customFormat="1" ht="14.25" customHeight="1" x14ac:dyDescent="0.3">
      <c r="A12" s="64" t="s">
        <v>16</v>
      </c>
      <c r="B12" s="82" t="s">
        <v>62</v>
      </c>
      <c r="C12" s="28"/>
      <c r="D12" s="83">
        <v>36019979.120000012</v>
      </c>
      <c r="E12" s="120">
        <v>1.36946899689973</v>
      </c>
      <c r="F12" s="28"/>
      <c r="G12" s="84">
        <v>26302150.104561534</v>
      </c>
      <c r="H12" s="84">
        <v>26302150.104561534</v>
      </c>
      <c r="I12" s="85">
        <v>27005880.900000028</v>
      </c>
      <c r="J12" s="70">
        <v>1.0267556375673048</v>
      </c>
      <c r="K12" s="86"/>
      <c r="L12" s="87">
        <v>2.95</v>
      </c>
      <c r="M12" s="88">
        <v>-5.0545305763386779</v>
      </c>
      <c r="N12" s="70">
        <v>-1.7134001953690432</v>
      </c>
      <c r="O12" s="86"/>
      <c r="P12" s="84">
        <v>775913.42808456521</v>
      </c>
      <c r="Q12" s="84">
        <v>-1365020.5075001086</v>
      </c>
      <c r="R12" s="83">
        <v>6720.66</v>
      </c>
      <c r="S12" s="85">
        <v>-1358299.8475001086</v>
      </c>
      <c r="T12" s="70">
        <v>-1.7505816993697785</v>
      </c>
      <c r="U12" s="69"/>
      <c r="V12" s="83">
        <v>1252483.3383124541</v>
      </c>
      <c r="W12" s="89">
        <v>717378.01000000024</v>
      </c>
      <c r="X12" s="90">
        <v>-4.0638257367269812</v>
      </c>
      <c r="Y12" s="70">
        <v>-1.3775680463481292</v>
      </c>
      <c r="Z12" s="91"/>
      <c r="AA12" s="85">
        <v>36948.258480217395</v>
      </c>
      <c r="AB12" s="85">
        <v>-29152.992199999866</v>
      </c>
      <c r="AC12" s="70">
        <v>-0.78902209195079598</v>
      </c>
    </row>
    <row r="13" spans="1:29" s="14" customFormat="1" ht="14.25" customHeight="1" x14ac:dyDescent="0.3">
      <c r="A13" s="64" t="s">
        <v>19</v>
      </c>
      <c r="B13" s="82" t="s">
        <v>63</v>
      </c>
      <c r="C13" s="28"/>
      <c r="D13" s="83">
        <v>2818267.2599999993</v>
      </c>
      <c r="E13" s="120">
        <v>1.1173439514540808</v>
      </c>
      <c r="F13" s="28"/>
      <c r="G13" s="84">
        <v>2522291.597258287</v>
      </c>
      <c r="H13" s="84">
        <v>2522291.597258287</v>
      </c>
      <c r="I13" s="85">
        <v>2948361.3599999975</v>
      </c>
      <c r="J13" s="70">
        <v>1.1689216913717848</v>
      </c>
      <c r="K13" s="86"/>
      <c r="L13" s="87">
        <v>4.05</v>
      </c>
      <c r="M13" s="88">
        <v>-4.164937896215041</v>
      </c>
      <c r="N13" s="70">
        <v>-1.028379727460504</v>
      </c>
      <c r="O13" s="86"/>
      <c r="P13" s="84">
        <v>102152.80968896061</v>
      </c>
      <c r="Q13" s="84">
        <v>-122797.41960000107</v>
      </c>
      <c r="R13" s="83">
        <v>1232.95</v>
      </c>
      <c r="S13" s="85">
        <v>-121564.46960000107</v>
      </c>
      <c r="T13" s="70">
        <v>-1.1900257072727216</v>
      </c>
      <c r="U13" s="69"/>
      <c r="V13" s="83">
        <v>120109.12367896605</v>
      </c>
      <c r="W13" s="89">
        <v>46133.389999999985</v>
      </c>
      <c r="X13" s="90">
        <v>-1.5014992394879547</v>
      </c>
      <c r="Y13" s="70">
        <v>-0.37074055295998881</v>
      </c>
      <c r="Z13" s="92"/>
      <c r="AA13" s="85">
        <v>4864.4195089981249</v>
      </c>
      <c r="AB13" s="85">
        <v>-692.69250000001193</v>
      </c>
      <c r="AC13" s="70">
        <v>-0.14239982771195628</v>
      </c>
    </row>
    <row r="14" spans="1:29" s="14" customFormat="1" ht="14.25" customHeight="1" x14ac:dyDescent="0.3">
      <c r="A14" s="64" t="s">
        <v>20</v>
      </c>
      <c r="B14" s="82" t="s">
        <v>52</v>
      </c>
      <c r="C14" s="28"/>
      <c r="D14" s="83">
        <v>2076445.3500000006</v>
      </c>
      <c r="E14" s="120">
        <v>1.0591447089687065</v>
      </c>
      <c r="F14" s="28"/>
      <c r="G14" s="84">
        <v>1960492.5865341325</v>
      </c>
      <c r="H14" s="84">
        <v>1960492.5865341325</v>
      </c>
      <c r="I14" s="85">
        <v>2023293.9599999906</v>
      </c>
      <c r="J14" s="70">
        <v>1.0320334664345159</v>
      </c>
      <c r="K14" s="86"/>
      <c r="L14" s="87">
        <v>4.05</v>
      </c>
      <c r="M14" s="88">
        <v>-1.1797980852971208</v>
      </c>
      <c r="N14" s="70">
        <v>-0.29130816920916563</v>
      </c>
      <c r="O14" s="86"/>
      <c r="P14" s="84">
        <v>79399.949754632355</v>
      </c>
      <c r="Q14" s="84">
        <v>-23870.783400012184</v>
      </c>
      <c r="R14" s="83">
        <v>0</v>
      </c>
      <c r="S14" s="85">
        <v>-23870.783400012184</v>
      </c>
      <c r="T14" s="70">
        <v>-0.30063977966962774</v>
      </c>
      <c r="U14" s="69"/>
      <c r="V14" s="83">
        <v>93356.78983495869</v>
      </c>
      <c r="W14" s="89">
        <v>73109.920000000086</v>
      </c>
      <c r="X14" s="90">
        <v>0.38758078247124617</v>
      </c>
      <c r="Y14" s="70">
        <v>9.5698958634875597E-2</v>
      </c>
      <c r="Z14" s="91"/>
      <c r="AA14" s="85">
        <v>3780.9499883158264</v>
      </c>
      <c r="AB14" s="85">
        <v>283.36000000010239</v>
      </c>
      <c r="AC14" s="70">
        <v>7.4944128030194151E-2</v>
      </c>
    </row>
    <row r="15" spans="1:29" s="14" customFormat="1" ht="14.25" customHeight="1" x14ac:dyDescent="0.3">
      <c r="A15" s="64" t="s">
        <v>17</v>
      </c>
      <c r="B15" s="82" t="s">
        <v>72</v>
      </c>
      <c r="C15" s="28"/>
      <c r="D15" s="83">
        <v>8028591.1700000037</v>
      </c>
      <c r="E15" s="120">
        <v>0.50973313432162048</v>
      </c>
      <c r="F15" s="28"/>
      <c r="G15" s="84">
        <v>15750577.36963651</v>
      </c>
      <c r="H15" s="84">
        <v>15750577.36963651</v>
      </c>
      <c r="I15" s="85">
        <v>14991659.570000269</v>
      </c>
      <c r="J15" s="70">
        <v>0.95181650920941729</v>
      </c>
      <c r="K15" s="86"/>
      <c r="L15" s="87">
        <v>3</v>
      </c>
      <c r="M15" s="88">
        <v>-8.4331778926575485</v>
      </c>
      <c r="N15" s="70">
        <v>-2.8110592975525162</v>
      </c>
      <c r="O15" s="86"/>
      <c r="P15" s="84">
        <v>472517.32108909532</v>
      </c>
      <c r="Q15" s="84">
        <v>-1264273.3205997425</v>
      </c>
      <c r="R15" s="83">
        <v>0</v>
      </c>
      <c r="S15" s="85">
        <v>-1264273.3205997425</v>
      </c>
      <c r="T15" s="70">
        <v>-2.6756126477771125</v>
      </c>
      <c r="U15" s="69"/>
      <c r="V15" s="83">
        <v>750027.49379221478</v>
      </c>
      <c r="W15" s="89">
        <v>531113.28</v>
      </c>
      <c r="X15" s="90">
        <v>-19.276799951226987</v>
      </c>
      <c r="Y15" s="70">
        <v>-6.4255999837423294</v>
      </c>
      <c r="Z15" s="91"/>
      <c r="AA15" s="85">
        <v>22500.824813766441</v>
      </c>
      <c r="AB15" s="85">
        <v>-102381.64450000007</v>
      </c>
      <c r="AC15" s="70">
        <v>-4.5501285107273484</v>
      </c>
    </row>
    <row r="16" spans="1:29" s="14" customFormat="1" ht="13" x14ac:dyDescent="0.3">
      <c r="A16" s="64" t="s">
        <v>22</v>
      </c>
      <c r="B16" s="82" t="s">
        <v>51</v>
      </c>
      <c r="C16" s="28"/>
      <c r="D16" s="83">
        <v>16059527.980000002</v>
      </c>
      <c r="E16" s="120">
        <v>0.89973577907564251</v>
      </c>
      <c r="F16" s="28"/>
      <c r="G16" s="84">
        <v>17849160.112871144</v>
      </c>
      <c r="H16" s="84">
        <v>17849160.112871144</v>
      </c>
      <c r="I16" s="85">
        <v>17509756.970000476</v>
      </c>
      <c r="J16" s="70">
        <v>0.9809849236196877</v>
      </c>
      <c r="K16" s="86"/>
      <c r="L16" s="87">
        <v>2.6</v>
      </c>
      <c r="M16" s="88">
        <v>-4.717181267076203</v>
      </c>
      <c r="N16" s="70">
        <v>-1.814300487337001</v>
      </c>
      <c r="O16" s="86"/>
      <c r="P16" s="84">
        <v>464078.16293464974</v>
      </c>
      <c r="Q16" s="84">
        <v>-825966.97569943219</v>
      </c>
      <c r="R16" s="83">
        <v>2152.6999999999998</v>
      </c>
      <c r="S16" s="85">
        <v>-823814.27569943224</v>
      </c>
      <c r="T16" s="70">
        <v>-1.7751627667416008</v>
      </c>
      <c r="U16" s="69"/>
      <c r="V16" s="83">
        <v>849960.00537481636</v>
      </c>
      <c r="W16" s="89">
        <v>437072.78999999992</v>
      </c>
      <c r="X16" s="90">
        <v>-6.0043262816704042</v>
      </c>
      <c r="Y16" s="70">
        <v>-2.3093562621809247</v>
      </c>
      <c r="Z16" s="91"/>
      <c r="AA16" s="85">
        <v>22098.960139745228</v>
      </c>
      <c r="AB16" s="85">
        <v>-26243.27640000009</v>
      </c>
      <c r="AC16" s="70">
        <v>-1.1875344466005557</v>
      </c>
    </row>
    <row r="17" spans="1:29" s="14" customFormat="1" ht="13" x14ac:dyDescent="0.3">
      <c r="A17" s="64" t="s">
        <v>68</v>
      </c>
      <c r="B17" s="82" t="s">
        <v>77</v>
      </c>
      <c r="C17" s="28"/>
      <c r="D17" s="83">
        <v>175.10000000000002</v>
      </c>
      <c r="E17" s="120"/>
      <c r="F17" s="28"/>
      <c r="G17" s="84"/>
      <c r="H17" s="84"/>
      <c r="I17" s="85">
        <v>0</v>
      </c>
      <c r="J17" s="70" t="s">
        <v>69</v>
      </c>
      <c r="K17" s="86"/>
      <c r="L17" s="87"/>
      <c r="M17" s="88">
        <v>0</v>
      </c>
      <c r="N17" s="70" t="s">
        <v>69</v>
      </c>
      <c r="O17" s="86"/>
      <c r="P17" s="84">
        <v>0</v>
      </c>
      <c r="Q17" s="84">
        <v>0</v>
      </c>
      <c r="R17" s="83">
        <v>0</v>
      </c>
      <c r="S17" s="85">
        <v>0</v>
      </c>
      <c r="T17" s="70" t="s">
        <v>69</v>
      </c>
      <c r="U17" s="69"/>
      <c r="V17" s="83">
        <v>0</v>
      </c>
      <c r="W17" s="89">
        <v>1563.81</v>
      </c>
      <c r="X17" s="90">
        <v>8.7229266982561722</v>
      </c>
      <c r="Y17" s="70">
        <v>0</v>
      </c>
      <c r="Z17" s="91"/>
      <c r="AA17" s="85">
        <v>0</v>
      </c>
      <c r="AB17" s="85">
        <v>136.40999999999983</v>
      </c>
      <c r="AC17" s="70" t="s">
        <v>69</v>
      </c>
    </row>
    <row r="18" spans="1:29" s="14" customFormat="1" ht="13" x14ac:dyDescent="0.3">
      <c r="A18" s="64" t="s">
        <v>59</v>
      </c>
      <c r="B18" s="82" t="s">
        <v>73</v>
      </c>
      <c r="C18" s="28"/>
      <c r="D18" s="83">
        <v>5282.72</v>
      </c>
      <c r="E18" s="120"/>
      <c r="F18" s="28"/>
      <c r="G18" s="84"/>
      <c r="H18" s="84"/>
      <c r="I18" s="85">
        <v>3212.82</v>
      </c>
      <c r="J18" s="70" t="s">
        <v>69</v>
      </c>
      <c r="K18" s="86"/>
      <c r="L18" s="87"/>
      <c r="M18" s="88">
        <v>6.9558829937562638</v>
      </c>
      <c r="N18" s="70" t="s">
        <v>69</v>
      </c>
      <c r="O18" s="86"/>
      <c r="P18" s="84">
        <v>0</v>
      </c>
      <c r="Q18" s="84">
        <v>223.48</v>
      </c>
      <c r="R18" s="83">
        <v>0</v>
      </c>
      <c r="S18" s="85">
        <v>223.48</v>
      </c>
      <c r="T18" s="70" t="s">
        <v>69</v>
      </c>
      <c r="U18" s="69"/>
      <c r="V18" s="83">
        <v>0</v>
      </c>
      <c r="W18" s="89">
        <v>119.9</v>
      </c>
      <c r="X18" s="90">
        <v>23.919933277731449</v>
      </c>
      <c r="Y18" s="70">
        <v>0</v>
      </c>
      <c r="Z18" s="91"/>
      <c r="AA18" s="85">
        <v>0</v>
      </c>
      <c r="AB18" s="85">
        <v>28.68000000000001</v>
      </c>
      <c r="AC18" s="70" t="s">
        <v>69</v>
      </c>
    </row>
    <row r="19" spans="1:29" s="14" customFormat="1" ht="13" hidden="1" x14ac:dyDescent="0.3">
      <c r="A19" s="64"/>
      <c r="B19" s="82"/>
      <c r="C19" s="28"/>
      <c r="D19" s="83"/>
      <c r="E19" s="120"/>
      <c r="F19" s="28"/>
      <c r="G19" s="84"/>
      <c r="H19" s="84"/>
      <c r="I19" s="85"/>
      <c r="J19" s="70"/>
      <c r="K19" s="86"/>
      <c r="L19" s="87"/>
      <c r="M19" s="88"/>
      <c r="N19" s="70"/>
      <c r="O19" s="86"/>
      <c r="P19" s="84"/>
      <c r="Q19" s="84"/>
      <c r="R19" s="83"/>
      <c r="S19" s="85"/>
      <c r="T19" s="70"/>
      <c r="U19" s="69"/>
      <c r="V19" s="83"/>
      <c r="W19" s="89"/>
      <c r="X19" s="90"/>
      <c r="Y19" s="70"/>
      <c r="Z19" s="86"/>
      <c r="AA19" s="85"/>
      <c r="AB19" s="85"/>
      <c r="AC19" s="70"/>
    </row>
    <row r="20" spans="1:29" s="14" customFormat="1" ht="13" hidden="1" x14ac:dyDescent="0.3">
      <c r="A20" s="64"/>
      <c r="B20" s="82"/>
      <c r="C20" s="28"/>
      <c r="D20" s="83"/>
      <c r="E20" s="120"/>
      <c r="F20" s="28"/>
      <c r="G20" s="84"/>
      <c r="H20" s="84"/>
      <c r="I20" s="85"/>
      <c r="J20" s="70"/>
      <c r="K20" s="86"/>
      <c r="L20" s="87"/>
      <c r="M20" s="88"/>
      <c r="N20" s="70"/>
      <c r="O20" s="86"/>
      <c r="P20" s="84"/>
      <c r="Q20" s="84"/>
      <c r="R20" s="83"/>
      <c r="S20" s="85"/>
      <c r="T20" s="70"/>
      <c r="U20" s="69"/>
      <c r="V20" s="83"/>
      <c r="W20" s="89"/>
      <c r="X20" s="90"/>
      <c r="Y20" s="70"/>
      <c r="Z20" s="86"/>
      <c r="AA20" s="85"/>
      <c r="AB20" s="85"/>
      <c r="AC20" s="70"/>
    </row>
    <row r="21" spans="1:29" s="79" customFormat="1" ht="13" hidden="1" x14ac:dyDescent="0.3">
      <c r="A21" s="71"/>
      <c r="B21" s="72"/>
      <c r="C21" s="74"/>
      <c r="D21" s="73"/>
      <c r="E21" s="121"/>
      <c r="F21" s="74"/>
      <c r="G21" s="75"/>
      <c r="H21" s="75"/>
      <c r="I21" s="75"/>
      <c r="J21" s="110"/>
      <c r="K21" s="78"/>
      <c r="L21" s="77"/>
      <c r="M21" s="77"/>
      <c r="N21" s="110"/>
      <c r="O21" s="78"/>
      <c r="P21" s="75"/>
      <c r="Q21" s="75"/>
      <c r="R21" s="73"/>
      <c r="S21" s="75"/>
      <c r="T21" s="110"/>
      <c r="U21" s="76"/>
      <c r="V21" s="73"/>
      <c r="W21" s="76"/>
      <c r="X21" s="76"/>
      <c r="Y21" s="76"/>
      <c r="Z21" s="78"/>
      <c r="AA21" s="75"/>
      <c r="AB21" s="75"/>
      <c r="AC21" s="110"/>
    </row>
    <row r="22" spans="1:29" s="14" customFormat="1" ht="13" x14ac:dyDescent="0.3">
      <c r="A22" s="26"/>
      <c r="B22" s="25" t="s">
        <v>49</v>
      </c>
      <c r="C22" s="28"/>
      <c r="D22" s="68">
        <v>113367987.01000001</v>
      </c>
      <c r="E22" s="122">
        <v>1.1362819570607794</v>
      </c>
      <c r="F22" s="28"/>
      <c r="G22" s="41">
        <v>99770999.887430221</v>
      </c>
      <c r="H22" s="41">
        <v>99770999.887430236</v>
      </c>
      <c r="I22" s="41">
        <v>99740203.750002027</v>
      </c>
      <c r="J22" s="44">
        <v>0.99969133177513547</v>
      </c>
      <c r="K22" s="45"/>
      <c r="L22" s="43">
        <v>3.153092976937192</v>
      </c>
      <c r="M22" s="43">
        <v>-3.929548057597871</v>
      </c>
      <c r="N22" s="44">
        <v>-1.2462518823072897</v>
      </c>
      <c r="O22" s="45"/>
      <c r="P22" s="41">
        <v>3145872.3904705765</v>
      </c>
      <c r="Q22" s="41">
        <v>-3919339.2391023641</v>
      </c>
      <c r="R22" s="40">
        <v>21584.11</v>
      </c>
      <c r="S22" s="41">
        <v>-3897755.1291023637</v>
      </c>
      <c r="T22" s="44">
        <v>-1.2390061150952523</v>
      </c>
      <c r="U22" s="42"/>
      <c r="V22" s="40">
        <v>4750999.9946395345</v>
      </c>
      <c r="W22" s="40">
        <v>3068356.8200000003</v>
      </c>
      <c r="X22" s="46">
        <v>-8.2086158903774624</v>
      </c>
      <c r="Y22" s="44">
        <v>-2.6033535802521861</v>
      </c>
      <c r="Z22" s="45"/>
      <c r="AA22" s="41">
        <v>149803.44716526553</v>
      </c>
      <c r="AB22" s="41">
        <v>-251869.62550000058</v>
      </c>
      <c r="AC22" s="44">
        <v>-1.681333976394642</v>
      </c>
    </row>
    <row r="23" spans="1:29" ht="14.5" x14ac:dyDescent="0.35">
      <c r="C23" s="55"/>
      <c r="D23" s="59"/>
      <c r="E23" s="54"/>
      <c r="F23" s="55"/>
      <c r="G23" s="104"/>
      <c r="H23" s="48"/>
      <c r="I23" s="48"/>
      <c r="J23" s="49"/>
      <c r="K23" s="34"/>
      <c r="L23" s="50"/>
      <c r="M23" s="50"/>
      <c r="N23" s="48"/>
      <c r="O23" s="34"/>
      <c r="P23" s="48"/>
      <c r="Q23" s="48"/>
      <c r="R23" s="48"/>
      <c r="S23" s="48"/>
      <c r="T23" s="48"/>
      <c r="U23" s="48"/>
      <c r="V23" s="47"/>
      <c r="W23" s="47"/>
      <c r="X23" s="52"/>
      <c r="Y23" s="47"/>
      <c r="Z23" s="36"/>
      <c r="AA23" s="48"/>
      <c r="AB23" s="48"/>
      <c r="AC23" s="48"/>
    </row>
    <row r="24" spans="1:29" ht="14.5" x14ac:dyDescent="0.35">
      <c r="C24" s="55"/>
      <c r="D24" s="59"/>
      <c r="E24" s="54"/>
      <c r="F24" s="55"/>
      <c r="G24" s="56"/>
      <c r="H24" s="48"/>
      <c r="I24" s="56"/>
      <c r="J24" s="49"/>
      <c r="K24" s="34"/>
      <c r="L24" s="50"/>
      <c r="M24" s="50"/>
      <c r="N24" s="48"/>
      <c r="O24" s="34"/>
      <c r="P24" s="56"/>
      <c r="Q24" s="56"/>
      <c r="R24" s="56"/>
      <c r="S24" s="56"/>
      <c r="T24" s="48"/>
      <c r="U24" s="48"/>
      <c r="V24" s="47"/>
      <c r="W24" s="59"/>
      <c r="X24" s="52"/>
      <c r="Y24" s="47"/>
      <c r="Z24" s="36"/>
      <c r="AA24" s="56"/>
      <c r="AB24" s="56"/>
      <c r="AC24" s="48"/>
    </row>
    <row r="25" spans="1:29" ht="14.5" x14ac:dyDescent="0.35">
      <c r="A25" s="65"/>
      <c r="B25" s="11"/>
      <c r="C25" s="55"/>
      <c r="D25" s="59"/>
      <c r="E25" s="54"/>
      <c r="F25" s="55"/>
      <c r="G25" s="56"/>
      <c r="H25" s="48"/>
      <c r="I25" s="48"/>
      <c r="J25" s="49"/>
      <c r="K25" s="34"/>
      <c r="L25" s="50"/>
      <c r="M25" s="50"/>
      <c r="N25" s="48"/>
      <c r="O25" s="34"/>
      <c r="P25" s="48"/>
      <c r="Q25" s="48"/>
      <c r="R25" s="48"/>
      <c r="S25" s="48"/>
      <c r="T25" s="48"/>
      <c r="U25" s="48"/>
      <c r="V25" s="47"/>
      <c r="W25" s="47"/>
      <c r="X25" s="52"/>
      <c r="Y25" s="47"/>
      <c r="Z25" s="36"/>
      <c r="AA25" s="48"/>
      <c r="AB25" s="48"/>
      <c r="AC25" s="48"/>
    </row>
    <row r="26" spans="1:29" x14ac:dyDescent="0.3">
      <c r="A26" s="65"/>
      <c r="B26" s="11"/>
    </row>
    <row r="27" spans="1:29" x14ac:dyDescent="0.3">
      <c r="A27" s="65"/>
      <c r="B27" s="11"/>
    </row>
    <row r="28" spans="1:29" x14ac:dyDescent="0.3">
      <c r="A28" s="65"/>
      <c r="B28" s="11"/>
    </row>
    <row r="29" spans="1:29" x14ac:dyDescent="0.3">
      <c r="I29" s="109"/>
    </row>
  </sheetData>
  <sortState ref="A8:B20">
    <sortCondition ref="A8:A20"/>
  </sortState>
  <mergeCells count="12">
    <mergeCell ref="D3:E4"/>
    <mergeCell ref="X5:Y5"/>
    <mergeCell ref="AA5:AC5"/>
    <mergeCell ref="B1:B5"/>
    <mergeCell ref="D2:AC2"/>
    <mergeCell ref="G4:T4"/>
    <mergeCell ref="V4:AC4"/>
    <mergeCell ref="D5:E5"/>
    <mergeCell ref="G5:J5"/>
    <mergeCell ref="L5:N5"/>
    <mergeCell ref="P5:T5"/>
    <mergeCell ref="V5:W5"/>
  </mergeCells>
  <conditionalFormatting sqref="E7">
    <cfRule type="cellIs" dxfId="183" priority="685" operator="greaterThanOrEqual">
      <formula>0.91</formula>
    </cfRule>
    <cfRule type="cellIs" dxfId="182" priority="686" operator="between">
      <formula>0.71</formula>
      <formula>0.9</formula>
    </cfRule>
    <cfRule type="cellIs" dxfId="181" priority="687" operator="between">
      <formula>0.1</formula>
      <formula>0.79</formula>
    </cfRule>
  </conditionalFormatting>
  <conditionalFormatting sqref="E8:E20">
    <cfRule type="cellIs" dxfId="180" priority="241" operator="greaterThanOrEqual">
      <formula>0.9</formula>
    </cfRule>
    <cfRule type="cellIs" dxfId="179" priority="242" operator="between">
      <formula>0.79</formula>
      <formula>0.9</formula>
    </cfRule>
    <cfRule type="cellIs" dxfId="178" priority="243" operator="between">
      <formula>0.0001</formula>
      <formula>0.79</formula>
    </cfRule>
  </conditionalFormatting>
  <conditionalFormatting sqref="E21">
    <cfRule type="cellIs" dxfId="177" priority="373" operator="greaterThanOrEqual">
      <formula>0.91</formula>
    </cfRule>
    <cfRule type="cellIs" dxfId="176" priority="374" operator="between">
      <formula>0.71</formula>
      <formula>0.9</formula>
    </cfRule>
    <cfRule type="cellIs" dxfId="175" priority="375" operator="between">
      <formula>0.1</formula>
      <formula>0.79</formula>
    </cfRule>
    <cfRule type="cellIs" dxfId="174" priority="376" operator="greaterThanOrEqual">
      <formula>0.9</formula>
    </cfRule>
    <cfRule type="cellIs" dxfId="173" priority="377" operator="between">
      <formula>0.79</formula>
      <formula>0.9</formula>
    </cfRule>
    <cfRule type="cellIs" dxfId="172" priority="378" operator="between">
      <formula>0.0001</formula>
      <formula>0.79</formula>
    </cfRule>
  </conditionalFormatting>
  <conditionalFormatting sqref="E22">
    <cfRule type="cellIs" dxfId="171" priority="235" operator="greaterThanOrEqual">
      <formula>0.9</formula>
    </cfRule>
    <cfRule type="cellIs" dxfId="170" priority="236" operator="between">
      <formula>0.79</formula>
      <formula>0.9</formula>
    </cfRule>
    <cfRule type="cellIs" dxfId="169" priority="237" operator="between">
      <formula>0.0001</formula>
      <formula>0.79</formula>
    </cfRule>
  </conditionalFormatting>
  <conditionalFormatting sqref="E23:E1048576">
    <cfRule type="cellIs" dxfId="168" priority="692" operator="greaterThanOrEqual">
      <formula>0.91</formula>
    </cfRule>
    <cfRule type="cellIs" dxfId="167" priority="693" operator="between">
      <formula>0.71</formula>
      <formula>0.9</formula>
    </cfRule>
    <cfRule type="cellIs" dxfId="166" priority="694" operator="between">
      <formula>0.1</formula>
      <formula>0.79</formula>
    </cfRule>
  </conditionalFormatting>
  <conditionalFormatting sqref="J7">
    <cfRule type="cellIs" dxfId="165" priority="688" operator="greaterThanOrEqual">
      <formula>1</formula>
    </cfRule>
    <cfRule type="cellIs" dxfId="164" priority="689" operator="between">
      <formula>0.9001</formula>
      <formula>0.9999</formula>
    </cfRule>
    <cfRule type="cellIs" dxfId="163" priority="690" operator="lessThan">
      <formula>0.9</formula>
    </cfRule>
  </conditionalFormatting>
  <conditionalFormatting sqref="J8:J20">
    <cfRule type="cellIs" dxfId="162" priority="287" operator="lessThanOrEqual">
      <formula>0.86</formula>
    </cfRule>
  </conditionalFormatting>
  <conditionalFormatting sqref="J8:J21">
    <cfRule type="cellIs" dxfId="161" priority="285" operator="between">
      <formula>0.86</formula>
      <formula>0.9999</formula>
    </cfRule>
  </conditionalFormatting>
  <conditionalFormatting sqref="J8:J22 N8:N22">
    <cfRule type="cellIs" dxfId="160" priority="278" operator="greaterThanOrEqual">
      <formula>1</formula>
    </cfRule>
  </conditionalFormatting>
  <conditionalFormatting sqref="J21:J22">
    <cfRule type="cellIs" dxfId="159" priority="281" operator="lessThanOrEqual">
      <formula>0.86</formula>
    </cfRule>
  </conditionalFormatting>
  <conditionalFormatting sqref="J22">
    <cfRule type="cellIs" dxfId="158" priority="280" operator="between">
      <formula>0.86</formula>
      <formula>0.9999</formula>
    </cfRule>
  </conditionalFormatting>
  <conditionalFormatting sqref="J23:J1048576">
    <cfRule type="cellIs" dxfId="157" priority="695" operator="greaterThanOrEqual">
      <formula>1</formula>
    </cfRule>
    <cfRule type="cellIs" dxfId="156" priority="696" operator="between">
      <formula>0.9001</formula>
      <formula>0.9999</formula>
    </cfRule>
    <cfRule type="cellIs" dxfId="155" priority="697" operator="lessThan">
      <formula>0.9</formula>
    </cfRule>
  </conditionalFormatting>
  <conditionalFormatting sqref="N8:N20">
    <cfRule type="cellIs" dxfId="154" priority="331" operator="lessThanOrEqual">
      <formula>0.86</formula>
    </cfRule>
  </conditionalFormatting>
  <conditionalFormatting sqref="N8:N21">
    <cfRule type="cellIs" dxfId="153" priority="351" operator="between">
      <formula>0.86</formula>
      <formula>0.9999</formula>
    </cfRule>
  </conditionalFormatting>
  <conditionalFormatting sqref="N14:N20">
    <cfRule type="cellIs" dxfId="152" priority="329" operator="between">
      <formula>0.86</formula>
      <formula>0.999999999</formula>
    </cfRule>
  </conditionalFormatting>
  <conditionalFormatting sqref="N21:N22">
    <cfRule type="cellIs" dxfId="151" priority="325" operator="lessThanOrEqual">
      <formula>0.86</formula>
    </cfRule>
  </conditionalFormatting>
  <conditionalFormatting sqref="N22">
    <cfRule type="cellIs" dxfId="150" priority="324" operator="between">
      <formula>0.86</formula>
      <formula>0.999999999</formula>
    </cfRule>
  </conditionalFormatting>
  <conditionalFormatting sqref="T8:U20">
    <cfRule type="cellIs" dxfId="149" priority="79" operator="greaterThanOrEqual">
      <formula>1</formula>
    </cfRule>
    <cfRule type="cellIs" dxfId="148" priority="83" operator="lessThanOrEqual">
      <formula>0.86</formula>
    </cfRule>
    <cfRule type="cellIs" dxfId="147" priority="84" operator="between">
      <formula>0.86</formula>
      <formula>0.9999</formula>
    </cfRule>
  </conditionalFormatting>
  <conditionalFormatting sqref="T22:U22">
    <cfRule type="cellIs" dxfId="146" priority="76" operator="greaterThanOrEqual">
      <formula>1</formula>
    </cfRule>
    <cfRule type="cellIs" dxfId="145" priority="77" operator="lessThanOrEqual">
      <formula>0.86</formula>
    </cfRule>
    <cfRule type="cellIs" dxfId="144" priority="78" operator="between">
      <formula>0.86</formula>
      <formula>0.9999</formula>
    </cfRule>
  </conditionalFormatting>
  <conditionalFormatting sqref="Y8:Y20 Y22">
    <cfRule type="cellIs" dxfId="143" priority="605" operator="greaterThanOrEqual">
      <formula>1</formula>
    </cfRule>
    <cfRule type="cellIs" dxfId="142" priority="626" operator="lessThanOrEqual">
      <formula>0.86</formula>
    </cfRule>
    <cfRule type="cellIs" dxfId="141" priority="627" operator="between">
      <formula>0.86</formula>
      <formula>0.9999</formula>
    </cfRule>
  </conditionalFormatting>
  <conditionalFormatting sqref="AC8:AC20">
    <cfRule type="cellIs" dxfId="140" priority="7" operator="greaterThanOrEqual">
      <formula>1</formula>
    </cfRule>
    <cfRule type="cellIs" dxfId="139" priority="11" operator="lessThanOrEqual">
      <formula>0.86</formula>
    </cfRule>
    <cfRule type="cellIs" dxfId="138" priority="12" operator="between">
      <formula>0.86</formula>
      <formula>0.9999</formula>
    </cfRule>
  </conditionalFormatting>
  <conditionalFormatting sqref="AC22">
    <cfRule type="cellIs" dxfId="137" priority="49" operator="greaterThanOrEqual">
      <formula>1</formula>
    </cfRule>
    <cfRule type="cellIs" dxfId="136" priority="50" operator="lessThanOrEqual">
      <formula>0.86</formula>
    </cfRule>
    <cfRule type="cellIs" dxfId="135" priority="51" operator="between">
      <formula>0.86</formula>
      <formula>0.9999</formula>
    </cfRule>
  </conditionalFormatting>
  <printOptions horizontalCentered="1"/>
  <pageMargins left="0" right="0" top="0" bottom="0" header="0" footer="0"/>
  <pageSetup paperSize="9" scale="5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106"/>
  <sheetViews>
    <sheetView showGridLines="0" zoomScale="80" zoomScaleNormal="80" workbookViewId="0">
      <pane xSplit="3" ySplit="7" topLeftCell="D8" activePane="bottomRight" state="frozen"/>
      <selection activeCell="H8" sqref="H8"/>
      <selection pane="topRight" activeCell="H8" sqref="H8"/>
      <selection pane="bottomLeft" activeCell="H8" sqref="H8"/>
      <selection pane="bottomRight" activeCell="AS49" sqref="AS49"/>
    </sheetView>
  </sheetViews>
  <sheetFormatPr defaultColWidth="9" defaultRowHeight="14" x14ac:dyDescent="0.3"/>
  <cols>
    <col min="1" max="1" width="10.08203125" style="7" hidden="1" customWidth="1"/>
    <col min="2" max="2" width="7.1640625" style="17" hidden="1" customWidth="1"/>
    <col min="3" max="3" width="20.9140625" style="1" customWidth="1"/>
    <col min="4" max="4" width="1.1640625" customWidth="1"/>
    <col min="5" max="5" width="9.1640625" style="1" bestFit="1" customWidth="1"/>
    <col min="6" max="6" width="8.08203125" style="119" bestFit="1" customWidth="1"/>
    <col min="7" max="7" width="1.1640625" customWidth="1"/>
    <col min="8" max="8" width="10.08203125" style="1" bestFit="1" customWidth="1"/>
    <col min="9" max="9" width="10.9140625" style="1" bestFit="1" customWidth="1"/>
    <col min="10" max="10" width="10.08203125" style="1" bestFit="1" customWidth="1"/>
    <col min="11" max="11" width="6.6640625" style="113" customWidth="1"/>
    <col min="12" max="12" width="0.6640625" style="11" customWidth="1"/>
    <col min="13" max="13" width="9.1640625" style="1" bestFit="1" customWidth="1"/>
    <col min="14" max="14" width="10.9140625" style="1" bestFit="1" customWidth="1"/>
    <col min="15" max="15" width="7.25" style="1" customWidth="1"/>
    <col min="16" max="16" width="9.1640625" style="1" bestFit="1" customWidth="1"/>
    <col min="17" max="17" width="8.5" style="18" bestFit="1" customWidth="1"/>
    <col min="18" max="18" width="0.6640625" style="11" customWidth="1"/>
    <col min="19" max="19" width="9.9140625" style="3" customWidth="1"/>
    <col min="20" max="20" width="8.33203125" style="3" customWidth="1"/>
    <col min="21" max="21" width="0.6640625" style="11" customWidth="1"/>
    <col min="22" max="22" width="0.75" style="4" hidden="1" customWidth="1"/>
    <col min="23" max="23" width="10.33203125" style="4" customWidth="1"/>
    <col min="24" max="24" width="0.1640625" style="1" customWidth="1"/>
    <col min="25" max="25" width="0.6640625" style="11" customWidth="1"/>
    <col min="26" max="26" width="2.08203125" style="61" customWidth="1"/>
    <col min="27" max="27" width="7.08203125" style="18" bestFit="1" customWidth="1"/>
    <col min="28" max="28" width="8.5" style="18" customWidth="1"/>
    <col min="29" max="29" width="0.58203125" style="13" customWidth="1"/>
    <col min="30" max="31" width="7.83203125" style="1" bestFit="1" customWidth="1"/>
    <col min="32" max="32" width="8.5" style="18" bestFit="1" customWidth="1"/>
    <col min="33" max="33" width="0.58203125" style="13" customWidth="1"/>
    <col min="34" max="34" width="7.58203125" style="1" customWidth="1"/>
    <col min="35" max="35" width="9.1640625" style="1" customWidth="1"/>
    <col min="36" max="36" width="9.1640625" style="18" customWidth="1"/>
    <col min="37" max="37" width="0.58203125" style="13" customWidth="1"/>
    <col min="38" max="38" width="8.83203125" style="3" bestFit="1" customWidth="1"/>
    <col min="39" max="39" width="8.5" style="20" customWidth="1"/>
    <col min="40" max="40" width="0.58203125" style="13" customWidth="1"/>
    <col min="41" max="41" width="9.4140625" style="19" customWidth="1"/>
    <col min="42" max="42" width="6.6640625" style="18" hidden="1" customWidth="1"/>
    <col min="43" max="43" width="8.6640625" customWidth="1"/>
    <col min="44" max="16384" width="9" style="11"/>
  </cols>
  <sheetData>
    <row r="1" spans="1:43" ht="14.5" thickBot="1" x14ac:dyDescent="0.35">
      <c r="A1" s="161"/>
      <c r="B1" s="214"/>
      <c r="C1" s="215"/>
      <c r="D1" s="166"/>
      <c r="E1" s="167"/>
      <c r="F1" s="168"/>
      <c r="G1" s="166"/>
      <c r="H1" s="167"/>
      <c r="I1" s="167"/>
      <c r="J1" s="167"/>
      <c r="K1" s="169"/>
      <c r="L1" s="167"/>
      <c r="M1" s="167"/>
      <c r="N1" s="167"/>
      <c r="O1" s="167"/>
      <c r="P1" s="167"/>
      <c r="Q1" s="170"/>
      <c r="R1" s="167"/>
      <c r="S1" s="171"/>
      <c r="T1" s="171"/>
      <c r="U1" s="167"/>
      <c r="V1" s="172"/>
      <c r="W1" s="172"/>
      <c r="X1" s="167"/>
      <c r="Y1" s="167"/>
      <c r="Z1" s="170"/>
      <c r="AA1" s="170"/>
      <c r="AB1" s="170"/>
      <c r="AC1" s="170"/>
      <c r="AD1" s="167"/>
      <c r="AE1" s="167"/>
      <c r="AF1" s="170"/>
      <c r="AG1" s="170"/>
      <c r="AH1" s="167"/>
      <c r="AI1" s="167"/>
      <c r="AJ1" s="170"/>
      <c r="AK1" s="170"/>
      <c r="AL1" s="171"/>
      <c r="AM1" s="173"/>
      <c r="AN1" s="170"/>
      <c r="AO1" s="174"/>
      <c r="AP1" s="175"/>
    </row>
    <row r="2" spans="1:43" s="162" customFormat="1" ht="30.65" customHeight="1" thickBot="1" x14ac:dyDescent="0.4">
      <c r="A2" s="161"/>
      <c r="B2" s="216"/>
      <c r="C2" s="217"/>
      <c r="D2" s="176"/>
      <c r="E2" s="220" t="s">
        <v>83</v>
      </c>
      <c r="F2" s="221"/>
      <c r="G2" s="221"/>
      <c r="H2" s="221"/>
      <c r="I2" s="221"/>
      <c r="J2" s="221"/>
      <c r="K2" s="221"/>
      <c r="L2" s="221"/>
      <c r="M2" s="221"/>
      <c r="N2" s="221"/>
      <c r="O2" s="221"/>
      <c r="P2" s="221"/>
      <c r="Q2" s="221"/>
      <c r="R2" s="221"/>
      <c r="S2" s="221"/>
      <c r="T2" s="221"/>
      <c r="U2" s="221"/>
      <c r="V2" s="221"/>
      <c r="W2" s="221"/>
      <c r="X2" s="221"/>
      <c r="Y2" s="221"/>
      <c r="Z2" s="221"/>
      <c r="AA2" s="221"/>
      <c r="AB2" s="221"/>
      <c r="AC2" s="221"/>
      <c r="AD2" s="221"/>
      <c r="AE2" s="221"/>
      <c r="AF2" s="221"/>
      <c r="AG2" s="221"/>
      <c r="AH2" s="221"/>
      <c r="AI2" s="221"/>
      <c r="AJ2" s="221"/>
      <c r="AK2" s="221"/>
      <c r="AL2" s="221"/>
      <c r="AM2" s="221"/>
      <c r="AN2" s="221"/>
      <c r="AO2" s="221"/>
      <c r="AP2" s="222"/>
      <c r="AQ2"/>
    </row>
    <row r="3" spans="1:43" s="186" customFormat="1" ht="12" thickBot="1" x14ac:dyDescent="0.3">
      <c r="B3" s="216"/>
      <c r="C3" s="217"/>
      <c r="D3" s="188"/>
      <c r="E3" s="231"/>
      <c r="F3" s="231"/>
      <c r="G3" s="188"/>
      <c r="H3" s="188">
        <v>10</v>
      </c>
      <c r="I3" s="188"/>
      <c r="J3" s="188">
        <v>3</v>
      </c>
      <c r="K3" s="188"/>
      <c r="L3" s="188"/>
      <c r="M3" s="188">
        <v>71</v>
      </c>
      <c r="N3" s="188"/>
      <c r="O3" s="188"/>
      <c r="P3" s="188">
        <v>6</v>
      </c>
      <c r="Q3" s="188"/>
      <c r="R3" s="188"/>
      <c r="S3" s="188"/>
      <c r="T3" s="188"/>
      <c r="U3" s="188"/>
      <c r="V3" s="188">
        <v>30</v>
      </c>
      <c r="W3" s="188">
        <v>5</v>
      </c>
      <c r="X3" s="188"/>
      <c r="Y3" s="188"/>
      <c r="Z3" s="188"/>
      <c r="AA3" s="188">
        <v>9</v>
      </c>
      <c r="AB3" s="188">
        <v>8</v>
      </c>
      <c r="AC3" s="188"/>
      <c r="AD3" s="188">
        <v>6</v>
      </c>
      <c r="AE3" s="188">
        <v>11</v>
      </c>
      <c r="AF3" s="188"/>
      <c r="AG3" s="188"/>
      <c r="AH3" s="188">
        <v>6</v>
      </c>
      <c r="AI3" s="188">
        <v>6</v>
      </c>
      <c r="AJ3" s="188">
        <v>6</v>
      </c>
      <c r="AK3" s="188"/>
      <c r="AL3" s="188"/>
      <c r="AM3" s="188"/>
      <c r="AN3" s="188"/>
      <c r="AO3" s="188">
        <v>10</v>
      </c>
      <c r="AP3" s="189"/>
    </row>
    <row r="4" spans="1:43" s="157" customFormat="1" ht="21.75" customHeight="1" thickBot="1" x14ac:dyDescent="0.3">
      <c r="A4" s="163"/>
      <c r="B4" s="216"/>
      <c r="C4" s="217"/>
      <c r="D4" s="177"/>
      <c r="E4" s="232"/>
      <c r="F4" s="232"/>
      <c r="G4" s="177"/>
      <c r="H4" s="223" t="s">
        <v>35</v>
      </c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4"/>
      <c r="U4" s="224"/>
      <c r="V4" s="224"/>
      <c r="W4" s="224"/>
      <c r="X4" s="225"/>
      <c r="Y4" s="178"/>
      <c r="Z4" s="179"/>
      <c r="AA4" s="223" t="s">
        <v>6</v>
      </c>
      <c r="AB4" s="224"/>
      <c r="AC4" s="224"/>
      <c r="AD4" s="224"/>
      <c r="AE4" s="224"/>
      <c r="AF4" s="224"/>
      <c r="AG4" s="224"/>
      <c r="AH4" s="224"/>
      <c r="AI4" s="224"/>
      <c r="AJ4" s="224"/>
      <c r="AK4" s="224"/>
      <c r="AL4" s="224"/>
      <c r="AM4" s="224"/>
      <c r="AN4" s="224"/>
      <c r="AO4" s="224"/>
      <c r="AP4" s="225"/>
    </row>
    <row r="5" spans="1:43" s="57" customFormat="1" ht="23.5" customHeight="1" thickBot="1" x14ac:dyDescent="0.35">
      <c r="A5" s="164"/>
      <c r="B5" s="216"/>
      <c r="C5" s="217"/>
      <c r="D5" s="180"/>
      <c r="E5" s="218" t="s">
        <v>5</v>
      </c>
      <c r="F5" s="218"/>
      <c r="G5" s="180"/>
      <c r="H5" s="212" t="s">
        <v>36</v>
      </c>
      <c r="I5" s="212"/>
      <c r="J5" s="212"/>
      <c r="K5" s="212"/>
      <c r="L5" s="180"/>
      <c r="M5" s="212" t="s">
        <v>41</v>
      </c>
      <c r="N5" s="212"/>
      <c r="O5" s="212"/>
      <c r="P5" s="212"/>
      <c r="Q5" s="212"/>
      <c r="R5" s="180"/>
      <c r="S5" s="219" t="s">
        <v>40</v>
      </c>
      <c r="T5" s="219"/>
      <c r="U5" s="181"/>
      <c r="V5" s="213" t="s">
        <v>42</v>
      </c>
      <c r="W5" s="213"/>
      <c r="X5" s="213"/>
      <c r="Y5" s="180"/>
      <c r="Z5" s="182"/>
      <c r="AA5" s="229" t="s">
        <v>36</v>
      </c>
      <c r="AB5" s="230"/>
      <c r="AC5" s="181"/>
      <c r="AD5" s="212" t="s">
        <v>41</v>
      </c>
      <c r="AE5" s="212"/>
      <c r="AF5" s="212"/>
      <c r="AG5" s="212"/>
      <c r="AH5" s="212"/>
      <c r="AI5" s="212"/>
      <c r="AJ5" s="212"/>
      <c r="AK5" s="165"/>
      <c r="AL5" s="226" t="s">
        <v>40</v>
      </c>
      <c r="AM5" s="227"/>
      <c r="AN5" s="181"/>
      <c r="AO5" s="228" t="s">
        <v>42</v>
      </c>
      <c r="AP5" s="228"/>
      <c r="AQ5"/>
    </row>
    <row r="6" spans="1:43" s="107" customFormat="1" ht="27" customHeight="1" thickBot="1" x14ac:dyDescent="0.3">
      <c r="A6" s="106"/>
      <c r="B6" s="136"/>
      <c r="C6" s="137" t="s">
        <v>0</v>
      </c>
      <c r="D6" s="183"/>
      <c r="E6" s="137" t="s">
        <v>2</v>
      </c>
      <c r="F6" s="139" t="s">
        <v>13</v>
      </c>
      <c r="G6" s="183"/>
      <c r="H6" s="137" t="s">
        <v>1</v>
      </c>
      <c r="I6" s="140" t="s">
        <v>37</v>
      </c>
      <c r="J6" s="137" t="s">
        <v>2</v>
      </c>
      <c r="K6" s="137" t="s">
        <v>3</v>
      </c>
      <c r="L6" s="183"/>
      <c r="M6" s="137" t="s">
        <v>1</v>
      </c>
      <c r="N6" s="140" t="s">
        <v>37</v>
      </c>
      <c r="O6" s="137" t="s">
        <v>11</v>
      </c>
      <c r="P6" s="137" t="s">
        <v>43</v>
      </c>
      <c r="Q6" s="137" t="s">
        <v>3</v>
      </c>
      <c r="R6" s="183"/>
      <c r="S6" s="137" t="s">
        <v>44</v>
      </c>
      <c r="T6" s="137" t="s">
        <v>2</v>
      </c>
      <c r="U6" s="184"/>
      <c r="V6" s="137" t="s">
        <v>1</v>
      </c>
      <c r="W6" s="137" t="s">
        <v>2</v>
      </c>
      <c r="X6" s="137" t="s">
        <v>3</v>
      </c>
      <c r="Y6" s="183"/>
      <c r="Z6" s="183"/>
      <c r="AA6" s="137" t="s">
        <v>1</v>
      </c>
      <c r="AB6" s="137" t="s">
        <v>2</v>
      </c>
      <c r="AC6" s="184"/>
      <c r="AD6" s="137" t="s">
        <v>1</v>
      </c>
      <c r="AE6" s="137" t="s">
        <v>2</v>
      </c>
      <c r="AF6" s="137" t="s">
        <v>3</v>
      </c>
      <c r="AG6" s="184"/>
      <c r="AH6" s="137" t="s">
        <v>65</v>
      </c>
      <c r="AI6" s="137" t="s">
        <v>39</v>
      </c>
      <c r="AJ6" s="137" t="s">
        <v>38</v>
      </c>
      <c r="AK6" s="185"/>
      <c r="AL6" s="137" t="s">
        <v>44</v>
      </c>
      <c r="AM6" s="141" t="s">
        <v>2</v>
      </c>
      <c r="AN6" s="184"/>
      <c r="AO6" s="141" t="s">
        <v>2</v>
      </c>
      <c r="AP6" s="141" t="s">
        <v>3</v>
      </c>
    </row>
    <row r="7" spans="1:43" ht="6.5" customHeight="1" x14ac:dyDescent="0.3">
      <c r="B7" s="16"/>
      <c r="D7" s="12"/>
      <c r="E7" s="12"/>
      <c r="F7" s="117"/>
      <c r="G7" s="12"/>
      <c r="H7" s="22"/>
      <c r="I7" s="60"/>
      <c r="J7" s="12"/>
      <c r="K7" s="111"/>
      <c r="M7" s="12"/>
      <c r="N7" s="12"/>
      <c r="O7" s="12"/>
      <c r="P7" s="12"/>
      <c r="Q7" s="114"/>
      <c r="S7" s="21"/>
      <c r="T7" s="21"/>
      <c r="V7" s="24"/>
      <c r="W7" s="67"/>
      <c r="X7" s="22"/>
      <c r="AD7" s="12"/>
      <c r="AE7" s="12"/>
      <c r="AF7" s="114"/>
      <c r="AH7" s="12"/>
      <c r="AI7" s="12"/>
      <c r="AJ7" s="116"/>
      <c r="AL7" s="21"/>
      <c r="AO7" s="66"/>
    </row>
    <row r="8" spans="1:43" ht="12.75" customHeight="1" x14ac:dyDescent="0.3">
      <c r="A8" s="7" t="s">
        <v>4</v>
      </c>
      <c r="B8" s="210" t="s">
        <v>15</v>
      </c>
      <c r="C8" s="6" t="s">
        <v>8</v>
      </c>
      <c r="D8" s="7"/>
      <c r="E8" s="33">
        <v>46833.19999999999</v>
      </c>
      <c r="F8" s="123">
        <v>0.60042564102564089</v>
      </c>
      <c r="G8" s="7"/>
      <c r="H8" s="35">
        <v>78000</v>
      </c>
      <c r="I8" s="35">
        <v>78000</v>
      </c>
      <c r="J8" s="35">
        <v>70854.030000000057</v>
      </c>
      <c r="K8" s="70">
        <v>0.90838500000000078</v>
      </c>
      <c r="L8" s="36"/>
      <c r="M8" s="35">
        <v>15522</v>
      </c>
      <c r="N8" s="35">
        <v>15522</v>
      </c>
      <c r="O8" s="37">
        <v>0</v>
      </c>
      <c r="P8" s="35">
        <v>15958.840000000004</v>
      </c>
      <c r="Q8" s="115">
        <v>1.0281432805050899</v>
      </c>
      <c r="R8" s="36"/>
      <c r="S8" s="127">
        <v>0.19900000000000001</v>
      </c>
      <c r="T8" s="127">
        <v>0.22523545943681667</v>
      </c>
      <c r="U8" s="36"/>
      <c r="V8" s="35"/>
      <c r="W8" s="38">
        <v>5.4023320903553831</v>
      </c>
      <c r="X8" s="69" t="s">
        <v>69</v>
      </c>
      <c r="Y8" s="36"/>
      <c r="Z8" s="62"/>
      <c r="AA8" s="33">
        <v>3000</v>
      </c>
      <c r="AB8" s="33">
        <v>2107.38</v>
      </c>
      <c r="AC8" s="36"/>
      <c r="AD8" s="35">
        <v>597</v>
      </c>
      <c r="AE8" s="35">
        <v>500.20999999999987</v>
      </c>
      <c r="AF8" s="115">
        <v>0.83787269681742016</v>
      </c>
      <c r="AG8" s="36"/>
      <c r="AH8" s="35">
        <v>613.8015384615386</v>
      </c>
      <c r="AI8" s="35">
        <v>15958.840000000004</v>
      </c>
      <c r="AJ8" s="115">
        <v>1.0281432805050899</v>
      </c>
      <c r="AK8" s="36"/>
      <c r="AL8" s="108">
        <v>0.19900000000000001</v>
      </c>
      <c r="AM8" s="108">
        <v>0.23736108343061044</v>
      </c>
      <c r="AN8" s="36"/>
      <c r="AO8" s="38">
        <v>7.3266330704476692</v>
      </c>
      <c r="AP8" s="70">
        <v>0</v>
      </c>
    </row>
    <row r="9" spans="1:43" ht="12.75" customHeight="1" x14ac:dyDescent="0.3">
      <c r="A9" s="7" t="s">
        <v>4</v>
      </c>
      <c r="B9" s="210"/>
      <c r="C9" s="6" t="s">
        <v>9</v>
      </c>
      <c r="D9" s="7"/>
      <c r="E9" s="33">
        <v>86711.390000000029</v>
      </c>
      <c r="F9" s="123">
        <v>0.754012086956522</v>
      </c>
      <c r="G9" s="7"/>
      <c r="H9" s="35">
        <v>115000</v>
      </c>
      <c r="I9" s="35">
        <v>115000</v>
      </c>
      <c r="J9" s="35">
        <v>114272.9599999995</v>
      </c>
      <c r="K9" s="70">
        <v>0.99367791304347386</v>
      </c>
      <c r="L9" s="36"/>
      <c r="M9" s="35">
        <v>23000</v>
      </c>
      <c r="N9" s="35">
        <v>23000</v>
      </c>
      <c r="O9" s="37">
        <v>0</v>
      </c>
      <c r="P9" s="35">
        <v>27017.429999999942</v>
      </c>
      <c r="Q9" s="115">
        <v>1.1746708695652148</v>
      </c>
      <c r="R9" s="36"/>
      <c r="S9" s="127">
        <v>0.2</v>
      </c>
      <c r="T9" s="127">
        <v>0.23642889796501343</v>
      </c>
      <c r="U9" s="36"/>
      <c r="V9" s="35"/>
      <c r="W9" s="38">
        <v>8.2873936231276257</v>
      </c>
      <c r="X9" s="69" t="s">
        <v>69</v>
      </c>
      <c r="Y9" s="36"/>
      <c r="Z9" s="62"/>
      <c r="AA9" s="33">
        <v>3709.6774193548385</v>
      </c>
      <c r="AB9" s="33">
        <v>5015.78</v>
      </c>
      <c r="AC9" s="36"/>
      <c r="AD9" s="35">
        <v>741.93548387096769</v>
      </c>
      <c r="AE9" s="35">
        <v>1139.5300000000002</v>
      </c>
      <c r="AF9" s="115">
        <v>1.5358882608695656</v>
      </c>
      <c r="AG9" s="36"/>
      <c r="AH9" s="35">
        <v>871.52999999999815</v>
      </c>
      <c r="AI9" s="35">
        <v>27017.429999999942</v>
      </c>
      <c r="AJ9" s="115">
        <v>1.1746708695652148</v>
      </c>
      <c r="AK9" s="36"/>
      <c r="AL9" s="108">
        <v>0.2</v>
      </c>
      <c r="AM9" s="108">
        <v>0.22718899154269132</v>
      </c>
      <c r="AN9" s="36"/>
      <c r="AO9" s="38">
        <v>8.2112851839594168</v>
      </c>
      <c r="AP9" s="70">
        <v>0</v>
      </c>
    </row>
    <row r="10" spans="1:43" ht="12.75" customHeight="1" x14ac:dyDescent="0.3">
      <c r="A10" s="7" t="s">
        <v>4</v>
      </c>
      <c r="B10" s="210"/>
      <c r="C10" s="6" t="s">
        <v>10</v>
      </c>
      <c r="D10" s="7"/>
      <c r="E10" s="33">
        <v>143281.93999999992</v>
      </c>
      <c r="F10" s="123">
        <v>0.75411547368421006</v>
      </c>
      <c r="G10" s="7"/>
      <c r="H10" s="35">
        <v>190000</v>
      </c>
      <c r="I10" s="35">
        <v>190000</v>
      </c>
      <c r="J10" s="35">
        <v>197450.5499999958</v>
      </c>
      <c r="K10" s="70">
        <v>1.0392134210526094</v>
      </c>
      <c r="L10" s="36"/>
      <c r="M10" s="35">
        <v>36480</v>
      </c>
      <c r="N10" s="35">
        <v>36480</v>
      </c>
      <c r="O10" s="37">
        <v>0</v>
      </c>
      <c r="P10" s="35">
        <v>40093.190000000213</v>
      </c>
      <c r="Q10" s="115">
        <v>1.0990457785087777</v>
      </c>
      <c r="R10" s="36"/>
      <c r="S10" s="127">
        <v>0.192</v>
      </c>
      <c r="T10" s="127">
        <v>0.2030543343637233</v>
      </c>
      <c r="U10" s="36"/>
      <c r="V10" s="35"/>
      <c r="W10" s="38">
        <v>5.2507577213616683</v>
      </c>
      <c r="X10" s="69" t="s">
        <v>69</v>
      </c>
      <c r="Y10" s="36"/>
      <c r="Z10" s="62"/>
      <c r="AA10" s="33">
        <v>6129.0322580645161</v>
      </c>
      <c r="AB10" s="33">
        <v>4792.58</v>
      </c>
      <c r="AC10" s="36"/>
      <c r="AD10" s="35">
        <v>1176.7741935483871</v>
      </c>
      <c r="AE10" s="35">
        <v>988.62000000000012</v>
      </c>
      <c r="AF10" s="115">
        <v>0.84011019736842119</v>
      </c>
      <c r="AG10" s="36"/>
      <c r="AH10" s="35">
        <v>1293.3287096774263</v>
      </c>
      <c r="AI10" s="35">
        <v>40093.190000000213</v>
      </c>
      <c r="AJ10" s="115">
        <v>1.0990457785087777</v>
      </c>
      <c r="AK10" s="36"/>
      <c r="AL10" s="108">
        <v>0.192</v>
      </c>
      <c r="AM10" s="108">
        <v>0.20628137662803753</v>
      </c>
      <c r="AN10" s="36"/>
      <c r="AO10" s="38">
        <v>5.3374174244352774</v>
      </c>
      <c r="AP10" s="70">
        <v>0</v>
      </c>
    </row>
    <row r="11" spans="1:43" ht="12.75" customHeight="1" x14ac:dyDescent="0.3">
      <c r="A11" s="7" t="s">
        <v>4</v>
      </c>
      <c r="B11" s="210"/>
      <c r="C11" s="6" t="s">
        <v>12</v>
      </c>
      <c r="D11" s="7"/>
      <c r="E11" s="33">
        <v>26496.409999999989</v>
      </c>
      <c r="F11" s="123">
        <v>0.55200854166666646</v>
      </c>
      <c r="G11" s="7"/>
      <c r="H11" s="35">
        <v>48000</v>
      </c>
      <c r="I11" s="35">
        <v>48000</v>
      </c>
      <c r="J11" s="35">
        <v>75104.36</v>
      </c>
      <c r="K11" s="70">
        <v>1.5646741666666666</v>
      </c>
      <c r="L11" s="36"/>
      <c r="M11" s="35">
        <v>5760</v>
      </c>
      <c r="N11" s="35">
        <v>5760</v>
      </c>
      <c r="O11" s="37">
        <v>0</v>
      </c>
      <c r="P11" s="35">
        <v>15107.580000000004</v>
      </c>
      <c r="Q11" s="115">
        <v>2.6228437500000008</v>
      </c>
      <c r="R11" s="36"/>
      <c r="S11" s="127">
        <v>0.12</v>
      </c>
      <c r="T11" s="127">
        <v>0.20115450021809658</v>
      </c>
      <c r="U11" s="36"/>
      <c r="V11" s="35"/>
      <c r="W11" s="38">
        <v>4.3151289752019801</v>
      </c>
      <c r="X11" s="69" t="s">
        <v>69</v>
      </c>
      <c r="Y11" s="36"/>
      <c r="Z11" s="62"/>
      <c r="AA11" s="33">
        <v>1846.1538461538462</v>
      </c>
      <c r="AB11" s="33">
        <v>2060.79</v>
      </c>
      <c r="AC11" s="36"/>
      <c r="AD11" s="35">
        <v>221.53846153846155</v>
      </c>
      <c r="AE11" s="35">
        <v>358.2</v>
      </c>
      <c r="AF11" s="115">
        <v>1.6168749999999998</v>
      </c>
      <c r="AG11" s="36"/>
      <c r="AH11" s="35">
        <v>581.06076923076932</v>
      </c>
      <c r="AI11" s="35">
        <v>15107.580000000002</v>
      </c>
      <c r="AJ11" s="115">
        <v>2.6228437500000004</v>
      </c>
      <c r="AK11" s="36"/>
      <c r="AL11" s="108">
        <v>0.12</v>
      </c>
      <c r="AM11" s="108">
        <v>0.17381683723232352</v>
      </c>
      <c r="AN11" s="36"/>
      <c r="AO11" s="38">
        <v>2.3209545853774491</v>
      </c>
      <c r="AP11" s="70">
        <v>0</v>
      </c>
    </row>
    <row r="12" spans="1:43" s="15" customFormat="1" ht="14.25" customHeight="1" x14ac:dyDescent="0.3">
      <c r="A12" s="26"/>
      <c r="B12" s="210"/>
      <c r="C12" s="9" t="s">
        <v>50</v>
      </c>
      <c r="D12" s="26"/>
      <c r="E12" s="27">
        <v>303322.93999999989</v>
      </c>
      <c r="F12" s="124">
        <v>0.70376552204176313</v>
      </c>
      <c r="G12" s="26"/>
      <c r="H12" s="29">
        <v>431000</v>
      </c>
      <c r="I12" s="29">
        <v>431000</v>
      </c>
      <c r="J12" s="29">
        <v>457681.89999999537</v>
      </c>
      <c r="K12" s="31">
        <v>1.0619069605568339</v>
      </c>
      <c r="L12" s="39"/>
      <c r="M12" s="29">
        <v>80762</v>
      </c>
      <c r="N12" s="29">
        <v>80762</v>
      </c>
      <c r="O12" s="27">
        <v>0</v>
      </c>
      <c r="P12" s="29">
        <v>98177.040000000168</v>
      </c>
      <c r="Q12" s="31">
        <v>1.2156340853371657</v>
      </c>
      <c r="R12" s="39"/>
      <c r="S12" s="128">
        <v>0.18738283062645011</v>
      </c>
      <c r="T12" s="128">
        <v>0.2145093349769811</v>
      </c>
      <c r="U12" s="39"/>
      <c r="V12" s="29"/>
      <c r="W12" s="32">
        <v>5.8788691447040646</v>
      </c>
      <c r="X12" s="30" t="s">
        <v>69</v>
      </c>
      <c r="Y12" s="39"/>
      <c r="Z12" s="62"/>
      <c r="AA12" s="27">
        <v>14684.863523573202</v>
      </c>
      <c r="AB12" s="27">
        <v>13976.529999999999</v>
      </c>
      <c r="AC12" s="39"/>
      <c r="AD12" s="29">
        <v>2737.2481389578165</v>
      </c>
      <c r="AE12" s="29">
        <v>2986.56</v>
      </c>
      <c r="AF12" s="31">
        <v>1.0910812057898072</v>
      </c>
      <c r="AG12" s="39"/>
      <c r="AH12" s="29">
        <v>3359.7210173697322</v>
      </c>
      <c r="AI12" s="29">
        <v>98177.040000000168</v>
      </c>
      <c r="AJ12" s="31">
        <v>1.2156340853371657</v>
      </c>
      <c r="AK12" s="39"/>
      <c r="AL12" s="80">
        <v>0.18738283062645011</v>
      </c>
      <c r="AM12" s="80">
        <v>0.21368394014823422</v>
      </c>
      <c r="AN12" s="39"/>
      <c r="AO12" s="32">
        <v>0</v>
      </c>
      <c r="AP12" s="31">
        <v>0</v>
      </c>
      <c r="AQ12" s="10"/>
    </row>
    <row r="13" spans="1:43" ht="8" customHeight="1" x14ac:dyDescent="0.3">
      <c r="B13" s="16"/>
      <c r="D13" s="34"/>
      <c r="E13" s="47"/>
      <c r="F13" s="125"/>
      <c r="G13" s="34"/>
      <c r="H13" s="48"/>
      <c r="I13" s="48"/>
      <c r="J13" s="48"/>
      <c r="K13" s="51"/>
      <c r="L13" s="34"/>
      <c r="M13" s="48"/>
      <c r="N13" s="48"/>
      <c r="O13" s="51"/>
      <c r="P13" s="48"/>
      <c r="Q13" s="47"/>
      <c r="R13" s="34"/>
      <c r="S13" s="51"/>
      <c r="T13" s="51"/>
      <c r="U13" s="34"/>
      <c r="V13" s="48"/>
      <c r="W13" s="52"/>
      <c r="X13" s="48"/>
      <c r="Y13" s="34"/>
      <c r="Z13" s="62"/>
      <c r="AA13" s="47"/>
      <c r="AB13" s="47"/>
      <c r="AC13" s="36"/>
      <c r="AD13" s="48"/>
      <c r="AE13" s="48"/>
      <c r="AF13" s="47"/>
      <c r="AG13" s="36"/>
      <c r="AH13" s="48"/>
      <c r="AI13" s="48"/>
      <c r="AJ13" s="47"/>
      <c r="AK13" s="36"/>
      <c r="AL13" s="49"/>
      <c r="AM13" s="53"/>
      <c r="AN13" s="36"/>
      <c r="AO13" s="52"/>
      <c r="AP13" s="47"/>
    </row>
    <row r="14" spans="1:43" ht="12" customHeight="1" x14ac:dyDescent="0.3">
      <c r="A14" s="7" t="s">
        <v>24</v>
      </c>
      <c r="B14" s="211" t="s">
        <v>25</v>
      </c>
      <c r="C14" s="6" t="s">
        <v>8</v>
      </c>
      <c r="D14" s="34"/>
      <c r="E14" s="33">
        <v>898101.34</v>
      </c>
      <c r="F14" s="131">
        <v>1.7784184950495048</v>
      </c>
      <c r="G14" s="7"/>
      <c r="H14" s="35">
        <v>505000</v>
      </c>
      <c r="I14" s="35">
        <v>505000</v>
      </c>
      <c r="J14" s="35">
        <v>533904.18999998271</v>
      </c>
      <c r="K14" s="70">
        <v>1.0572360198019459</v>
      </c>
      <c r="L14" s="36"/>
      <c r="M14" s="35">
        <v>51510</v>
      </c>
      <c r="N14" s="35">
        <v>51510</v>
      </c>
      <c r="O14" s="37">
        <v>694.72</v>
      </c>
      <c r="P14" s="35">
        <v>54346.092900000185</v>
      </c>
      <c r="Q14" s="115">
        <v>1.0550590739662238</v>
      </c>
      <c r="R14" s="36"/>
      <c r="S14" s="127">
        <v>0.10199999999999999</v>
      </c>
      <c r="T14" s="127">
        <v>0.10178997265408601</v>
      </c>
      <c r="U14" s="36"/>
      <c r="V14" s="35"/>
      <c r="W14" s="38">
        <v>-0.52129898063077929</v>
      </c>
      <c r="X14" s="69" t="s">
        <v>69</v>
      </c>
      <c r="Y14" s="36"/>
      <c r="Z14" s="62"/>
      <c r="AA14" s="33">
        <v>19423.076923076922</v>
      </c>
      <c r="AB14" s="33">
        <v>15395.299999999963</v>
      </c>
      <c r="AC14" s="36"/>
      <c r="AD14" s="35">
        <v>1981.1538461538462</v>
      </c>
      <c r="AE14" s="35">
        <v>1788.1156500000006</v>
      </c>
      <c r="AF14" s="115">
        <v>0.90256274315666896</v>
      </c>
      <c r="AG14" s="36"/>
      <c r="AH14" s="35">
        <v>2090.2343423076995</v>
      </c>
      <c r="AI14" s="35">
        <v>54346.092900000185</v>
      </c>
      <c r="AJ14" s="115">
        <v>1.0550590739662238</v>
      </c>
      <c r="AK14" s="36"/>
      <c r="AL14" s="108">
        <v>0.10199999999999999</v>
      </c>
      <c r="AM14" s="108">
        <v>0.11614685326041096</v>
      </c>
      <c r="AN14" s="36"/>
      <c r="AO14" s="38">
        <v>1.2321659857227507</v>
      </c>
      <c r="AP14" s="70">
        <v>0</v>
      </c>
    </row>
    <row r="15" spans="1:43" ht="12.75" customHeight="1" x14ac:dyDescent="0.3">
      <c r="A15" s="7" t="s">
        <v>24</v>
      </c>
      <c r="B15" s="211"/>
      <c r="C15" s="6" t="s">
        <v>9</v>
      </c>
      <c r="D15" s="34"/>
      <c r="E15" s="33">
        <v>1284942.5799999996</v>
      </c>
      <c r="F15" s="131">
        <v>1.5028568187134499</v>
      </c>
      <c r="G15" s="7"/>
      <c r="H15" s="35">
        <v>855000</v>
      </c>
      <c r="I15" s="35">
        <v>855000</v>
      </c>
      <c r="J15" s="35">
        <v>881470.79999991879</v>
      </c>
      <c r="K15" s="70">
        <v>1.0309599999999051</v>
      </c>
      <c r="L15" s="36"/>
      <c r="M15" s="35">
        <v>106020</v>
      </c>
      <c r="N15" s="35">
        <v>106020</v>
      </c>
      <c r="O15" s="37">
        <v>0</v>
      </c>
      <c r="P15" s="35">
        <v>119445.77140000279</v>
      </c>
      <c r="Q15" s="115">
        <v>1.1266343274854065</v>
      </c>
      <c r="R15" s="36"/>
      <c r="S15" s="127">
        <v>0.124</v>
      </c>
      <c r="T15" s="127">
        <v>0.13550734908066586</v>
      </c>
      <c r="U15" s="36"/>
      <c r="V15" s="35"/>
      <c r="W15" s="38">
        <v>3.5227612077365764</v>
      </c>
      <c r="X15" s="69" t="s">
        <v>69</v>
      </c>
      <c r="Y15" s="36"/>
      <c r="Z15" s="62"/>
      <c r="AA15" s="33">
        <v>27580.645161290322</v>
      </c>
      <c r="AB15" s="33">
        <v>26016.649999999994</v>
      </c>
      <c r="AC15" s="36"/>
      <c r="AD15" s="35">
        <v>3420</v>
      </c>
      <c r="AE15" s="35">
        <v>3589.6203500000015</v>
      </c>
      <c r="AF15" s="115">
        <v>1.049596593567252</v>
      </c>
      <c r="AG15" s="36"/>
      <c r="AH15" s="35">
        <v>3853.0894000000899</v>
      </c>
      <c r="AI15" s="35">
        <v>119445.77140000279</v>
      </c>
      <c r="AJ15" s="115">
        <v>1.1266343274854065</v>
      </c>
      <c r="AK15" s="36"/>
      <c r="AL15" s="108">
        <v>0.124</v>
      </c>
      <c r="AM15" s="108">
        <v>0.13797396474949705</v>
      </c>
      <c r="AN15" s="36"/>
      <c r="AO15" s="38">
        <v>4.0577489799801318</v>
      </c>
      <c r="AP15" s="70">
        <v>0</v>
      </c>
    </row>
    <row r="16" spans="1:43" ht="12.75" customHeight="1" x14ac:dyDescent="0.3">
      <c r="A16" s="7" t="s">
        <v>24</v>
      </c>
      <c r="B16" s="211"/>
      <c r="C16" s="6" t="s">
        <v>10</v>
      </c>
      <c r="D16" s="34"/>
      <c r="E16" s="33">
        <v>1862647.3300000024</v>
      </c>
      <c r="F16" s="131">
        <v>1.5143474227642295</v>
      </c>
      <c r="G16" s="7"/>
      <c r="H16" s="35">
        <v>1230000</v>
      </c>
      <c r="I16" s="35">
        <v>1230000</v>
      </c>
      <c r="J16" s="35">
        <v>1254573.7899998606</v>
      </c>
      <c r="K16" s="70">
        <v>1.0199786910567972</v>
      </c>
      <c r="L16" s="36"/>
      <c r="M16" s="35">
        <v>170891.33832238274</v>
      </c>
      <c r="N16" s="35">
        <v>170891.33832238274</v>
      </c>
      <c r="O16" s="37">
        <v>11689.720000000001</v>
      </c>
      <c r="P16" s="35">
        <v>170714.15243000205</v>
      </c>
      <c r="Q16" s="115">
        <v>0.99896316633645632</v>
      </c>
      <c r="R16" s="36"/>
      <c r="S16" s="127">
        <v>0.13893604741657134</v>
      </c>
      <c r="T16" s="127">
        <v>0.13607342492785621</v>
      </c>
      <c r="U16" s="36"/>
      <c r="V16" s="35"/>
      <c r="W16" s="38">
        <v>2.875966540786056</v>
      </c>
      <c r="X16" s="69" t="s">
        <v>69</v>
      </c>
      <c r="Y16" s="36"/>
      <c r="Z16" s="62"/>
      <c r="AA16" s="33">
        <v>39677.419354838712</v>
      </c>
      <c r="AB16" s="33">
        <v>30990.660000000127</v>
      </c>
      <c r="AC16" s="36"/>
      <c r="AD16" s="35">
        <v>5512.6238168510563</v>
      </c>
      <c r="AE16" s="35">
        <v>4108.4893999999986</v>
      </c>
      <c r="AF16" s="115">
        <v>0.74528745956528319</v>
      </c>
      <c r="AG16" s="36"/>
      <c r="AH16" s="35">
        <v>5506.9081429032922</v>
      </c>
      <c r="AI16" s="35">
        <v>170714.15243000205</v>
      </c>
      <c r="AJ16" s="115">
        <v>0.99896316633645632</v>
      </c>
      <c r="AK16" s="36"/>
      <c r="AL16" s="108">
        <v>0.13893604741657134</v>
      </c>
      <c r="AM16" s="108">
        <v>0.13257185874711871</v>
      </c>
      <c r="AN16" s="36"/>
      <c r="AO16" s="38">
        <v>3.8440917360267455</v>
      </c>
      <c r="AP16" s="70">
        <v>0</v>
      </c>
    </row>
    <row r="17" spans="1:43" ht="12.75" customHeight="1" x14ac:dyDescent="0.3">
      <c r="A17" s="7" t="s">
        <v>24</v>
      </c>
      <c r="B17" s="211"/>
      <c r="C17" s="6" t="s">
        <v>12</v>
      </c>
      <c r="D17" s="34"/>
      <c r="E17" s="33">
        <v>51898.799999999988</v>
      </c>
      <c r="F17" s="131">
        <v>1.1282347826086954</v>
      </c>
      <c r="G17" s="7"/>
      <c r="H17" s="35">
        <v>46000</v>
      </c>
      <c r="I17" s="35">
        <v>46000</v>
      </c>
      <c r="J17" s="35">
        <v>36141.270000000353</v>
      </c>
      <c r="K17" s="70">
        <v>0.7856797826087033</v>
      </c>
      <c r="L17" s="36"/>
      <c r="M17" s="35">
        <v>6566.3465285347293</v>
      </c>
      <c r="N17" s="35">
        <v>6566.3465285347293</v>
      </c>
      <c r="O17" s="37">
        <v>0</v>
      </c>
      <c r="P17" s="35">
        <v>5355.4599999999991</v>
      </c>
      <c r="Q17" s="115">
        <v>0.8155920460072128</v>
      </c>
      <c r="R17" s="36"/>
      <c r="S17" s="127">
        <v>0.14274666366379846</v>
      </c>
      <c r="T17" s="127">
        <v>0.14818128970011143</v>
      </c>
      <c r="U17" s="36"/>
      <c r="V17" s="35"/>
      <c r="W17" s="38">
        <v>4.232529736780851</v>
      </c>
      <c r="X17" s="69" t="s">
        <v>69</v>
      </c>
      <c r="Y17" s="36"/>
      <c r="Z17" s="62"/>
      <c r="AA17" s="33">
        <v>1769.2307692307693</v>
      </c>
      <c r="AB17" s="33">
        <v>938.75000000000057</v>
      </c>
      <c r="AC17" s="36"/>
      <c r="AD17" s="35">
        <v>252.55178955902804</v>
      </c>
      <c r="AE17" s="35">
        <v>159.51000000000002</v>
      </c>
      <c r="AF17" s="115">
        <v>0.6315932279811397</v>
      </c>
      <c r="AG17" s="36"/>
      <c r="AH17" s="35">
        <v>205.97923076923072</v>
      </c>
      <c r="AI17" s="35">
        <v>5355.4599999999991</v>
      </c>
      <c r="AJ17" s="115">
        <v>0.8155920460072128</v>
      </c>
      <c r="AK17" s="36"/>
      <c r="AL17" s="108">
        <v>0.14274666366379846</v>
      </c>
      <c r="AM17" s="108">
        <v>0.1699174434087882</v>
      </c>
      <c r="AN17" s="36"/>
      <c r="AO17" s="38">
        <v>6.6822902796272219</v>
      </c>
      <c r="AP17" s="70">
        <v>0</v>
      </c>
    </row>
    <row r="18" spans="1:43" s="15" customFormat="1" ht="14.25" customHeight="1" x14ac:dyDescent="0.3">
      <c r="A18" s="26"/>
      <c r="B18" s="211"/>
      <c r="C18" s="9" t="s">
        <v>26</v>
      </c>
      <c r="D18" s="28"/>
      <c r="E18" s="27">
        <v>4097590.0500000017</v>
      </c>
      <c r="F18" s="124">
        <v>1.5544727048558429</v>
      </c>
      <c r="G18" s="26"/>
      <c r="H18" s="29">
        <v>2636000</v>
      </c>
      <c r="I18" s="29">
        <v>2636000</v>
      </c>
      <c r="J18" s="29">
        <v>2706090.0499997623</v>
      </c>
      <c r="K18" s="31">
        <v>1.0265895485583316</v>
      </c>
      <c r="L18" s="39"/>
      <c r="M18" s="29">
        <v>334987.68485091749</v>
      </c>
      <c r="N18" s="29">
        <v>334987.68485091749</v>
      </c>
      <c r="O18" s="27">
        <v>12384.44</v>
      </c>
      <c r="P18" s="29">
        <v>349861.47673000506</v>
      </c>
      <c r="Q18" s="31">
        <v>1.0444010109974848</v>
      </c>
      <c r="R18" s="39"/>
      <c r="S18" s="128">
        <v>0.12708182278107644</v>
      </c>
      <c r="T18" s="128">
        <v>0.12928670896596209</v>
      </c>
      <c r="U18" s="39"/>
      <c r="V18" s="29"/>
      <c r="W18" s="32">
        <v>2.4344972086121461</v>
      </c>
      <c r="X18" s="30" t="s">
        <v>69</v>
      </c>
      <c r="Y18" s="39"/>
      <c r="Z18" s="62"/>
      <c r="AA18" s="27">
        <v>88450.372208436718</v>
      </c>
      <c r="AB18" s="27">
        <v>73341.360000000073</v>
      </c>
      <c r="AC18" s="39"/>
      <c r="AD18" s="29">
        <v>11166.329452563928</v>
      </c>
      <c r="AE18" s="29">
        <v>9645.7354000000014</v>
      </c>
      <c r="AF18" s="31">
        <v>0.86382328597560953</v>
      </c>
      <c r="AG18" s="39"/>
      <c r="AH18" s="29">
        <v>11656.211115980313</v>
      </c>
      <c r="AI18" s="29">
        <v>349861.47673000506</v>
      </c>
      <c r="AJ18" s="31">
        <v>1.0444010109974848</v>
      </c>
      <c r="AK18" s="39"/>
      <c r="AL18" s="80">
        <v>0.12708182278107644</v>
      </c>
      <c r="AM18" s="80">
        <v>0.13151836017221377</v>
      </c>
      <c r="AN18" s="39"/>
      <c r="AO18" s="32">
        <v>0</v>
      </c>
      <c r="AP18" s="31">
        <v>0</v>
      </c>
      <c r="AQ18" s="10"/>
    </row>
    <row r="19" spans="1:43" ht="8" customHeight="1" x14ac:dyDescent="0.3">
      <c r="B19" s="16"/>
      <c r="D19" s="34"/>
      <c r="E19" s="47"/>
      <c r="F19" s="125"/>
      <c r="G19" s="34"/>
      <c r="H19" s="48"/>
      <c r="I19" s="48"/>
      <c r="J19" s="48"/>
      <c r="K19" s="51"/>
      <c r="L19" s="34"/>
      <c r="M19" s="48"/>
      <c r="N19" s="48"/>
      <c r="O19" s="51"/>
      <c r="P19" s="48"/>
      <c r="Q19" s="47"/>
      <c r="R19" s="34"/>
      <c r="S19" s="51"/>
      <c r="T19" s="51"/>
      <c r="U19" s="34"/>
      <c r="V19" s="48"/>
      <c r="W19" s="52"/>
      <c r="X19" s="48"/>
      <c r="Y19" s="34"/>
      <c r="Z19" s="62"/>
      <c r="AA19" s="47"/>
      <c r="AB19" s="47"/>
      <c r="AC19" s="36"/>
      <c r="AD19" s="48"/>
      <c r="AE19" s="48"/>
      <c r="AF19" s="47"/>
      <c r="AG19" s="36"/>
      <c r="AH19" s="48"/>
      <c r="AI19" s="48"/>
      <c r="AJ19" s="47"/>
      <c r="AK19" s="36"/>
      <c r="AL19" s="49"/>
      <c r="AM19" s="53"/>
      <c r="AN19" s="36"/>
      <c r="AO19" s="52"/>
      <c r="AP19" s="47"/>
    </row>
    <row r="20" spans="1:43" ht="12" customHeight="1" x14ac:dyDescent="0.3">
      <c r="A20" s="7" t="s">
        <v>14</v>
      </c>
      <c r="B20" s="211" t="s">
        <v>33</v>
      </c>
      <c r="C20" s="6" t="s">
        <v>8</v>
      </c>
      <c r="D20" s="34"/>
      <c r="E20" s="33">
        <v>84322.720000000074</v>
      </c>
      <c r="F20" s="123">
        <v>0.49024837209302369</v>
      </c>
      <c r="G20" s="7"/>
      <c r="H20" s="35">
        <v>172000</v>
      </c>
      <c r="I20" s="35">
        <v>172000</v>
      </c>
      <c r="J20" s="35">
        <v>187642.49999999901</v>
      </c>
      <c r="K20" s="70">
        <v>1.0909447674418546</v>
      </c>
      <c r="L20" s="36"/>
      <c r="M20" s="35">
        <v>31045.208551705378</v>
      </c>
      <c r="N20" s="35">
        <v>31045.208551705378</v>
      </c>
      <c r="O20" s="37">
        <v>0</v>
      </c>
      <c r="P20" s="35">
        <v>28884.933179999978</v>
      </c>
      <c r="Q20" s="115">
        <v>0.93041517604536328</v>
      </c>
      <c r="R20" s="36"/>
      <c r="S20" s="127">
        <v>0.18049539855642663</v>
      </c>
      <c r="T20" s="127">
        <v>0.15393598561093638</v>
      </c>
      <c r="U20" s="36"/>
      <c r="V20" s="35"/>
      <c r="W20" s="38">
        <v>-0.87707039716545154</v>
      </c>
      <c r="X20" s="69" t="s">
        <v>69</v>
      </c>
      <c r="Y20" s="36"/>
      <c r="Z20" s="62"/>
      <c r="AA20" s="33">
        <v>6615.3846153846152</v>
      </c>
      <c r="AB20" s="33">
        <v>8714.7599999999966</v>
      </c>
      <c r="AC20" s="36"/>
      <c r="AD20" s="35">
        <v>1194.0464827578992</v>
      </c>
      <c r="AE20" s="35">
        <v>1301.2343099999998</v>
      </c>
      <c r="AF20" s="115">
        <v>1.089768554901253</v>
      </c>
      <c r="AG20" s="36"/>
      <c r="AH20" s="35">
        <v>1110.9589684615376</v>
      </c>
      <c r="AI20" s="35">
        <v>28884.933179999978</v>
      </c>
      <c r="AJ20" s="115">
        <v>0.93041517604536328</v>
      </c>
      <c r="AK20" s="36"/>
      <c r="AL20" s="108">
        <v>0.18049539855642663</v>
      </c>
      <c r="AM20" s="108">
        <v>0.14931384341048984</v>
      </c>
      <c r="AN20" s="36"/>
      <c r="AO20" s="38">
        <v>-1.0770886404215652</v>
      </c>
      <c r="AP20" s="70">
        <v>0</v>
      </c>
    </row>
    <row r="21" spans="1:43" ht="12.75" customHeight="1" x14ac:dyDescent="0.3">
      <c r="A21" s="7" t="s">
        <v>14</v>
      </c>
      <c r="B21" s="211"/>
      <c r="C21" s="6" t="s">
        <v>9</v>
      </c>
      <c r="D21" s="34"/>
      <c r="E21" s="33">
        <v>80205.130000000034</v>
      </c>
      <c r="F21" s="123">
        <v>0.47179488235294137</v>
      </c>
      <c r="G21" s="7"/>
      <c r="H21" s="35">
        <v>170000</v>
      </c>
      <c r="I21" s="35">
        <v>170000</v>
      </c>
      <c r="J21" s="35">
        <v>187231.71999999712</v>
      </c>
      <c r="K21" s="70">
        <v>1.1013630588235124</v>
      </c>
      <c r="L21" s="36"/>
      <c r="M21" s="35">
        <v>40800</v>
      </c>
      <c r="N21" s="35">
        <v>40800</v>
      </c>
      <c r="O21" s="37">
        <v>0</v>
      </c>
      <c r="P21" s="35">
        <v>43209.126159999993</v>
      </c>
      <c r="Q21" s="115">
        <v>1.0590472098039214</v>
      </c>
      <c r="R21" s="36"/>
      <c r="S21" s="127">
        <v>0.24</v>
      </c>
      <c r="T21" s="127">
        <v>0.23077887742526029</v>
      </c>
      <c r="U21" s="36"/>
      <c r="V21" s="35"/>
      <c r="W21" s="38">
        <v>7.1967966538984696</v>
      </c>
      <c r="X21" s="69" t="s">
        <v>69</v>
      </c>
      <c r="Y21" s="36"/>
      <c r="Z21" s="62"/>
      <c r="AA21" s="33">
        <v>5483.8709677419356</v>
      </c>
      <c r="AB21" s="33">
        <v>4236.24</v>
      </c>
      <c r="AC21" s="36"/>
      <c r="AD21" s="35">
        <v>1316.1290322580646</v>
      </c>
      <c r="AE21" s="35">
        <v>864.88027000000022</v>
      </c>
      <c r="AF21" s="115">
        <v>0.65713942083333343</v>
      </c>
      <c r="AG21" s="36"/>
      <c r="AH21" s="35">
        <v>1393.8427793548385</v>
      </c>
      <c r="AI21" s="35">
        <v>43209.126159999993</v>
      </c>
      <c r="AJ21" s="115">
        <v>1.0590472098039214</v>
      </c>
      <c r="AK21" s="36"/>
      <c r="AL21" s="108">
        <v>0.24</v>
      </c>
      <c r="AM21" s="108">
        <v>0.20416224529299573</v>
      </c>
      <c r="AN21" s="36"/>
      <c r="AO21" s="38">
        <v>3.932030999187953</v>
      </c>
      <c r="AP21" s="70">
        <v>0</v>
      </c>
    </row>
    <row r="22" spans="1:43" ht="12.75" customHeight="1" x14ac:dyDescent="0.3">
      <c r="A22" s="7" t="s">
        <v>14</v>
      </c>
      <c r="B22" s="211"/>
      <c r="C22" s="6" t="s">
        <v>10</v>
      </c>
      <c r="D22" s="34"/>
      <c r="E22" s="33">
        <v>164044.68999999977</v>
      </c>
      <c r="F22" s="123">
        <v>0.54681563333333261</v>
      </c>
      <c r="G22" s="7"/>
      <c r="H22" s="35">
        <v>300000</v>
      </c>
      <c r="I22" s="35">
        <v>300000</v>
      </c>
      <c r="J22" s="35">
        <v>305076.24999999104</v>
      </c>
      <c r="K22" s="70">
        <v>1.0169208333333035</v>
      </c>
      <c r="L22" s="36"/>
      <c r="M22" s="35">
        <v>73642.908202804829</v>
      </c>
      <c r="N22" s="35">
        <v>73642.908202804829</v>
      </c>
      <c r="O22" s="37">
        <v>1357.86</v>
      </c>
      <c r="P22" s="35">
        <v>75052.136810000273</v>
      </c>
      <c r="Q22" s="115">
        <v>1.0191359716989254</v>
      </c>
      <c r="R22" s="36"/>
      <c r="S22" s="127">
        <v>0.24547636067601611</v>
      </c>
      <c r="T22" s="127">
        <v>0.24601107693569224</v>
      </c>
      <c r="U22" s="36"/>
      <c r="V22" s="35"/>
      <c r="W22" s="38">
        <v>8.4975827551289917</v>
      </c>
      <c r="X22" s="69" t="s">
        <v>69</v>
      </c>
      <c r="Y22" s="36"/>
      <c r="Z22" s="62"/>
      <c r="AA22" s="33">
        <v>9677.4193548387102</v>
      </c>
      <c r="AB22" s="33">
        <v>7449.8599999999915</v>
      </c>
      <c r="AC22" s="36"/>
      <c r="AD22" s="35">
        <v>2375.5776839614459</v>
      </c>
      <c r="AE22" s="35">
        <v>1756.0872799999979</v>
      </c>
      <c r="AF22" s="115">
        <v>0.73922536478436551</v>
      </c>
      <c r="AG22" s="36"/>
      <c r="AH22" s="35">
        <v>2421.0366712903315</v>
      </c>
      <c r="AI22" s="35">
        <v>75052.136810000273</v>
      </c>
      <c r="AJ22" s="115">
        <v>1.0191359716989254</v>
      </c>
      <c r="AK22" s="36"/>
      <c r="AL22" s="108">
        <v>0.24547636067601611</v>
      </c>
      <c r="AM22" s="108">
        <v>0.23572084307624572</v>
      </c>
      <c r="AN22" s="36"/>
      <c r="AO22" s="38">
        <v>7.2547306929256692</v>
      </c>
      <c r="AP22" s="70">
        <v>0</v>
      </c>
    </row>
    <row r="23" spans="1:43" ht="12.75" customHeight="1" x14ac:dyDescent="0.3">
      <c r="A23" s="7" t="s">
        <v>14</v>
      </c>
      <c r="B23" s="211"/>
      <c r="C23" s="6" t="s">
        <v>12</v>
      </c>
      <c r="D23" s="34"/>
      <c r="E23" s="33">
        <v>31551.369999999984</v>
      </c>
      <c r="F23" s="123">
        <v>3.5450977528089872E-2</v>
      </c>
      <c r="G23" s="7"/>
      <c r="H23" s="35">
        <v>890000</v>
      </c>
      <c r="I23" s="35">
        <v>890000.00000000012</v>
      </c>
      <c r="J23" s="35">
        <v>955080.74999999895</v>
      </c>
      <c r="K23" s="70">
        <v>1.0731244382022458</v>
      </c>
      <c r="L23" s="36"/>
      <c r="M23" s="35">
        <v>228323.22150295851</v>
      </c>
      <c r="N23" s="35">
        <v>228323.22150295848</v>
      </c>
      <c r="O23" s="37">
        <v>153727.62</v>
      </c>
      <c r="P23" s="35">
        <v>274035.2699999999</v>
      </c>
      <c r="Q23" s="115">
        <v>1.2002076188139676</v>
      </c>
      <c r="R23" s="36"/>
      <c r="S23" s="127">
        <v>0.25654294550894213</v>
      </c>
      <c r="T23" s="127">
        <v>0.28692366587851365</v>
      </c>
      <c r="U23" s="36"/>
      <c r="V23" s="35"/>
      <c r="W23" s="38">
        <v>-2.9134290477535121</v>
      </c>
      <c r="X23" s="69" t="s">
        <v>69</v>
      </c>
      <c r="Y23" s="36"/>
      <c r="Z23" s="62"/>
      <c r="AA23" s="33">
        <v>34230.769230769234</v>
      </c>
      <c r="AB23" s="33">
        <v>137884.26999999999</v>
      </c>
      <c r="AC23" s="36"/>
      <c r="AD23" s="35">
        <v>8781.6623654984032</v>
      </c>
      <c r="AE23" s="35">
        <v>14159.05</v>
      </c>
      <c r="AF23" s="115">
        <v>1.6123427900881728</v>
      </c>
      <c r="AG23" s="36"/>
      <c r="AH23" s="35">
        <v>10539.818076923073</v>
      </c>
      <c r="AI23" s="35">
        <v>274035.2699999999</v>
      </c>
      <c r="AJ23" s="115">
        <v>1.2002076188139676</v>
      </c>
      <c r="AK23" s="36"/>
      <c r="AL23" s="108">
        <v>0.25654294550894213</v>
      </c>
      <c r="AM23" s="108">
        <v>0.1026879280718533</v>
      </c>
      <c r="AN23" s="36"/>
      <c r="AO23" s="38">
        <v>-5.7531580650932721</v>
      </c>
      <c r="AP23" s="70">
        <v>0</v>
      </c>
    </row>
    <row r="24" spans="1:43" s="15" customFormat="1" ht="14.25" customHeight="1" x14ac:dyDescent="0.3">
      <c r="A24" s="26"/>
      <c r="B24" s="211"/>
      <c r="C24" s="9" t="s">
        <v>34</v>
      </c>
      <c r="D24" s="28"/>
      <c r="E24" s="27">
        <v>360123.90999999986</v>
      </c>
      <c r="F24" s="124">
        <v>0.2350678263707571</v>
      </c>
      <c r="G24" s="26"/>
      <c r="H24" s="29">
        <v>1532000</v>
      </c>
      <c r="I24" s="29">
        <v>1532000</v>
      </c>
      <c r="J24" s="29">
        <v>1635031.2199999862</v>
      </c>
      <c r="K24" s="31">
        <v>1.0672527545691817</v>
      </c>
      <c r="L24" s="39"/>
      <c r="M24" s="29">
        <v>373811.33825746871</v>
      </c>
      <c r="N24" s="29">
        <v>373811.33825746865</v>
      </c>
      <c r="O24" s="27">
        <v>155085.47999999998</v>
      </c>
      <c r="P24" s="29">
        <v>421181.46615000017</v>
      </c>
      <c r="Q24" s="31">
        <v>1.1267220200257932</v>
      </c>
      <c r="R24" s="39"/>
      <c r="S24" s="128">
        <v>0.24400217901923546</v>
      </c>
      <c r="T24" s="128">
        <v>0.25759842442030173</v>
      </c>
      <c r="U24" s="39"/>
      <c r="V24" s="29"/>
      <c r="W24" s="32">
        <v>0.60717104533249389</v>
      </c>
      <c r="X24" s="30" t="s">
        <v>69</v>
      </c>
      <c r="Y24" s="39"/>
      <c r="Z24" s="62"/>
      <c r="AA24" s="27">
        <v>56007.444168734495</v>
      </c>
      <c r="AB24" s="27">
        <v>158285.12999999998</v>
      </c>
      <c r="AC24" s="39"/>
      <c r="AD24" s="29">
        <v>13667.415564475814</v>
      </c>
      <c r="AE24" s="29">
        <v>18081.251859999997</v>
      </c>
      <c r="AF24" s="31">
        <v>1.3229459347820354</v>
      </c>
      <c r="AG24" s="39"/>
      <c r="AH24" s="29">
        <v>15465.65649602978</v>
      </c>
      <c r="AI24" s="29">
        <v>421181.46615000017</v>
      </c>
      <c r="AJ24" s="31">
        <v>1.126722020025793</v>
      </c>
      <c r="AK24" s="39"/>
      <c r="AL24" s="80">
        <v>0.24400217901923546</v>
      </c>
      <c r="AM24" s="80">
        <v>0.11423215724686203</v>
      </c>
      <c r="AN24" s="39"/>
      <c r="AO24" s="32">
        <v>0</v>
      </c>
      <c r="AP24" s="31">
        <v>0</v>
      </c>
      <c r="AQ24" s="10"/>
    </row>
    <row r="25" spans="1:43" ht="8" customHeight="1" x14ac:dyDescent="0.3">
      <c r="B25" s="16"/>
      <c r="D25" s="34"/>
      <c r="E25" s="47"/>
      <c r="F25" s="125"/>
      <c r="G25" s="34"/>
      <c r="H25" s="48"/>
      <c r="I25" s="48"/>
      <c r="J25" s="48"/>
      <c r="K25" s="51"/>
      <c r="L25" s="34"/>
      <c r="M25" s="48"/>
      <c r="N25" s="48"/>
      <c r="O25" s="51"/>
      <c r="P25" s="48"/>
      <c r="Q25" s="47"/>
      <c r="R25" s="34"/>
      <c r="S25" s="51"/>
      <c r="T25" s="51"/>
      <c r="U25" s="34"/>
      <c r="V25" s="48"/>
      <c r="W25" s="52"/>
      <c r="X25" s="48"/>
      <c r="Y25" s="34"/>
      <c r="Z25" s="62"/>
      <c r="AA25" s="47"/>
      <c r="AB25" s="47"/>
      <c r="AC25" s="36"/>
      <c r="AD25" s="48"/>
      <c r="AE25" s="48"/>
      <c r="AF25" s="47"/>
      <c r="AG25" s="36"/>
      <c r="AH25" s="48"/>
      <c r="AI25" s="48"/>
      <c r="AJ25" s="47"/>
      <c r="AK25" s="36"/>
      <c r="AL25" s="49"/>
      <c r="AM25" s="53"/>
      <c r="AN25" s="36"/>
      <c r="AO25" s="52"/>
      <c r="AP25" s="47"/>
    </row>
    <row r="26" spans="1:43" ht="12.75" customHeight="1" x14ac:dyDescent="0.3">
      <c r="A26" s="7" t="s">
        <v>18</v>
      </c>
      <c r="B26" s="211" t="s">
        <v>53</v>
      </c>
      <c r="C26" s="6" t="s">
        <v>8</v>
      </c>
      <c r="D26" s="34"/>
      <c r="E26" s="33">
        <v>184099.88999999998</v>
      </c>
      <c r="F26" s="123">
        <v>0.55787845454545448</v>
      </c>
      <c r="G26" s="7"/>
      <c r="H26" s="35">
        <v>330000</v>
      </c>
      <c r="I26" s="35">
        <v>330000</v>
      </c>
      <c r="J26" s="35">
        <v>338595.16999999376</v>
      </c>
      <c r="K26" s="70">
        <v>1.0260459696969508</v>
      </c>
      <c r="L26" s="36"/>
      <c r="M26" s="35">
        <v>45867.685825971581</v>
      </c>
      <c r="N26" s="35">
        <v>45867.685825971581</v>
      </c>
      <c r="O26" s="37">
        <v>0</v>
      </c>
      <c r="P26" s="35">
        <v>35134.565700000203</v>
      </c>
      <c r="Q26" s="115">
        <v>0.76599822003895424</v>
      </c>
      <c r="R26" s="36"/>
      <c r="S26" s="127">
        <v>0.13899298735142904</v>
      </c>
      <c r="T26" s="127">
        <v>0.1037657025645134</v>
      </c>
      <c r="U26" s="36"/>
      <c r="V26" s="35"/>
      <c r="W26" s="38">
        <v>-3.6927562493012975</v>
      </c>
      <c r="X26" s="69" t="s">
        <v>69</v>
      </c>
      <c r="Y26" s="36"/>
      <c r="Z26" s="62"/>
      <c r="AA26" s="33">
        <v>12692.307692307691</v>
      </c>
      <c r="AB26" s="33">
        <v>14209.149999999985</v>
      </c>
      <c r="AC26" s="36"/>
      <c r="AD26" s="35">
        <v>1764.1417625373685</v>
      </c>
      <c r="AE26" s="35">
        <v>1883.0479000000003</v>
      </c>
      <c r="AF26" s="115">
        <v>1.0674016907187827</v>
      </c>
      <c r="AG26" s="36"/>
      <c r="AH26" s="35">
        <v>1351.3294500000079</v>
      </c>
      <c r="AI26" s="35">
        <v>35134.565700000203</v>
      </c>
      <c r="AJ26" s="115">
        <v>0.76599822003895424</v>
      </c>
      <c r="AK26" s="36"/>
      <c r="AL26" s="108">
        <v>0.13899298735142904</v>
      </c>
      <c r="AM26" s="108">
        <v>0.13252361330551105</v>
      </c>
      <c r="AN26" s="36"/>
      <c r="AO26" s="38">
        <v>-0.81779768670197217</v>
      </c>
      <c r="AP26" s="70">
        <v>0</v>
      </c>
    </row>
    <row r="27" spans="1:43" ht="12.75" customHeight="1" x14ac:dyDescent="0.3">
      <c r="A27" s="7" t="s">
        <v>18</v>
      </c>
      <c r="B27" s="211"/>
      <c r="C27" s="6" t="s">
        <v>9</v>
      </c>
      <c r="D27" s="34"/>
      <c r="E27" s="33">
        <v>170226.41000000006</v>
      </c>
      <c r="F27" s="123">
        <v>0.56742136666666687</v>
      </c>
      <c r="G27" s="7"/>
      <c r="H27" s="35">
        <v>300000</v>
      </c>
      <c r="I27" s="35">
        <v>300000</v>
      </c>
      <c r="J27" s="35">
        <v>253163.31999999229</v>
      </c>
      <c r="K27" s="70">
        <v>0.84387773333330762</v>
      </c>
      <c r="L27" s="36"/>
      <c r="M27" s="35">
        <v>50700</v>
      </c>
      <c r="N27" s="35">
        <v>50700</v>
      </c>
      <c r="O27" s="37">
        <v>0</v>
      </c>
      <c r="P27" s="35">
        <v>44825.245299999719</v>
      </c>
      <c r="Q27" s="115">
        <v>0.88412712623273604</v>
      </c>
      <c r="R27" s="36"/>
      <c r="S27" s="127">
        <v>0.16900000000000001</v>
      </c>
      <c r="T27" s="127">
        <v>0.17706058405301797</v>
      </c>
      <c r="U27" s="36"/>
      <c r="V27" s="35"/>
      <c r="W27" s="38">
        <v>3.888089040699612</v>
      </c>
      <c r="X27" s="69" t="s">
        <v>69</v>
      </c>
      <c r="Y27" s="36"/>
      <c r="Z27" s="62"/>
      <c r="AA27" s="33">
        <v>9677.4193548387102</v>
      </c>
      <c r="AB27" s="33">
        <v>8021.3799999999737</v>
      </c>
      <c r="AC27" s="36"/>
      <c r="AD27" s="35">
        <v>1635.483870967742</v>
      </c>
      <c r="AE27" s="35">
        <v>1263.2741000000001</v>
      </c>
      <c r="AF27" s="115">
        <v>0.77241611637080876</v>
      </c>
      <c r="AG27" s="36"/>
      <c r="AH27" s="35">
        <v>1445.9756548387006</v>
      </c>
      <c r="AI27" s="35">
        <v>44825.245299999719</v>
      </c>
      <c r="AJ27" s="115">
        <v>0.88412712623273604</v>
      </c>
      <c r="AK27" s="36"/>
      <c r="AL27" s="108">
        <v>0.16900000000000001</v>
      </c>
      <c r="AM27" s="108">
        <v>0.15748837481829864</v>
      </c>
      <c r="AN27" s="36"/>
      <c r="AO27" s="38">
        <v>1.7780494129436295</v>
      </c>
      <c r="AP27" s="70">
        <v>0</v>
      </c>
    </row>
    <row r="28" spans="1:43" ht="12.75" customHeight="1" x14ac:dyDescent="0.3">
      <c r="A28" s="7" t="s">
        <v>18</v>
      </c>
      <c r="B28" s="211"/>
      <c r="C28" s="6" t="s">
        <v>10</v>
      </c>
      <c r="D28" s="34"/>
      <c r="E28" s="33">
        <v>317904.16999999993</v>
      </c>
      <c r="F28" s="123">
        <v>0.69869048351648333</v>
      </c>
      <c r="G28" s="7"/>
      <c r="H28" s="35">
        <v>455000</v>
      </c>
      <c r="I28" s="35">
        <v>455000</v>
      </c>
      <c r="J28" s="35">
        <v>386661.18999998161</v>
      </c>
      <c r="K28" s="70">
        <v>0.84980481318677281</v>
      </c>
      <c r="L28" s="36"/>
      <c r="M28" s="35">
        <v>85995</v>
      </c>
      <c r="N28" s="35">
        <v>85995</v>
      </c>
      <c r="O28" s="37">
        <v>0</v>
      </c>
      <c r="P28" s="35">
        <v>66406.887719999737</v>
      </c>
      <c r="Q28" s="115">
        <v>0.7722180094191492</v>
      </c>
      <c r="R28" s="36"/>
      <c r="S28" s="127">
        <v>0.189</v>
      </c>
      <c r="T28" s="127">
        <v>0.17174438355192279</v>
      </c>
      <c r="U28" s="36"/>
      <c r="V28" s="35"/>
      <c r="W28" s="38">
        <v>3.2030361567916215</v>
      </c>
      <c r="X28" s="69" t="s">
        <v>69</v>
      </c>
      <c r="Y28" s="36"/>
      <c r="Z28" s="62"/>
      <c r="AA28" s="33">
        <v>14677.41935483871</v>
      </c>
      <c r="AB28" s="33">
        <v>15651.879999999963</v>
      </c>
      <c r="AC28" s="36"/>
      <c r="AD28" s="35">
        <v>2774.0322580645161</v>
      </c>
      <c r="AE28" s="35">
        <v>2143.1645999999987</v>
      </c>
      <c r="AF28" s="115">
        <v>0.77258099424385096</v>
      </c>
      <c r="AG28" s="36"/>
      <c r="AH28" s="35">
        <v>2142.1576683870885</v>
      </c>
      <c r="AI28" s="35">
        <v>66406.887719999737</v>
      </c>
      <c r="AJ28" s="115">
        <v>0.7722180094191492</v>
      </c>
      <c r="AK28" s="36"/>
      <c r="AL28" s="108">
        <v>0.189</v>
      </c>
      <c r="AM28" s="108">
        <v>0.13692697618433081</v>
      </c>
      <c r="AN28" s="36"/>
      <c r="AO28" s="38">
        <v>-0.17509334341965599</v>
      </c>
      <c r="AP28" s="70">
        <v>0</v>
      </c>
    </row>
    <row r="29" spans="1:43" ht="12.75" customHeight="1" x14ac:dyDescent="0.3">
      <c r="A29" s="7" t="s">
        <v>18</v>
      </c>
      <c r="B29" s="211"/>
      <c r="C29" s="6" t="s">
        <v>12</v>
      </c>
      <c r="D29" s="34"/>
      <c r="E29" s="33">
        <v>31943.090000000004</v>
      </c>
      <c r="F29" s="123">
        <v>6.2633509803921572E-2</v>
      </c>
      <c r="G29" s="7"/>
      <c r="H29" s="35">
        <v>510000</v>
      </c>
      <c r="I29" s="35">
        <v>510000.00000000006</v>
      </c>
      <c r="J29" s="35">
        <v>597862.19999999681</v>
      </c>
      <c r="K29" s="70">
        <v>1.1722788235294053</v>
      </c>
      <c r="L29" s="36"/>
      <c r="M29" s="35">
        <v>112200</v>
      </c>
      <c r="N29" s="35">
        <v>112200</v>
      </c>
      <c r="O29" s="37">
        <v>84133.040000000008</v>
      </c>
      <c r="P29" s="35">
        <v>181894.61999999976</v>
      </c>
      <c r="Q29" s="115">
        <v>1.6211641711229925</v>
      </c>
      <c r="R29" s="36"/>
      <c r="S29" s="127">
        <v>0.22</v>
      </c>
      <c r="T29" s="127">
        <v>0.30424171322421911</v>
      </c>
      <c r="U29" s="36"/>
      <c r="V29" s="35"/>
      <c r="W29" s="38">
        <v>2.3692466257269662</v>
      </c>
      <c r="X29" s="69" t="s">
        <v>69</v>
      </c>
      <c r="Y29" s="36"/>
      <c r="Z29" s="62"/>
      <c r="AA29" s="33">
        <v>19615.384615384617</v>
      </c>
      <c r="AB29" s="33">
        <v>14694.220000000001</v>
      </c>
      <c r="AC29" s="36"/>
      <c r="AD29" s="35">
        <v>4315.3846153846152</v>
      </c>
      <c r="AE29" s="35">
        <v>2891.2300000000005</v>
      </c>
      <c r="AF29" s="115">
        <v>0.66998199643493772</v>
      </c>
      <c r="AG29" s="36"/>
      <c r="AH29" s="35">
        <v>6995.9469230769137</v>
      </c>
      <c r="AI29" s="35">
        <v>181894.61999999976</v>
      </c>
      <c r="AJ29" s="115">
        <v>1.6211641711229925</v>
      </c>
      <c r="AK29" s="36"/>
      <c r="AL29" s="108">
        <v>0.22</v>
      </c>
      <c r="AM29" s="108">
        <v>0.1967596782952753</v>
      </c>
      <c r="AN29" s="36"/>
      <c r="AO29" s="38">
        <v>4.8516355410494727</v>
      </c>
      <c r="AP29" s="70">
        <v>0</v>
      </c>
    </row>
    <row r="30" spans="1:43" s="15" customFormat="1" ht="14.25" customHeight="1" x14ac:dyDescent="0.3">
      <c r="A30" s="26"/>
      <c r="B30" s="211"/>
      <c r="C30" s="9" t="s">
        <v>54</v>
      </c>
      <c r="D30" s="28"/>
      <c r="E30" s="27">
        <v>704173.55999999994</v>
      </c>
      <c r="F30" s="124">
        <v>0.44148812539184951</v>
      </c>
      <c r="G30" s="26"/>
      <c r="H30" s="29">
        <v>1595000</v>
      </c>
      <c r="I30" s="29">
        <v>1595000</v>
      </c>
      <c r="J30" s="29">
        <v>1576281.8799999645</v>
      </c>
      <c r="K30" s="31">
        <v>0.98826450156737589</v>
      </c>
      <c r="L30" s="39"/>
      <c r="M30" s="29">
        <v>294762.6858259716</v>
      </c>
      <c r="N30" s="29">
        <v>294762.6858259716</v>
      </c>
      <c r="O30" s="27">
        <v>84133.040000000008</v>
      </c>
      <c r="P30" s="29">
        <v>328261.3187199994</v>
      </c>
      <c r="Q30" s="31">
        <v>1.1136461109389044</v>
      </c>
      <c r="R30" s="39"/>
      <c r="S30" s="128">
        <v>0.18480419174042106</v>
      </c>
      <c r="T30" s="128">
        <v>0.20825039156068126</v>
      </c>
      <c r="U30" s="39"/>
      <c r="V30" s="29"/>
      <c r="W30" s="32">
        <v>1.5155568951894249</v>
      </c>
      <c r="X30" s="30" t="s">
        <v>69</v>
      </c>
      <c r="Y30" s="39"/>
      <c r="Z30" s="62"/>
      <c r="AA30" s="27">
        <v>56662.531017369729</v>
      </c>
      <c r="AB30" s="27">
        <v>52576.629999999925</v>
      </c>
      <c r="AC30" s="39"/>
      <c r="AD30" s="29">
        <v>10489.042506954242</v>
      </c>
      <c r="AE30" s="29">
        <v>8180.7165999999988</v>
      </c>
      <c r="AF30" s="31">
        <v>0.7799297785833339</v>
      </c>
      <c r="AG30" s="39"/>
      <c r="AH30" s="29">
        <v>11935.409696302711</v>
      </c>
      <c r="AI30" s="29">
        <v>328261.3187199994</v>
      </c>
      <c r="AJ30" s="31">
        <v>1.1136461109389044</v>
      </c>
      <c r="AK30" s="39"/>
      <c r="AL30" s="80">
        <v>0.18480419174042106</v>
      </c>
      <c r="AM30" s="80">
        <v>0.15559606235698276</v>
      </c>
      <c r="AN30" s="39"/>
      <c r="AO30" s="32">
        <v>0</v>
      </c>
      <c r="AP30" s="31">
        <v>0</v>
      </c>
      <c r="AQ30" s="10"/>
    </row>
    <row r="31" spans="1:43" ht="8" customHeight="1" x14ac:dyDescent="0.3">
      <c r="B31" s="16"/>
      <c r="D31" s="34"/>
      <c r="E31" s="47"/>
      <c r="F31" s="125"/>
      <c r="G31" s="34"/>
      <c r="H31" s="48"/>
      <c r="I31" s="48"/>
      <c r="J31" s="48"/>
      <c r="K31" s="51"/>
      <c r="L31" s="34"/>
      <c r="M31" s="48"/>
      <c r="N31" s="48"/>
      <c r="O31" s="51"/>
      <c r="P31" s="48"/>
      <c r="Q31" s="47"/>
      <c r="R31" s="34"/>
      <c r="S31" s="51"/>
      <c r="T31" s="51"/>
      <c r="U31" s="34"/>
      <c r="V31" s="48"/>
      <c r="W31" s="52"/>
      <c r="X31" s="48"/>
      <c r="Y31" s="34"/>
      <c r="Z31" s="62"/>
      <c r="AA31" s="47"/>
      <c r="AB31" s="47"/>
      <c r="AC31" s="36"/>
      <c r="AD31" s="48"/>
      <c r="AE31" s="48"/>
      <c r="AF31" s="47"/>
      <c r="AG31" s="36"/>
      <c r="AH31" s="48"/>
      <c r="AI31" s="48"/>
      <c r="AJ31" s="47"/>
      <c r="AK31" s="36"/>
      <c r="AL31" s="49"/>
      <c r="AM31" s="53"/>
      <c r="AN31" s="36"/>
      <c r="AO31" s="52"/>
      <c r="AP31" s="47"/>
    </row>
    <row r="32" spans="1:43" ht="12.75" customHeight="1" x14ac:dyDescent="0.3">
      <c r="A32" s="7" t="s">
        <v>16</v>
      </c>
      <c r="B32" s="211" t="s">
        <v>57</v>
      </c>
      <c r="C32" s="6" t="s">
        <v>8</v>
      </c>
      <c r="D32" s="34"/>
      <c r="E32" s="33">
        <v>371952.5500000001</v>
      </c>
      <c r="F32" s="123">
        <v>0.24796836666666675</v>
      </c>
      <c r="G32" s="7"/>
      <c r="H32" s="35">
        <v>1500000</v>
      </c>
      <c r="I32" s="35">
        <v>1500000</v>
      </c>
      <c r="J32" s="35">
        <v>1696369.3099999954</v>
      </c>
      <c r="K32" s="70">
        <v>1.1309128733333302</v>
      </c>
      <c r="L32" s="36"/>
      <c r="M32" s="35">
        <v>105000.00000000001</v>
      </c>
      <c r="N32" s="35">
        <v>105000.00000000001</v>
      </c>
      <c r="O32" s="37">
        <v>0</v>
      </c>
      <c r="P32" s="35">
        <v>152188.91959999999</v>
      </c>
      <c r="Q32" s="115">
        <v>1.4494182819047616</v>
      </c>
      <c r="R32" s="36"/>
      <c r="S32" s="127">
        <v>7.0000000000000007E-2</v>
      </c>
      <c r="T32" s="127">
        <v>8.9714497133882007E-2</v>
      </c>
      <c r="U32" s="36"/>
      <c r="V32" s="35"/>
      <c r="W32" s="38">
        <v>-4.3782547799104243</v>
      </c>
      <c r="X32" s="69" t="s">
        <v>69</v>
      </c>
      <c r="Y32" s="36"/>
      <c r="Z32" s="62"/>
      <c r="AA32" s="33">
        <v>57692.307692307695</v>
      </c>
      <c r="AB32" s="33">
        <v>54256.82</v>
      </c>
      <c r="AC32" s="36"/>
      <c r="AD32" s="35">
        <v>4038.461538461539</v>
      </c>
      <c r="AE32" s="35">
        <v>3719.5600000000009</v>
      </c>
      <c r="AF32" s="115">
        <v>0.92103390476190483</v>
      </c>
      <c r="AG32" s="36"/>
      <c r="AH32" s="35">
        <v>5853.4199846153842</v>
      </c>
      <c r="AI32" s="35">
        <v>152188.91959999999</v>
      </c>
      <c r="AJ32" s="115">
        <v>1.4494182819047616</v>
      </c>
      <c r="AK32" s="36"/>
      <c r="AL32" s="108">
        <v>7.0000000000000007E-2</v>
      </c>
      <c r="AM32" s="108">
        <v>6.8554699667249225E-2</v>
      </c>
      <c r="AN32" s="36"/>
      <c r="AO32" s="38">
        <v>-8.0169276415389206</v>
      </c>
      <c r="AP32" s="70">
        <v>0</v>
      </c>
    </row>
    <row r="33" spans="1:43" ht="12.75" customHeight="1" x14ac:dyDescent="0.3">
      <c r="A33" s="7" t="s">
        <v>16</v>
      </c>
      <c r="B33" s="211"/>
      <c r="C33" s="6" t="s">
        <v>9</v>
      </c>
      <c r="D33" s="34"/>
      <c r="E33" s="33">
        <v>231321.64999999991</v>
      </c>
      <c r="F33" s="123">
        <v>0.37309943548387081</v>
      </c>
      <c r="G33" s="7"/>
      <c r="H33" s="35">
        <v>620000</v>
      </c>
      <c r="I33" s="35">
        <v>620000</v>
      </c>
      <c r="J33" s="35">
        <v>642018.22999999579</v>
      </c>
      <c r="K33" s="70">
        <v>1.0355132741935416</v>
      </c>
      <c r="L33" s="36"/>
      <c r="M33" s="35">
        <v>92380</v>
      </c>
      <c r="N33" s="35">
        <v>92380</v>
      </c>
      <c r="O33" s="37">
        <v>0</v>
      </c>
      <c r="P33" s="35">
        <v>73783.012799999997</v>
      </c>
      <c r="Q33" s="115">
        <v>0.79869033124052824</v>
      </c>
      <c r="R33" s="36"/>
      <c r="S33" s="127">
        <v>0.14899999999999999</v>
      </c>
      <c r="T33" s="127">
        <v>0.11492354788741821</v>
      </c>
      <c r="U33" s="36"/>
      <c r="V33" s="35"/>
      <c r="W33" s="38">
        <v>-2.5617835182044599</v>
      </c>
      <c r="X33" s="69" t="s">
        <v>69</v>
      </c>
      <c r="Y33" s="36"/>
      <c r="Z33" s="62"/>
      <c r="AA33" s="33">
        <v>20000</v>
      </c>
      <c r="AB33" s="33">
        <v>22530.34999999998</v>
      </c>
      <c r="AC33" s="36"/>
      <c r="AD33" s="35">
        <v>2980</v>
      </c>
      <c r="AE33" s="35">
        <v>2241.6999999999994</v>
      </c>
      <c r="AF33" s="115">
        <v>0.75224832214765081</v>
      </c>
      <c r="AG33" s="36"/>
      <c r="AH33" s="35">
        <v>2380.0971870967742</v>
      </c>
      <c r="AI33" s="35">
        <v>73783.012799999997</v>
      </c>
      <c r="AJ33" s="115">
        <v>0.79869033124052824</v>
      </c>
      <c r="AK33" s="36"/>
      <c r="AL33" s="108">
        <v>0.14899999999999999</v>
      </c>
      <c r="AM33" s="108">
        <v>9.949690084707967E-2</v>
      </c>
      <c r="AN33" s="36"/>
      <c r="AO33" s="38">
        <v>-4.0038437041591806</v>
      </c>
      <c r="AP33" s="70">
        <v>0</v>
      </c>
    </row>
    <row r="34" spans="1:43" ht="12.75" customHeight="1" x14ac:dyDescent="0.3">
      <c r="A34" s="7" t="s">
        <v>16</v>
      </c>
      <c r="B34" s="211"/>
      <c r="C34" s="6" t="s">
        <v>10</v>
      </c>
      <c r="D34" s="34"/>
      <c r="E34" s="33">
        <v>676975.42000000016</v>
      </c>
      <c r="F34" s="123">
        <v>0.39822083529411773</v>
      </c>
      <c r="G34" s="7"/>
      <c r="H34" s="35">
        <v>1700000</v>
      </c>
      <c r="I34" s="35">
        <v>1700000</v>
      </c>
      <c r="J34" s="35">
        <v>1662051.4999999742</v>
      </c>
      <c r="K34" s="70">
        <v>0.97767735294116132</v>
      </c>
      <c r="L34" s="36"/>
      <c r="M34" s="35">
        <v>229500.00000000003</v>
      </c>
      <c r="N34" s="35">
        <v>229500.00000000003</v>
      </c>
      <c r="O34" s="37">
        <v>0</v>
      </c>
      <c r="P34" s="35">
        <v>215694.93480000016</v>
      </c>
      <c r="Q34" s="115">
        <v>0.93984721045751696</v>
      </c>
      <c r="R34" s="36"/>
      <c r="S34" s="127">
        <v>0.13500000000000001</v>
      </c>
      <c r="T34" s="127">
        <v>0.12977632450017554</v>
      </c>
      <c r="U34" s="36"/>
      <c r="V34" s="35"/>
      <c r="W34" s="38">
        <v>-2.3557419971659481</v>
      </c>
      <c r="X34" s="69" t="s">
        <v>69</v>
      </c>
      <c r="Y34" s="36"/>
      <c r="Z34" s="62"/>
      <c r="AA34" s="33">
        <v>54838.709677419356</v>
      </c>
      <c r="AB34" s="33">
        <v>22692.640000000007</v>
      </c>
      <c r="AC34" s="36"/>
      <c r="AD34" s="35">
        <v>7403.2258064516136</v>
      </c>
      <c r="AE34" s="35">
        <v>3569.7620000000006</v>
      </c>
      <c r="AF34" s="115">
        <v>0.4821900740740741</v>
      </c>
      <c r="AG34" s="36"/>
      <c r="AH34" s="35">
        <v>6957.9011225806507</v>
      </c>
      <c r="AI34" s="35">
        <v>215694.93480000016</v>
      </c>
      <c r="AJ34" s="115">
        <v>0.93984721045751696</v>
      </c>
      <c r="AK34" s="36"/>
      <c r="AL34" s="108">
        <v>0.13500000000000001</v>
      </c>
      <c r="AM34" s="108">
        <v>0.15730924211550526</v>
      </c>
      <c r="AN34" s="36"/>
      <c r="AO34" s="38">
        <v>2.0975611475791354</v>
      </c>
      <c r="AP34" s="70">
        <v>0</v>
      </c>
    </row>
    <row r="35" spans="1:43" ht="12.75" customHeight="1" x14ac:dyDescent="0.3">
      <c r="A35" s="7" t="s">
        <v>16</v>
      </c>
      <c r="B35" s="211"/>
      <c r="C35" s="6" t="s">
        <v>12</v>
      </c>
      <c r="D35" s="34"/>
      <c r="E35" s="33">
        <v>129765.66999999998</v>
      </c>
      <c r="F35" s="123">
        <v>0.24954936538461536</v>
      </c>
      <c r="G35" s="7"/>
      <c r="H35" s="35">
        <v>520000</v>
      </c>
      <c r="I35" s="35">
        <v>520000</v>
      </c>
      <c r="J35" s="35">
        <v>684565.4599999995</v>
      </c>
      <c r="K35" s="70">
        <v>1.3164720384615376</v>
      </c>
      <c r="L35" s="36"/>
      <c r="M35" s="35">
        <v>31200</v>
      </c>
      <c r="N35" s="35">
        <v>31200</v>
      </c>
      <c r="O35" s="37">
        <v>0</v>
      </c>
      <c r="P35" s="35">
        <v>45601.740000000034</v>
      </c>
      <c r="Q35" s="115">
        <v>1.4615942307692318</v>
      </c>
      <c r="R35" s="36"/>
      <c r="S35" s="127">
        <v>0.06</v>
      </c>
      <c r="T35" s="127">
        <v>6.6614140888732645E-2</v>
      </c>
      <c r="U35" s="36"/>
      <c r="V35" s="35"/>
      <c r="W35" s="38">
        <v>-7.881110449247652</v>
      </c>
      <c r="X35" s="69" t="s">
        <v>69</v>
      </c>
      <c r="Y35" s="36"/>
      <c r="Z35" s="62"/>
      <c r="AA35" s="33">
        <v>20000</v>
      </c>
      <c r="AB35" s="33">
        <v>18982.84</v>
      </c>
      <c r="AC35" s="36"/>
      <c r="AD35" s="35">
        <v>1200</v>
      </c>
      <c r="AE35" s="35">
        <v>2087.6200000000003</v>
      </c>
      <c r="AF35" s="115">
        <v>1.7396833333333337</v>
      </c>
      <c r="AG35" s="36"/>
      <c r="AH35" s="35">
        <v>1753.9130769230783</v>
      </c>
      <c r="AI35" s="35">
        <v>45601.740000000034</v>
      </c>
      <c r="AJ35" s="115">
        <v>1.4615942307692318</v>
      </c>
      <c r="AK35" s="36"/>
      <c r="AL35" s="108">
        <v>0.06</v>
      </c>
      <c r="AM35" s="108">
        <v>0.10997406078331801</v>
      </c>
      <c r="AN35" s="36"/>
      <c r="AO35" s="38">
        <v>-2.7685003929865126</v>
      </c>
      <c r="AP35" s="70">
        <v>0</v>
      </c>
    </row>
    <row r="36" spans="1:43" s="15" customFormat="1" ht="17" customHeight="1" x14ac:dyDescent="0.3">
      <c r="A36" s="26"/>
      <c r="B36" s="211"/>
      <c r="C36" s="9" t="s">
        <v>58</v>
      </c>
      <c r="D36" s="28"/>
      <c r="E36" s="27">
        <v>1410015.29</v>
      </c>
      <c r="F36" s="124">
        <v>0.32488831566820275</v>
      </c>
      <c r="G36" s="26"/>
      <c r="H36" s="29">
        <v>4340000</v>
      </c>
      <c r="I36" s="29">
        <v>4340000</v>
      </c>
      <c r="J36" s="29">
        <v>4685004.4999999646</v>
      </c>
      <c r="K36" s="31">
        <v>1.0794941244239549</v>
      </c>
      <c r="L36" s="39"/>
      <c r="M36" s="29">
        <v>458080</v>
      </c>
      <c r="N36" s="29">
        <v>458080</v>
      </c>
      <c r="O36" s="27">
        <v>0</v>
      </c>
      <c r="P36" s="29">
        <v>487268.6072000002</v>
      </c>
      <c r="Q36" s="31">
        <v>1.0637194533705907</v>
      </c>
      <c r="R36" s="39"/>
      <c r="S36" s="128">
        <v>0.10554838709677419</v>
      </c>
      <c r="T36" s="128">
        <v>0.10400600622688919</v>
      </c>
      <c r="U36" s="39"/>
      <c r="V36" s="29"/>
      <c r="W36" s="32">
        <v>-3.9236566965953554</v>
      </c>
      <c r="X36" s="30" t="s">
        <v>69</v>
      </c>
      <c r="Y36" s="39"/>
      <c r="Z36" s="62"/>
      <c r="AA36" s="27">
        <v>152531.01736972705</v>
      </c>
      <c r="AB36" s="27">
        <v>118462.65</v>
      </c>
      <c r="AC36" s="39"/>
      <c r="AD36" s="29">
        <v>15621.687344913153</v>
      </c>
      <c r="AE36" s="29">
        <v>11618.642000000002</v>
      </c>
      <c r="AF36" s="31">
        <v>0.74375077054549732</v>
      </c>
      <c r="AG36" s="39"/>
      <c r="AH36" s="29">
        <v>16945.331371215889</v>
      </c>
      <c r="AI36" s="29">
        <v>487268.6072000002</v>
      </c>
      <c r="AJ36" s="31">
        <v>1.0637194533705907</v>
      </c>
      <c r="AK36" s="39"/>
      <c r="AL36" s="80">
        <v>0.10554838709677419</v>
      </c>
      <c r="AM36" s="80">
        <v>9.8078525172280065E-2</v>
      </c>
      <c r="AN36" s="39"/>
      <c r="AO36" s="32">
        <v>0</v>
      </c>
      <c r="AP36" s="31">
        <v>0</v>
      </c>
      <c r="AQ36" s="10"/>
    </row>
    <row r="37" spans="1:43" ht="8" customHeight="1" x14ac:dyDescent="0.3">
      <c r="B37" s="16"/>
      <c r="D37" s="34"/>
      <c r="E37" s="47"/>
      <c r="F37" s="125"/>
      <c r="G37" s="34"/>
      <c r="H37" s="48"/>
      <c r="I37" s="48"/>
      <c r="J37" s="48"/>
      <c r="K37" s="51"/>
      <c r="L37" s="34"/>
      <c r="M37" s="48"/>
      <c r="N37" s="48"/>
      <c r="O37" s="51"/>
      <c r="P37" s="48"/>
      <c r="Q37" s="47"/>
      <c r="R37" s="34"/>
      <c r="S37" s="51"/>
      <c r="T37" s="51"/>
      <c r="U37" s="34"/>
      <c r="V37" s="48"/>
      <c r="W37" s="52"/>
      <c r="X37" s="48"/>
      <c r="Y37" s="34"/>
      <c r="Z37" s="62"/>
      <c r="AA37" s="47"/>
      <c r="AB37" s="47"/>
      <c r="AC37" s="36"/>
      <c r="AD37" s="48"/>
      <c r="AE37" s="48"/>
      <c r="AF37" s="47"/>
      <c r="AG37" s="36"/>
      <c r="AH37" s="48"/>
      <c r="AI37" s="48"/>
      <c r="AJ37" s="47"/>
      <c r="AK37" s="36"/>
      <c r="AL37" s="49"/>
      <c r="AM37" s="53"/>
      <c r="AN37" s="36"/>
      <c r="AO37" s="52"/>
      <c r="AP37" s="47"/>
    </row>
    <row r="38" spans="1:43" ht="12.75" customHeight="1" x14ac:dyDescent="0.3">
      <c r="A38" s="7" t="s">
        <v>19</v>
      </c>
      <c r="B38" s="211" t="s">
        <v>31</v>
      </c>
      <c r="C38" s="6" t="s">
        <v>8</v>
      </c>
      <c r="D38" s="34"/>
      <c r="E38" s="33">
        <v>123803.25000000003</v>
      </c>
      <c r="F38" s="123">
        <v>0.56274204545454554</v>
      </c>
      <c r="G38" s="7"/>
      <c r="H38" s="35">
        <v>220000</v>
      </c>
      <c r="I38" s="35">
        <v>220000</v>
      </c>
      <c r="J38" s="35">
        <v>245315.64999999848</v>
      </c>
      <c r="K38" s="70">
        <v>1.1150711363636294</v>
      </c>
      <c r="L38" s="36"/>
      <c r="M38" s="35">
        <v>23100</v>
      </c>
      <c r="N38" s="35">
        <v>23100</v>
      </c>
      <c r="O38" s="37">
        <v>170.16</v>
      </c>
      <c r="P38" s="35">
        <v>30156.105200000024</v>
      </c>
      <c r="Q38" s="115">
        <v>1.3054590995671005</v>
      </c>
      <c r="R38" s="36"/>
      <c r="S38" s="127">
        <v>0.105</v>
      </c>
      <c r="T38" s="127">
        <v>0.12292776755172452</v>
      </c>
      <c r="U38" s="36"/>
      <c r="V38" s="35"/>
      <c r="W38" s="38">
        <v>-0.67712141479817178</v>
      </c>
      <c r="X38" s="69" t="s">
        <v>69</v>
      </c>
      <c r="Y38" s="36"/>
      <c r="Z38" s="62"/>
      <c r="AA38" s="33">
        <v>8461.538461538461</v>
      </c>
      <c r="AB38" s="33">
        <v>9104.2999999999902</v>
      </c>
      <c r="AC38" s="36"/>
      <c r="AD38" s="35">
        <v>888.46153846153845</v>
      </c>
      <c r="AE38" s="35">
        <v>1199.0428000000006</v>
      </c>
      <c r="AF38" s="115">
        <v>1.3495719826839834</v>
      </c>
      <c r="AG38" s="36"/>
      <c r="AH38" s="35">
        <v>1159.850200000001</v>
      </c>
      <c r="AI38" s="35">
        <v>30156.105200000027</v>
      </c>
      <c r="AJ38" s="115">
        <v>1.3054590995671007</v>
      </c>
      <c r="AK38" s="36"/>
      <c r="AL38" s="108">
        <v>0.105</v>
      </c>
      <c r="AM38" s="108">
        <v>0.1317007128499722</v>
      </c>
      <c r="AN38" s="36"/>
      <c r="AO38" s="38">
        <v>0.3388816273628012</v>
      </c>
      <c r="AP38" s="70">
        <v>0</v>
      </c>
    </row>
    <row r="39" spans="1:43" ht="12.75" customHeight="1" x14ac:dyDescent="0.3">
      <c r="A39" s="7" t="s">
        <v>19</v>
      </c>
      <c r="B39" s="211"/>
      <c r="C39" s="6" t="s">
        <v>9</v>
      </c>
      <c r="D39" s="34"/>
      <c r="E39" s="33">
        <v>207063.47000000032</v>
      </c>
      <c r="F39" s="123">
        <v>0.3539546495726501</v>
      </c>
      <c r="G39" s="7"/>
      <c r="H39" s="35">
        <v>585000</v>
      </c>
      <c r="I39" s="35">
        <v>585000</v>
      </c>
      <c r="J39" s="35">
        <v>554225.85999993421</v>
      </c>
      <c r="K39" s="70">
        <v>0.94739463247852007</v>
      </c>
      <c r="L39" s="36"/>
      <c r="M39" s="35">
        <v>93541.499999999985</v>
      </c>
      <c r="N39" s="35">
        <v>93541.499999999985</v>
      </c>
      <c r="O39" s="37">
        <v>1105.5200000000002</v>
      </c>
      <c r="P39" s="35">
        <v>86689.622400001012</v>
      </c>
      <c r="Q39" s="115">
        <v>0.9267503984862443</v>
      </c>
      <c r="R39" s="36"/>
      <c r="S39" s="127">
        <v>0.15989999999999999</v>
      </c>
      <c r="T39" s="127">
        <v>0.1564156937751178</v>
      </c>
      <c r="U39" s="36"/>
      <c r="V39" s="35"/>
      <c r="W39" s="38">
        <v>4.8695079655684781</v>
      </c>
      <c r="X39" s="69" t="s">
        <v>69</v>
      </c>
      <c r="Y39" s="36"/>
      <c r="Z39" s="62"/>
      <c r="AA39" s="33">
        <v>18870.967741935485</v>
      </c>
      <c r="AB39" s="33">
        <v>14960.859999999921</v>
      </c>
      <c r="AC39" s="36"/>
      <c r="AD39" s="35">
        <v>3017.4677419354834</v>
      </c>
      <c r="AE39" s="35">
        <v>2531.0316000000007</v>
      </c>
      <c r="AF39" s="115">
        <v>0.8387932586071426</v>
      </c>
      <c r="AG39" s="36"/>
      <c r="AH39" s="35">
        <v>2796.439432258097</v>
      </c>
      <c r="AI39" s="35">
        <v>86689.622400001012</v>
      </c>
      <c r="AJ39" s="115">
        <v>0.9267503984862443</v>
      </c>
      <c r="AK39" s="36"/>
      <c r="AL39" s="108">
        <v>0.15989999999999999</v>
      </c>
      <c r="AM39" s="108">
        <v>0.1691768788692638</v>
      </c>
      <c r="AN39" s="36"/>
      <c r="AO39" s="38">
        <v>6.3422931569437706</v>
      </c>
      <c r="AP39" s="70">
        <v>0</v>
      </c>
    </row>
    <row r="40" spans="1:43" ht="12.75" customHeight="1" x14ac:dyDescent="0.3">
      <c r="A40" s="7" t="s">
        <v>19</v>
      </c>
      <c r="B40" s="211"/>
      <c r="C40" s="6" t="s">
        <v>10</v>
      </c>
      <c r="D40" s="34"/>
      <c r="E40" s="33">
        <v>381610.64999999985</v>
      </c>
      <c r="F40" s="123">
        <v>0.41479418478260854</v>
      </c>
      <c r="G40" s="7"/>
      <c r="H40" s="35">
        <v>920000</v>
      </c>
      <c r="I40" s="35">
        <v>920000</v>
      </c>
      <c r="J40" s="35">
        <v>938534.09999986424</v>
      </c>
      <c r="K40" s="70">
        <v>1.0201457608694176</v>
      </c>
      <c r="L40" s="36"/>
      <c r="M40" s="35">
        <v>158240</v>
      </c>
      <c r="N40" s="35">
        <v>158240</v>
      </c>
      <c r="O40" s="37">
        <v>3244.0999999999995</v>
      </c>
      <c r="P40" s="35">
        <v>160780.1974500005</v>
      </c>
      <c r="Q40" s="115">
        <v>1.016052815027809</v>
      </c>
      <c r="R40" s="36"/>
      <c r="S40" s="127">
        <v>0.17199999999999999</v>
      </c>
      <c r="T40" s="127">
        <v>0.17130991559073214</v>
      </c>
      <c r="U40" s="36"/>
      <c r="V40" s="35"/>
      <c r="W40" s="38">
        <v>6.2035303192368092</v>
      </c>
      <c r="X40" s="69" t="s">
        <v>69</v>
      </c>
      <c r="Y40" s="36"/>
      <c r="Z40" s="62"/>
      <c r="AA40" s="33">
        <v>29677.419354838708</v>
      </c>
      <c r="AB40" s="33">
        <v>32634.430000000131</v>
      </c>
      <c r="AC40" s="36"/>
      <c r="AD40" s="35">
        <v>5104.5161290322585</v>
      </c>
      <c r="AE40" s="35">
        <v>5537.5591999999897</v>
      </c>
      <c r="AF40" s="115">
        <v>1.0848352831142547</v>
      </c>
      <c r="AG40" s="36"/>
      <c r="AH40" s="35">
        <v>5186.4579822580808</v>
      </c>
      <c r="AI40" s="35">
        <v>160780.1974500005</v>
      </c>
      <c r="AJ40" s="115">
        <v>1.016052815027809</v>
      </c>
      <c r="AK40" s="36"/>
      <c r="AL40" s="108">
        <v>0.17199999999999999</v>
      </c>
      <c r="AM40" s="108">
        <v>0.16968456933367512</v>
      </c>
      <c r="AN40" s="36"/>
      <c r="AO40" s="38">
        <v>6.4581461971303504</v>
      </c>
      <c r="AP40" s="70">
        <v>0</v>
      </c>
    </row>
    <row r="41" spans="1:43" ht="12.75" customHeight="1" x14ac:dyDescent="0.3">
      <c r="A41" s="7" t="s">
        <v>19</v>
      </c>
      <c r="B41" s="211"/>
      <c r="C41" s="6" t="s">
        <v>12</v>
      </c>
      <c r="D41" s="34"/>
      <c r="E41" s="33">
        <v>23007.719999999998</v>
      </c>
      <c r="F41" s="123">
        <v>0.41832218181818176</v>
      </c>
      <c r="G41" s="7"/>
      <c r="H41" s="35">
        <v>55000</v>
      </c>
      <c r="I41" s="35">
        <v>55000</v>
      </c>
      <c r="J41" s="35">
        <v>77048.760000000097</v>
      </c>
      <c r="K41" s="70">
        <v>1.4008865454545472</v>
      </c>
      <c r="L41" s="36"/>
      <c r="M41" s="35">
        <v>8921.0164607613788</v>
      </c>
      <c r="N41" s="35">
        <v>8921.0164607613788</v>
      </c>
      <c r="O41" s="37">
        <v>4160.3999999999996</v>
      </c>
      <c r="P41" s="35">
        <v>12384.889999999978</v>
      </c>
      <c r="Q41" s="115">
        <v>1.3882823840169183</v>
      </c>
      <c r="R41" s="36"/>
      <c r="S41" s="127">
        <v>0.16220029928657051</v>
      </c>
      <c r="T41" s="127">
        <v>0.16074093859524749</v>
      </c>
      <c r="U41" s="36"/>
      <c r="V41" s="35"/>
      <c r="W41" s="38">
        <v>-2.7860798798057518</v>
      </c>
      <c r="X41" s="69" t="s">
        <v>69</v>
      </c>
      <c r="Y41" s="36"/>
      <c r="Z41" s="62"/>
      <c r="AA41" s="33">
        <v>2115.3846153846152</v>
      </c>
      <c r="AB41" s="33">
        <v>1624.5900000000001</v>
      </c>
      <c r="AC41" s="36"/>
      <c r="AD41" s="35">
        <v>343.1160177215915</v>
      </c>
      <c r="AE41" s="35">
        <v>340.49999999999989</v>
      </c>
      <c r="AF41" s="115">
        <v>0.99237570504879702</v>
      </c>
      <c r="AG41" s="36"/>
      <c r="AH41" s="35">
        <v>476.34192307692223</v>
      </c>
      <c r="AI41" s="35">
        <v>12384.889999999978</v>
      </c>
      <c r="AJ41" s="115">
        <v>1.3882823840169183</v>
      </c>
      <c r="AK41" s="36"/>
      <c r="AL41" s="108">
        <v>0.16220029928657051</v>
      </c>
      <c r="AM41" s="108">
        <v>0.20959134304655319</v>
      </c>
      <c r="AN41" s="36"/>
      <c r="AO41" s="38">
        <v>9.0853692316215113</v>
      </c>
      <c r="AP41" s="70">
        <v>0</v>
      </c>
    </row>
    <row r="42" spans="1:43" s="15" customFormat="1" ht="14.25" customHeight="1" x14ac:dyDescent="0.3">
      <c r="A42" s="26"/>
      <c r="B42" s="211"/>
      <c r="C42" s="9" t="s">
        <v>30</v>
      </c>
      <c r="D42" s="28"/>
      <c r="E42" s="27">
        <v>735485.09000000008</v>
      </c>
      <c r="F42" s="124">
        <v>0.41319387078651693</v>
      </c>
      <c r="G42" s="26"/>
      <c r="H42" s="29">
        <v>1780000</v>
      </c>
      <c r="I42" s="29">
        <v>1780000</v>
      </c>
      <c r="J42" s="29">
        <v>1815124.3699997969</v>
      </c>
      <c r="K42" s="31">
        <v>1.0197327921347172</v>
      </c>
      <c r="L42" s="39"/>
      <c r="M42" s="29">
        <v>283802.51646076137</v>
      </c>
      <c r="N42" s="29">
        <v>283802.51646076137</v>
      </c>
      <c r="O42" s="27">
        <v>8680.18</v>
      </c>
      <c r="P42" s="29">
        <v>290010.81505000149</v>
      </c>
      <c r="Q42" s="31">
        <v>1.0218754176906619</v>
      </c>
      <c r="R42" s="39"/>
      <c r="S42" s="128">
        <v>0.15943961598919179</v>
      </c>
      <c r="T42" s="128">
        <v>0.15977462472724882</v>
      </c>
      <c r="U42" s="39"/>
      <c r="V42" s="29"/>
      <c r="W42" s="32">
        <v>4.4846841569216034</v>
      </c>
      <c r="X42" s="30" t="s">
        <v>69</v>
      </c>
      <c r="Y42" s="39"/>
      <c r="Z42" s="62"/>
      <c r="AA42" s="27">
        <v>59125.310173697268</v>
      </c>
      <c r="AB42" s="27">
        <v>58324.180000000037</v>
      </c>
      <c r="AC42" s="39"/>
      <c r="AD42" s="29">
        <v>9353.561427150873</v>
      </c>
      <c r="AE42" s="29">
        <v>9608.1335999999901</v>
      </c>
      <c r="AF42" s="31">
        <v>1.0272166035185446</v>
      </c>
      <c r="AG42" s="39"/>
      <c r="AH42" s="29">
        <v>9619.0895375930995</v>
      </c>
      <c r="AI42" s="29">
        <v>290010.81505000149</v>
      </c>
      <c r="AJ42" s="31">
        <v>1.0218754176906619</v>
      </c>
      <c r="AK42" s="39"/>
      <c r="AL42" s="80">
        <v>0.15943961598919179</v>
      </c>
      <c r="AM42" s="80">
        <v>0.16473671125766337</v>
      </c>
      <c r="AN42" s="39"/>
      <c r="AO42" s="32">
        <v>0</v>
      </c>
      <c r="AP42" s="31">
        <v>0</v>
      </c>
      <c r="AQ42" s="10"/>
    </row>
    <row r="43" spans="1:43" ht="8" customHeight="1" x14ac:dyDescent="0.3">
      <c r="B43" s="16"/>
      <c r="D43" s="34"/>
      <c r="E43" s="47"/>
      <c r="F43" s="125"/>
      <c r="G43" s="34"/>
      <c r="H43" s="48"/>
      <c r="I43" s="48"/>
      <c r="J43" s="48"/>
      <c r="K43" s="51"/>
      <c r="L43" s="34"/>
      <c r="M43" s="48"/>
      <c r="N43" s="48"/>
      <c r="O43" s="51"/>
      <c r="P43" s="48"/>
      <c r="Q43" s="47"/>
      <c r="R43" s="34"/>
      <c r="S43" s="51"/>
      <c r="T43" s="51"/>
      <c r="U43" s="34"/>
      <c r="V43" s="48"/>
      <c r="W43" s="52"/>
      <c r="X43" s="48"/>
      <c r="Y43" s="34"/>
      <c r="Z43" s="62"/>
      <c r="AA43" s="47"/>
      <c r="AB43" s="47"/>
      <c r="AC43" s="36"/>
      <c r="AD43" s="48"/>
      <c r="AE43" s="48"/>
      <c r="AF43" s="47"/>
      <c r="AG43" s="36"/>
      <c r="AH43" s="48"/>
      <c r="AI43" s="48"/>
      <c r="AJ43" s="47"/>
      <c r="AK43" s="36"/>
      <c r="AL43" s="49"/>
      <c r="AM43" s="53"/>
      <c r="AN43" s="36"/>
      <c r="AO43" s="52"/>
      <c r="AP43" s="47"/>
    </row>
    <row r="44" spans="1:43" ht="12.75" customHeight="1" x14ac:dyDescent="0.3">
      <c r="A44" s="7" t="s">
        <v>20</v>
      </c>
      <c r="B44" s="211" t="s">
        <v>27</v>
      </c>
      <c r="C44" s="6" t="s">
        <v>8</v>
      </c>
      <c r="D44" s="34"/>
      <c r="E44" s="33">
        <v>622988.12000000093</v>
      </c>
      <c r="F44" s="123">
        <v>3.3858050000000048</v>
      </c>
      <c r="G44" s="7"/>
      <c r="H44" s="35">
        <v>184000</v>
      </c>
      <c r="I44" s="35">
        <v>184000</v>
      </c>
      <c r="J44" s="35">
        <v>167930.84999999974</v>
      </c>
      <c r="K44" s="70">
        <v>0.91266766304347691</v>
      </c>
      <c r="L44" s="36"/>
      <c r="M44" s="35">
        <v>22080</v>
      </c>
      <c r="N44" s="35">
        <v>22080</v>
      </c>
      <c r="O44" s="37">
        <v>946.26</v>
      </c>
      <c r="P44" s="35">
        <v>25338.377149999818</v>
      </c>
      <c r="Q44" s="115">
        <v>1.1475714288949193</v>
      </c>
      <c r="R44" s="36"/>
      <c r="S44" s="127">
        <v>0.12</v>
      </c>
      <c r="T44" s="127">
        <v>0.15088577917636847</v>
      </c>
      <c r="U44" s="36"/>
      <c r="V44" s="35"/>
      <c r="W44" s="38">
        <v>3.9549476168316096</v>
      </c>
      <c r="X44" s="69" t="s">
        <v>69</v>
      </c>
      <c r="Y44" s="36"/>
      <c r="Z44" s="62"/>
      <c r="AA44" s="33">
        <v>7076.9230769230771</v>
      </c>
      <c r="AB44" s="33">
        <v>4656.6299999999856</v>
      </c>
      <c r="AC44" s="36"/>
      <c r="AD44" s="35">
        <v>849.23076923076928</v>
      </c>
      <c r="AE44" s="35">
        <v>775.99415000000045</v>
      </c>
      <c r="AF44" s="115">
        <v>0.91376122735507292</v>
      </c>
      <c r="AG44" s="36"/>
      <c r="AH44" s="35">
        <v>974.55296730768532</v>
      </c>
      <c r="AI44" s="35">
        <v>25338.377149999818</v>
      </c>
      <c r="AJ44" s="115">
        <v>1.1475714288949193</v>
      </c>
      <c r="AK44" s="36"/>
      <c r="AL44" s="108">
        <v>0.12</v>
      </c>
      <c r="AM44" s="108">
        <v>0.16664286189798264</v>
      </c>
      <c r="AN44" s="36"/>
      <c r="AO44" s="38">
        <v>6.4191088834626511</v>
      </c>
      <c r="AP44" s="70">
        <v>0</v>
      </c>
    </row>
    <row r="45" spans="1:43" ht="12.75" customHeight="1" x14ac:dyDescent="0.3">
      <c r="A45" s="7" t="s">
        <v>20</v>
      </c>
      <c r="B45" s="211"/>
      <c r="C45" s="6" t="s">
        <v>9</v>
      </c>
      <c r="D45" s="34"/>
      <c r="E45" s="33">
        <v>934594.24000000057</v>
      </c>
      <c r="F45" s="123">
        <v>2.07687608888889</v>
      </c>
      <c r="G45" s="7"/>
      <c r="H45" s="35">
        <v>450000</v>
      </c>
      <c r="I45" s="35">
        <v>450000</v>
      </c>
      <c r="J45" s="35">
        <v>418418.25999990798</v>
      </c>
      <c r="K45" s="70">
        <v>0.92981835555535108</v>
      </c>
      <c r="L45" s="36"/>
      <c r="M45" s="35">
        <v>71629.254685760781</v>
      </c>
      <c r="N45" s="35">
        <v>71629.254685760781</v>
      </c>
      <c r="O45" s="37">
        <v>3526.75</v>
      </c>
      <c r="P45" s="35">
        <v>82876.585329999754</v>
      </c>
      <c r="Q45" s="115">
        <v>1.1570214669073589</v>
      </c>
      <c r="R45" s="36"/>
      <c r="S45" s="127">
        <v>0.15917612152391283</v>
      </c>
      <c r="T45" s="127">
        <v>0.19807114854408595</v>
      </c>
      <c r="U45" s="36"/>
      <c r="V45" s="35"/>
      <c r="W45" s="38">
        <v>8.6400568010372023</v>
      </c>
      <c r="X45" s="69" t="s">
        <v>69</v>
      </c>
      <c r="Y45" s="36"/>
      <c r="Z45" s="62"/>
      <c r="AA45" s="33">
        <v>14516.129032258064</v>
      </c>
      <c r="AB45" s="33">
        <v>11435.299999999907</v>
      </c>
      <c r="AC45" s="36"/>
      <c r="AD45" s="35">
        <v>2310.621118895509</v>
      </c>
      <c r="AE45" s="35">
        <v>2144.7533999999955</v>
      </c>
      <c r="AF45" s="115">
        <v>0.92821509440076477</v>
      </c>
      <c r="AG45" s="36"/>
      <c r="AH45" s="35">
        <v>2673.438236451605</v>
      </c>
      <c r="AI45" s="35">
        <v>82876.585329999754</v>
      </c>
      <c r="AJ45" s="115">
        <v>1.1570214669073589</v>
      </c>
      <c r="AK45" s="36"/>
      <c r="AL45" s="108">
        <v>0.15917612152391283</v>
      </c>
      <c r="AM45" s="108">
        <v>0.18755549919984724</v>
      </c>
      <c r="AN45" s="36"/>
      <c r="AO45" s="38">
        <v>8.4226334245704226</v>
      </c>
      <c r="AP45" s="70">
        <v>0</v>
      </c>
    </row>
    <row r="46" spans="1:43" ht="12.75" customHeight="1" x14ac:dyDescent="0.3">
      <c r="A46" s="7" t="s">
        <v>20</v>
      </c>
      <c r="B46" s="211"/>
      <c r="C46" s="6" t="s">
        <v>10</v>
      </c>
      <c r="D46" s="34"/>
      <c r="E46" s="33">
        <v>1234941.5199999993</v>
      </c>
      <c r="F46" s="123">
        <v>2.1665640701754376</v>
      </c>
      <c r="G46" s="7"/>
      <c r="H46" s="35">
        <v>570000</v>
      </c>
      <c r="I46" s="35">
        <v>570000</v>
      </c>
      <c r="J46" s="35">
        <v>580970.5899998449</v>
      </c>
      <c r="K46" s="70">
        <v>1.0192466491225349</v>
      </c>
      <c r="L46" s="36"/>
      <c r="M46" s="35">
        <v>95190</v>
      </c>
      <c r="N46" s="35">
        <v>95190</v>
      </c>
      <c r="O46" s="37">
        <v>7980.2899999999991</v>
      </c>
      <c r="P46" s="35">
        <v>106608.19841999667</v>
      </c>
      <c r="Q46" s="115">
        <v>1.1199516589977589</v>
      </c>
      <c r="R46" s="36"/>
      <c r="S46" s="127">
        <v>0.16700000000000001</v>
      </c>
      <c r="T46" s="127">
        <v>0.18350016378630307</v>
      </c>
      <c r="U46" s="36"/>
      <c r="V46" s="35"/>
      <c r="W46" s="38">
        <v>6.5671497105991348</v>
      </c>
      <c r="X46" s="69" t="s">
        <v>69</v>
      </c>
      <c r="Y46" s="36"/>
      <c r="Z46" s="62"/>
      <c r="AA46" s="33">
        <v>18387.096774193549</v>
      </c>
      <c r="AB46" s="33">
        <v>17889.179999999888</v>
      </c>
      <c r="AC46" s="36"/>
      <c r="AD46" s="35">
        <v>3070.6451612903224</v>
      </c>
      <c r="AE46" s="35">
        <v>3213.7449999999967</v>
      </c>
      <c r="AF46" s="115">
        <v>1.0466025317785472</v>
      </c>
      <c r="AG46" s="36"/>
      <c r="AH46" s="35">
        <v>3438.9741425805378</v>
      </c>
      <c r="AI46" s="35">
        <v>106608.19841999667</v>
      </c>
      <c r="AJ46" s="115">
        <v>1.1199516589977589</v>
      </c>
      <c r="AK46" s="36"/>
      <c r="AL46" s="108">
        <v>0.16700000000000001</v>
      </c>
      <c r="AM46" s="108">
        <v>0.17964741816002841</v>
      </c>
      <c r="AN46" s="36"/>
      <c r="AO46" s="38">
        <v>7.1355143164744756</v>
      </c>
      <c r="AP46" s="70">
        <v>0</v>
      </c>
    </row>
    <row r="47" spans="1:43" ht="12.75" customHeight="1" x14ac:dyDescent="0.3">
      <c r="A47" s="7" t="s">
        <v>20</v>
      </c>
      <c r="B47" s="211"/>
      <c r="C47" s="6" t="s">
        <v>12</v>
      </c>
      <c r="D47" s="34"/>
      <c r="E47" s="33">
        <v>47718.109999999964</v>
      </c>
      <c r="F47" s="123">
        <v>2.1690049999999985</v>
      </c>
      <c r="G47" s="7"/>
      <c r="H47" s="35">
        <v>22000</v>
      </c>
      <c r="I47" s="35">
        <v>22000</v>
      </c>
      <c r="J47" s="35">
        <v>28214.120000000781</v>
      </c>
      <c r="K47" s="70">
        <v>1.2824600000000355</v>
      </c>
      <c r="L47" s="36"/>
      <c r="M47" s="35">
        <v>3740.0000000000005</v>
      </c>
      <c r="N47" s="35">
        <v>3740.0000000000005</v>
      </c>
      <c r="O47" s="37">
        <v>9878.33</v>
      </c>
      <c r="P47" s="35">
        <v>5341.6500000000178</v>
      </c>
      <c r="Q47" s="115">
        <v>1.4282486631016089</v>
      </c>
      <c r="R47" s="36"/>
      <c r="S47" s="127">
        <v>0.17</v>
      </c>
      <c r="T47" s="127">
        <v>0.18932541578471596</v>
      </c>
      <c r="U47" s="36"/>
      <c r="V47" s="35"/>
      <c r="W47" s="38">
        <v>-27.204392694150876</v>
      </c>
      <c r="X47" s="69" t="s">
        <v>69</v>
      </c>
      <c r="Y47" s="36"/>
      <c r="Z47" s="62"/>
      <c r="AA47" s="33">
        <v>846.15384615384619</v>
      </c>
      <c r="AB47" s="33">
        <v>983.22000000000025</v>
      </c>
      <c r="AC47" s="36"/>
      <c r="AD47" s="35">
        <v>143.84615384615387</v>
      </c>
      <c r="AE47" s="35">
        <v>193.07999999999987</v>
      </c>
      <c r="AF47" s="115">
        <v>1.3422673796791433</v>
      </c>
      <c r="AG47" s="36"/>
      <c r="AH47" s="35">
        <v>205.44807692307762</v>
      </c>
      <c r="AI47" s="35">
        <v>5341.6500000000178</v>
      </c>
      <c r="AJ47" s="115">
        <v>1.4282486631016089</v>
      </c>
      <c r="AK47" s="36"/>
      <c r="AL47" s="108">
        <v>0.17</v>
      </c>
      <c r="AM47" s="108">
        <v>0.19637517544394928</v>
      </c>
      <c r="AN47" s="36"/>
      <c r="AO47" s="38">
        <v>9.6692500152560097</v>
      </c>
      <c r="AP47" s="70">
        <v>0</v>
      </c>
    </row>
    <row r="48" spans="1:43" s="15" customFormat="1" ht="14.25" customHeight="1" x14ac:dyDescent="0.3">
      <c r="A48" s="26"/>
      <c r="B48" s="211"/>
      <c r="C48" s="9" t="s">
        <v>28</v>
      </c>
      <c r="D48" s="28"/>
      <c r="E48" s="27">
        <v>2840241.9900000007</v>
      </c>
      <c r="F48" s="124">
        <v>2.3166737275693317</v>
      </c>
      <c r="G48" s="26"/>
      <c r="H48" s="29">
        <v>1226000</v>
      </c>
      <c r="I48" s="29">
        <v>1226000</v>
      </c>
      <c r="J48" s="29">
        <v>1195533.8199997533</v>
      </c>
      <c r="K48" s="31">
        <v>0.97514993474694389</v>
      </c>
      <c r="L48" s="39"/>
      <c r="M48" s="29">
        <v>192639.25468576077</v>
      </c>
      <c r="N48" s="29">
        <v>192639.25468576077</v>
      </c>
      <c r="O48" s="27">
        <v>22331.629999999997</v>
      </c>
      <c r="P48" s="29">
        <v>220164.81089999626</v>
      </c>
      <c r="Q48" s="31">
        <v>1.1428865381520295</v>
      </c>
      <c r="R48" s="39"/>
      <c r="S48" s="128">
        <v>0.15712826646473146</v>
      </c>
      <c r="T48" s="128">
        <v>0.18415607088391836</v>
      </c>
      <c r="U48" s="39"/>
      <c r="V48" s="29"/>
      <c r="W48" s="32">
        <v>6.1287167016120438</v>
      </c>
      <c r="X48" s="30" t="s">
        <v>69</v>
      </c>
      <c r="Y48" s="39"/>
      <c r="Z48" s="62"/>
      <c r="AA48" s="27">
        <v>40826.302729528536</v>
      </c>
      <c r="AB48" s="27">
        <v>34964.329999999783</v>
      </c>
      <c r="AC48" s="39"/>
      <c r="AD48" s="29">
        <v>6374.3432032627552</v>
      </c>
      <c r="AE48" s="29">
        <v>6327.5725499999926</v>
      </c>
      <c r="AF48" s="31">
        <v>0.99266267099662553</v>
      </c>
      <c r="AG48" s="39"/>
      <c r="AH48" s="29">
        <v>7292.4134232629058</v>
      </c>
      <c r="AI48" s="29">
        <v>220164.81089999626</v>
      </c>
      <c r="AJ48" s="31">
        <v>1.1428865381520295</v>
      </c>
      <c r="AK48" s="39"/>
      <c r="AL48" s="80">
        <v>0.15712826646473146</v>
      </c>
      <c r="AM48" s="80">
        <v>0.18097222369197499</v>
      </c>
      <c r="AN48" s="39"/>
      <c r="AO48" s="32">
        <v>0</v>
      </c>
      <c r="AP48" s="31">
        <v>0</v>
      </c>
      <c r="AQ48" s="10"/>
    </row>
    <row r="49" spans="1:43" ht="8" customHeight="1" x14ac:dyDescent="0.3">
      <c r="B49" s="16"/>
      <c r="D49" s="34"/>
      <c r="E49" s="47"/>
      <c r="F49" s="125"/>
      <c r="G49" s="34"/>
      <c r="H49" s="48"/>
      <c r="I49" s="48"/>
      <c r="J49" s="48"/>
      <c r="K49" s="51"/>
      <c r="L49" s="34"/>
      <c r="M49" s="48"/>
      <c r="N49" s="48"/>
      <c r="O49" s="51"/>
      <c r="P49" s="48"/>
      <c r="Q49" s="47"/>
      <c r="R49" s="34"/>
      <c r="S49" s="51"/>
      <c r="T49" s="51"/>
      <c r="U49" s="34"/>
      <c r="V49" s="48"/>
      <c r="W49" s="52"/>
      <c r="X49" s="48"/>
      <c r="Y49" s="34"/>
      <c r="Z49" s="62"/>
      <c r="AA49" s="47"/>
      <c r="AB49" s="47"/>
      <c r="AC49" s="36"/>
      <c r="AD49" s="48"/>
      <c r="AE49" s="48"/>
      <c r="AF49" s="47"/>
      <c r="AG49" s="36"/>
      <c r="AH49" s="48"/>
      <c r="AI49" s="48"/>
      <c r="AJ49" s="47"/>
      <c r="AK49" s="36"/>
      <c r="AL49" s="49"/>
      <c r="AM49" s="53"/>
      <c r="AN49" s="36"/>
      <c r="AO49" s="52"/>
      <c r="AP49" s="47"/>
    </row>
    <row r="50" spans="1:43" ht="12.75" customHeight="1" x14ac:dyDescent="0.3">
      <c r="A50" s="7" t="s">
        <v>17</v>
      </c>
      <c r="B50" s="234" t="s">
        <v>67</v>
      </c>
      <c r="C50" s="6" t="s">
        <v>8</v>
      </c>
      <c r="D50" s="34"/>
      <c r="E50" s="33">
        <v>129652.79</v>
      </c>
      <c r="F50" s="123">
        <v>0.22353929310344828</v>
      </c>
      <c r="G50" s="7"/>
      <c r="H50" s="35">
        <v>580000</v>
      </c>
      <c r="I50" s="35">
        <v>580000</v>
      </c>
      <c r="J50" s="35">
        <v>580328.93999999703</v>
      </c>
      <c r="K50" s="70">
        <v>1.0005671379310295</v>
      </c>
      <c r="L50" s="36"/>
      <c r="M50" s="35">
        <v>98020</v>
      </c>
      <c r="N50" s="35">
        <v>98020</v>
      </c>
      <c r="O50" s="37">
        <v>0</v>
      </c>
      <c r="P50" s="35">
        <v>104354.68420000013</v>
      </c>
      <c r="Q50" s="115">
        <v>1.0646264456233436</v>
      </c>
      <c r="R50" s="36"/>
      <c r="S50" s="127">
        <v>0.16900000000000001</v>
      </c>
      <c r="T50" s="127">
        <v>0.17981988663188272</v>
      </c>
      <c r="U50" s="36"/>
      <c r="V50" s="35"/>
      <c r="W50" s="38">
        <v>-10.707969483652279</v>
      </c>
      <c r="X50" s="69" t="s">
        <v>69</v>
      </c>
      <c r="Y50" s="36"/>
      <c r="Z50" s="62"/>
      <c r="AA50" s="33">
        <v>22307.692307692309</v>
      </c>
      <c r="AB50" s="33">
        <v>39188.61</v>
      </c>
      <c r="AC50" s="36"/>
      <c r="AD50" s="35">
        <v>3770</v>
      </c>
      <c r="AE50" s="35">
        <v>6561.8804999999957</v>
      </c>
      <c r="AF50" s="115">
        <v>1.7405518567639247</v>
      </c>
      <c r="AG50" s="36"/>
      <c r="AH50" s="35">
        <v>4013.6417000000051</v>
      </c>
      <c r="AI50" s="35">
        <v>104354.68420000013</v>
      </c>
      <c r="AJ50" s="115">
        <v>1.0646264456233436</v>
      </c>
      <c r="AK50" s="36"/>
      <c r="AL50" s="108">
        <v>0.16900000000000001</v>
      </c>
      <c r="AM50" s="108">
        <v>0.1674435633210771</v>
      </c>
      <c r="AN50" s="36"/>
      <c r="AO50" s="38">
        <v>-14.7689073432306</v>
      </c>
      <c r="AP50" s="70">
        <v>0</v>
      </c>
    </row>
    <row r="51" spans="1:43" ht="12.75" customHeight="1" x14ac:dyDescent="0.3">
      <c r="A51" s="7" t="s">
        <v>17</v>
      </c>
      <c r="B51" s="234"/>
      <c r="C51" s="6" t="s">
        <v>9</v>
      </c>
      <c r="D51" s="34"/>
      <c r="E51" s="33">
        <v>96398.769999999917</v>
      </c>
      <c r="F51" s="123">
        <v>0.37803439215686241</v>
      </c>
      <c r="G51" s="7"/>
      <c r="H51" s="35">
        <v>255000</v>
      </c>
      <c r="I51" s="35">
        <v>255000</v>
      </c>
      <c r="J51" s="35">
        <v>238063.49999999654</v>
      </c>
      <c r="K51" s="70">
        <v>0.93358235294116287</v>
      </c>
      <c r="L51" s="36"/>
      <c r="M51" s="35">
        <v>50745</v>
      </c>
      <c r="N51" s="35">
        <v>50745</v>
      </c>
      <c r="O51" s="37">
        <v>0</v>
      </c>
      <c r="P51" s="35">
        <v>50927.848100000083</v>
      </c>
      <c r="Q51" s="115">
        <v>1.0036032732288911</v>
      </c>
      <c r="R51" s="36"/>
      <c r="S51" s="127">
        <v>0.19900000000000001</v>
      </c>
      <c r="T51" s="127">
        <v>0.21392547828625902</v>
      </c>
      <c r="U51" s="36"/>
      <c r="V51" s="35"/>
      <c r="W51" s="38">
        <v>2.365153877009996</v>
      </c>
      <c r="X51" s="69" t="s">
        <v>69</v>
      </c>
      <c r="Y51" s="36"/>
      <c r="Z51" s="62"/>
      <c r="AA51" s="33">
        <v>8225.8064516129034</v>
      </c>
      <c r="AB51" s="33">
        <v>5082.53</v>
      </c>
      <c r="AC51" s="36"/>
      <c r="AD51" s="35">
        <v>1636.9354838709678</v>
      </c>
      <c r="AE51" s="35">
        <v>1243.4492999999998</v>
      </c>
      <c r="AF51" s="115">
        <v>0.75962022465267498</v>
      </c>
      <c r="AG51" s="36"/>
      <c r="AH51" s="35">
        <v>1642.8338096774221</v>
      </c>
      <c r="AI51" s="35">
        <v>50927.848100000083</v>
      </c>
      <c r="AJ51" s="115">
        <v>1.0036032732288911</v>
      </c>
      <c r="AK51" s="36"/>
      <c r="AL51" s="108">
        <v>0.19900000000000001</v>
      </c>
      <c r="AM51" s="108">
        <v>0.24465164002967024</v>
      </c>
      <c r="AN51" s="36"/>
      <c r="AO51" s="38">
        <v>7.6595573464396969</v>
      </c>
      <c r="AP51" s="70">
        <v>0</v>
      </c>
    </row>
    <row r="52" spans="1:43" ht="12.75" customHeight="1" x14ac:dyDescent="0.3">
      <c r="A52" s="7" t="s">
        <v>17</v>
      </c>
      <c r="B52" s="234"/>
      <c r="C52" s="6" t="s">
        <v>10</v>
      </c>
      <c r="D52" s="34"/>
      <c r="E52" s="33">
        <v>138821.82999999996</v>
      </c>
      <c r="F52" s="123">
        <v>0.30178658695652166</v>
      </c>
      <c r="G52" s="7"/>
      <c r="H52" s="35">
        <v>460000</v>
      </c>
      <c r="I52" s="35">
        <v>460000</v>
      </c>
      <c r="J52" s="35">
        <v>388065.74999999645</v>
      </c>
      <c r="K52" s="70">
        <v>0.8436211956521662</v>
      </c>
      <c r="L52" s="36"/>
      <c r="M52" s="35">
        <v>95534.936056770661</v>
      </c>
      <c r="N52" s="35">
        <v>95534.936056770661</v>
      </c>
      <c r="O52" s="37">
        <v>0</v>
      </c>
      <c r="P52" s="35">
        <v>85120.19310000015</v>
      </c>
      <c r="Q52" s="115">
        <v>0.89098498008538307</v>
      </c>
      <c r="R52" s="36"/>
      <c r="S52" s="127">
        <v>0.20768464360167535</v>
      </c>
      <c r="T52" s="127">
        <v>0.21934477108582998</v>
      </c>
      <c r="U52" s="36"/>
      <c r="V52" s="35"/>
      <c r="W52" s="38">
        <v>1.5749632890812524</v>
      </c>
      <c r="X52" s="69" t="s">
        <v>69</v>
      </c>
      <c r="Y52" s="36"/>
      <c r="Z52" s="62"/>
      <c r="AA52" s="33">
        <v>14838.709677419354</v>
      </c>
      <c r="AB52" s="33">
        <v>8523.0599999999959</v>
      </c>
      <c r="AC52" s="36"/>
      <c r="AD52" s="35">
        <v>3081.7721308635696</v>
      </c>
      <c r="AE52" s="35">
        <v>2049.6648500000015</v>
      </c>
      <c r="AF52" s="115">
        <v>0.66509292801789577</v>
      </c>
      <c r="AG52" s="36"/>
      <c r="AH52" s="35">
        <v>2745.812680645166</v>
      </c>
      <c r="AI52" s="35">
        <v>85120.19310000015</v>
      </c>
      <c r="AJ52" s="115">
        <v>0.89098498008538307</v>
      </c>
      <c r="AK52" s="36"/>
      <c r="AL52" s="108">
        <v>0.20768464360167535</v>
      </c>
      <c r="AM52" s="108">
        <v>0.24048462054708081</v>
      </c>
      <c r="AN52" s="36"/>
      <c r="AO52" s="38">
        <v>4.3171683644136269</v>
      </c>
      <c r="AP52" s="70">
        <v>0</v>
      </c>
    </row>
    <row r="53" spans="1:43" ht="12.75" customHeight="1" x14ac:dyDescent="0.3">
      <c r="A53" s="7" t="s">
        <v>17</v>
      </c>
      <c r="B53" s="234"/>
      <c r="C53" s="6" t="s">
        <v>12</v>
      </c>
      <c r="D53" s="34"/>
      <c r="E53" s="33">
        <v>104906.60999999997</v>
      </c>
      <c r="F53" s="123">
        <v>0.27607002631578942</v>
      </c>
      <c r="G53" s="7"/>
      <c r="H53" s="35">
        <v>380000</v>
      </c>
      <c r="I53" s="35">
        <v>380000</v>
      </c>
      <c r="J53" s="35">
        <v>565951.24</v>
      </c>
      <c r="K53" s="70">
        <v>1.4893453684210527</v>
      </c>
      <c r="L53" s="36"/>
      <c r="M53" s="35">
        <v>77231.730048526413</v>
      </c>
      <c r="N53" s="35">
        <v>77231.730048526413</v>
      </c>
      <c r="O53" s="37">
        <v>2798.7799999999997</v>
      </c>
      <c r="P53" s="35">
        <v>130924.25999999998</v>
      </c>
      <c r="Q53" s="115">
        <v>1.6952133523065889</v>
      </c>
      <c r="R53" s="36"/>
      <c r="S53" s="127">
        <v>0.20324139486454318</v>
      </c>
      <c r="T53" s="127">
        <v>0.23133487612819786</v>
      </c>
      <c r="U53" s="36"/>
      <c r="V53" s="35"/>
      <c r="W53" s="38">
        <v>-1.9743573668996273</v>
      </c>
      <c r="X53" s="69" t="s">
        <v>69</v>
      </c>
      <c r="Y53" s="36"/>
      <c r="Z53" s="62"/>
      <c r="AA53" s="33">
        <v>14615.384615384615</v>
      </c>
      <c r="AB53" s="33">
        <v>137591.59</v>
      </c>
      <c r="AC53" s="36"/>
      <c r="AD53" s="35">
        <v>2970.4511557125543</v>
      </c>
      <c r="AE53" s="35">
        <v>29327.560000000012</v>
      </c>
      <c r="AF53" s="115">
        <v>9.8730995605160494</v>
      </c>
      <c r="AG53" s="36"/>
      <c r="AH53" s="35">
        <v>5035.5484615384612</v>
      </c>
      <c r="AI53" s="35">
        <v>130924.26</v>
      </c>
      <c r="AJ53" s="115">
        <v>1.6952133523065891</v>
      </c>
      <c r="AK53" s="36"/>
      <c r="AL53" s="108">
        <v>0.20324139486454318</v>
      </c>
      <c r="AM53" s="108">
        <v>0.21314936472498075</v>
      </c>
      <c r="AN53" s="36"/>
      <c r="AO53" s="38">
        <v>-4.9971440841696753</v>
      </c>
      <c r="AP53" s="70">
        <v>0</v>
      </c>
    </row>
    <row r="54" spans="1:43" s="15" customFormat="1" ht="14.25" customHeight="1" x14ac:dyDescent="0.3">
      <c r="A54" s="26"/>
      <c r="B54" s="234"/>
      <c r="C54" s="9" t="s">
        <v>71</v>
      </c>
      <c r="D54" s="28"/>
      <c r="E54" s="27">
        <v>469779.99999999988</v>
      </c>
      <c r="F54" s="124">
        <v>0.28046567164179098</v>
      </c>
      <c r="G54" s="26"/>
      <c r="H54" s="29">
        <v>1675000</v>
      </c>
      <c r="I54" s="29">
        <v>1675000</v>
      </c>
      <c r="J54" s="29">
        <v>1772409.4299999899</v>
      </c>
      <c r="K54" s="31">
        <v>1.0581548835820835</v>
      </c>
      <c r="L54" s="39"/>
      <c r="M54" s="29">
        <v>321531.6661052971</v>
      </c>
      <c r="N54" s="29">
        <v>321531.6661052971</v>
      </c>
      <c r="O54" s="27">
        <v>2798.7799999999997</v>
      </c>
      <c r="P54" s="29">
        <v>371326.98540000035</v>
      </c>
      <c r="Q54" s="31">
        <v>1.1548690985801566</v>
      </c>
      <c r="R54" s="39"/>
      <c r="S54" s="128">
        <v>0.1919592036449535</v>
      </c>
      <c r="T54" s="128">
        <v>0.20950406780447026</v>
      </c>
      <c r="U54" s="39"/>
      <c r="V54" s="29"/>
      <c r="W54" s="32">
        <v>-3.4739650758915896</v>
      </c>
      <c r="X54" s="30" t="s">
        <v>69</v>
      </c>
      <c r="Y54" s="39"/>
      <c r="Z54" s="62"/>
      <c r="AA54" s="27">
        <v>59987.593052109187</v>
      </c>
      <c r="AB54" s="27">
        <v>190385.78999999998</v>
      </c>
      <c r="AC54" s="39"/>
      <c r="AD54" s="29">
        <v>11459.158770447091</v>
      </c>
      <c r="AE54" s="29">
        <v>39182.554650000005</v>
      </c>
      <c r="AF54" s="31">
        <v>3.4193220841874465</v>
      </c>
      <c r="AG54" s="39"/>
      <c r="AH54" s="29">
        <v>13437.836651861055</v>
      </c>
      <c r="AI54" s="29">
        <v>371326.98540000035</v>
      </c>
      <c r="AJ54" s="31">
        <v>1.1548690985801566</v>
      </c>
      <c r="AK54" s="39"/>
      <c r="AL54" s="80">
        <v>0.1919592036449535</v>
      </c>
      <c r="AM54" s="80">
        <v>0.20580608799637834</v>
      </c>
      <c r="AN54" s="39"/>
      <c r="AO54" s="32">
        <v>0</v>
      </c>
      <c r="AP54" s="31">
        <v>0</v>
      </c>
      <c r="AQ54" s="10"/>
    </row>
    <row r="55" spans="1:43" ht="8" customHeight="1" x14ac:dyDescent="0.3">
      <c r="B55" s="16"/>
      <c r="D55" s="34"/>
      <c r="E55" s="47"/>
      <c r="F55" s="125"/>
      <c r="G55" s="34"/>
      <c r="H55" s="48"/>
      <c r="I55" s="48"/>
      <c r="J55" s="48"/>
      <c r="K55" s="51"/>
      <c r="L55" s="34"/>
      <c r="M55" s="48"/>
      <c r="N55" s="48"/>
      <c r="O55" s="51"/>
      <c r="P55" s="48"/>
      <c r="Q55" s="47"/>
      <c r="R55" s="34"/>
      <c r="S55" s="51"/>
      <c r="T55" s="51"/>
      <c r="U55" s="34"/>
      <c r="V55" s="48"/>
      <c r="W55" s="52"/>
      <c r="X55" s="48"/>
      <c r="Y55" s="34"/>
      <c r="Z55" s="62"/>
      <c r="AA55" s="47"/>
      <c r="AB55" s="47"/>
      <c r="AC55" s="36"/>
      <c r="AD55" s="48"/>
      <c r="AE55" s="48"/>
      <c r="AF55" s="47"/>
      <c r="AG55" s="36"/>
      <c r="AH55" s="48"/>
      <c r="AI55" s="48"/>
      <c r="AJ55" s="47"/>
      <c r="AK55" s="36"/>
      <c r="AL55" s="49"/>
      <c r="AM55" s="53"/>
      <c r="AN55" s="36"/>
      <c r="AO55" s="52"/>
      <c r="AP55" s="47"/>
    </row>
    <row r="56" spans="1:43" ht="12.75" customHeight="1" x14ac:dyDescent="0.3">
      <c r="A56" s="7" t="s">
        <v>21</v>
      </c>
      <c r="B56" s="234" t="s">
        <v>75</v>
      </c>
      <c r="C56" s="6" t="s">
        <v>8</v>
      </c>
      <c r="D56" s="34"/>
      <c r="E56" s="33">
        <v>344066.2899999998</v>
      </c>
      <c r="F56" s="123">
        <v>4.5271880263157867</v>
      </c>
      <c r="G56" s="7"/>
      <c r="H56" s="35">
        <v>76000</v>
      </c>
      <c r="I56" s="35">
        <v>76000</v>
      </c>
      <c r="J56" s="35">
        <v>66609.830000000249</v>
      </c>
      <c r="K56" s="70">
        <v>0.87644513157895065</v>
      </c>
      <c r="L56" s="36"/>
      <c r="M56" s="35">
        <v>16644</v>
      </c>
      <c r="N56" s="35">
        <v>16644</v>
      </c>
      <c r="O56" s="37">
        <v>0</v>
      </c>
      <c r="P56" s="35">
        <v>13970.259999999964</v>
      </c>
      <c r="Q56" s="115">
        <v>0.83935712569093746</v>
      </c>
      <c r="R56" s="36"/>
      <c r="S56" s="127">
        <v>0.219</v>
      </c>
      <c r="T56" s="127">
        <v>0.20973270761988</v>
      </c>
      <c r="U56" s="36"/>
      <c r="V56" s="35"/>
      <c r="W56" s="38">
        <v>9.4070199548628324</v>
      </c>
      <c r="X56" s="69" t="s">
        <v>69</v>
      </c>
      <c r="Y56" s="36"/>
      <c r="Z56" s="62"/>
      <c r="AA56" s="33">
        <v>2923.0769230769229</v>
      </c>
      <c r="AB56" s="33">
        <v>3284.2399999999984</v>
      </c>
      <c r="AC56" s="36"/>
      <c r="AD56" s="35">
        <v>640.15384615384619</v>
      </c>
      <c r="AE56" s="35">
        <v>699.30999999999972</v>
      </c>
      <c r="AF56" s="115">
        <v>1.0924092766161975</v>
      </c>
      <c r="AG56" s="36"/>
      <c r="AH56" s="35">
        <v>537.31769230769089</v>
      </c>
      <c r="AI56" s="35">
        <v>13970.259999999964</v>
      </c>
      <c r="AJ56" s="115">
        <v>0.83935712569093746</v>
      </c>
      <c r="AK56" s="36"/>
      <c r="AL56" s="108">
        <v>0.219</v>
      </c>
      <c r="AM56" s="108">
        <v>0.21292901858573066</v>
      </c>
      <c r="AN56" s="36"/>
      <c r="AO56" s="38">
        <v>10.287616008574242</v>
      </c>
      <c r="AP56" s="70">
        <v>0</v>
      </c>
    </row>
    <row r="57" spans="1:43" ht="12.75" customHeight="1" x14ac:dyDescent="0.3">
      <c r="A57" s="7" t="s">
        <v>21</v>
      </c>
      <c r="B57" s="234"/>
      <c r="C57" s="6" t="s">
        <v>9</v>
      </c>
      <c r="D57" s="34"/>
      <c r="E57" s="33">
        <v>467532.8699999986</v>
      </c>
      <c r="F57" s="123">
        <v>2.3376643499999932</v>
      </c>
      <c r="G57" s="7"/>
      <c r="H57" s="35">
        <v>200000</v>
      </c>
      <c r="I57" s="35">
        <v>200000</v>
      </c>
      <c r="J57" s="35">
        <v>182464.28999999107</v>
      </c>
      <c r="K57" s="70">
        <v>0.91232144999995535</v>
      </c>
      <c r="L57" s="36"/>
      <c r="M57" s="35">
        <v>45000</v>
      </c>
      <c r="N57" s="35">
        <v>45000</v>
      </c>
      <c r="O57" s="37">
        <v>0</v>
      </c>
      <c r="P57" s="35">
        <v>36861.689999999871</v>
      </c>
      <c r="Q57" s="115">
        <v>0.81914866666666386</v>
      </c>
      <c r="R57" s="36"/>
      <c r="S57" s="127">
        <v>0.22500000000000001</v>
      </c>
      <c r="T57" s="127">
        <v>0.20202139278870224</v>
      </c>
      <c r="U57" s="36"/>
      <c r="V57" s="35"/>
      <c r="W57" s="38">
        <v>8.4001148937092385</v>
      </c>
      <c r="X57" s="69" t="s">
        <v>69</v>
      </c>
      <c r="Y57" s="36"/>
      <c r="Z57" s="62"/>
      <c r="AA57" s="33">
        <v>6451.6129032258068</v>
      </c>
      <c r="AB57" s="33">
        <v>6171.569999999957</v>
      </c>
      <c r="AC57" s="36"/>
      <c r="AD57" s="35">
        <v>1451.6129032258063</v>
      </c>
      <c r="AE57" s="35">
        <v>1304.0299999999995</v>
      </c>
      <c r="AF57" s="115">
        <v>0.89833177777777751</v>
      </c>
      <c r="AG57" s="36"/>
      <c r="AH57" s="35">
        <v>1189.0867741935442</v>
      </c>
      <c r="AI57" s="35">
        <v>36861.689999999871</v>
      </c>
      <c r="AJ57" s="115">
        <v>0.81914866666666386</v>
      </c>
      <c r="AK57" s="36"/>
      <c r="AL57" s="108">
        <v>0.22500000000000001</v>
      </c>
      <c r="AM57" s="108">
        <v>0.21129631520018546</v>
      </c>
      <c r="AN57" s="36"/>
      <c r="AO57" s="38">
        <v>9.3838358796862433</v>
      </c>
      <c r="AP57" s="70">
        <v>0</v>
      </c>
    </row>
    <row r="58" spans="1:43" ht="12.75" customHeight="1" x14ac:dyDescent="0.3">
      <c r="A58" s="7" t="s">
        <v>21</v>
      </c>
      <c r="B58" s="234"/>
      <c r="C58" s="6" t="s">
        <v>10</v>
      </c>
      <c r="D58" s="34"/>
      <c r="E58" s="33">
        <v>538588.16999999934</v>
      </c>
      <c r="F58" s="123">
        <v>2.5647055714285685</v>
      </c>
      <c r="G58" s="7"/>
      <c r="H58" s="35">
        <v>210000</v>
      </c>
      <c r="I58" s="35">
        <v>210000</v>
      </c>
      <c r="J58" s="35">
        <v>205024.95999998416</v>
      </c>
      <c r="K58" s="70">
        <v>0.97630933333325787</v>
      </c>
      <c r="L58" s="36"/>
      <c r="M58" s="35">
        <v>49770</v>
      </c>
      <c r="N58" s="35">
        <v>49770</v>
      </c>
      <c r="O58" s="37">
        <v>1648.38</v>
      </c>
      <c r="P58" s="35">
        <v>42921.700000000303</v>
      </c>
      <c r="Q58" s="115">
        <v>0.86240104480611413</v>
      </c>
      <c r="R58" s="36"/>
      <c r="S58" s="127">
        <v>0.23699999999999999</v>
      </c>
      <c r="T58" s="127">
        <v>0.20934865686599144</v>
      </c>
      <c r="U58" s="36"/>
      <c r="V58" s="35"/>
      <c r="W58" s="38">
        <v>8.4201308952743741</v>
      </c>
      <c r="X58" s="69" t="s">
        <v>69</v>
      </c>
      <c r="Y58" s="36"/>
      <c r="Z58" s="62"/>
      <c r="AA58" s="33">
        <v>6774.1935483870966</v>
      </c>
      <c r="AB58" s="33">
        <v>7582.4999999999491</v>
      </c>
      <c r="AC58" s="36"/>
      <c r="AD58" s="35">
        <v>1605.483870967742</v>
      </c>
      <c r="AE58" s="35">
        <v>1610.9600000000007</v>
      </c>
      <c r="AF58" s="115">
        <v>1.0034108900944347</v>
      </c>
      <c r="AG58" s="36"/>
      <c r="AH58" s="35">
        <v>1384.5709677419452</v>
      </c>
      <c r="AI58" s="35">
        <v>42921.700000000303</v>
      </c>
      <c r="AJ58" s="115">
        <v>0.86240104480611413</v>
      </c>
      <c r="AK58" s="36"/>
      <c r="AL58" s="108">
        <v>0.23699999999999999</v>
      </c>
      <c r="AM58" s="108">
        <v>0.21245763270689239</v>
      </c>
      <c r="AN58" s="36"/>
      <c r="AO58" s="38">
        <v>9.6211012199136636</v>
      </c>
      <c r="AP58" s="70">
        <v>0</v>
      </c>
    </row>
    <row r="59" spans="1:43" ht="12.75" customHeight="1" x14ac:dyDescent="0.3">
      <c r="A59" s="7" t="s">
        <v>21</v>
      </c>
      <c r="B59" s="234"/>
      <c r="C59" s="6" t="s">
        <v>12</v>
      </c>
      <c r="D59" s="34"/>
      <c r="E59" s="33">
        <v>34445.469999999994</v>
      </c>
      <c r="F59" s="123">
        <v>4.200667073170731</v>
      </c>
      <c r="G59" s="7"/>
      <c r="H59" s="35">
        <v>8200</v>
      </c>
      <c r="I59" s="35">
        <v>8200</v>
      </c>
      <c r="J59" s="35">
        <v>8676.0499999999265</v>
      </c>
      <c r="K59" s="70">
        <v>1.0580548780487715</v>
      </c>
      <c r="L59" s="36"/>
      <c r="M59" s="35">
        <v>656</v>
      </c>
      <c r="N59" s="35">
        <v>656</v>
      </c>
      <c r="O59" s="37">
        <v>0</v>
      </c>
      <c r="P59" s="35">
        <v>1189.6499999999983</v>
      </c>
      <c r="Q59" s="115">
        <v>1.8134908536585339</v>
      </c>
      <c r="R59" s="36"/>
      <c r="S59" s="127">
        <v>0.08</v>
      </c>
      <c r="T59" s="127">
        <v>0.13711885016799216</v>
      </c>
      <c r="U59" s="36"/>
      <c r="V59" s="35"/>
      <c r="W59" s="38">
        <v>3.0996824591828687</v>
      </c>
      <c r="X59" s="69" t="s">
        <v>69</v>
      </c>
      <c r="Y59" s="36"/>
      <c r="Z59" s="62"/>
      <c r="AA59" s="33">
        <v>315.38461538461536</v>
      </c>
      <c r="AB59" s="33">
        <v>1862.3300000000002</v>
      </c>
      <c r="AC59" s="36"/>
      <c r="AD59" s="35">
        <v>25.23076923076923</v>
      </c>
      <c r="AE59" s="35">
        <v>46.509999999999955</v>
      </c>
      <c r="AF59" s="115">
        <v>1.8433841463414617</v>
      </c>
      <c r="AG59" s="36"/>
      <c r="AH59" s="35">
        <v>45.755769230769161</v>
      </c>
      <c r="AI59" s="35">
        <v>1189.6499999999983</v>
      </c>
      <c r="AJ59" s="115">
        <v>1.8134908536585339</v>
      </c>
      <c r="AK59" s="36"/>
      <c r="AL59" s="108">
        <v>0.08</v>
      </c>
      <c r="AM59" s="108">
        <v>2.4974091594937499E-2</v>
      </c>
      <c r="AN59" s="36"/>
      <c r="AO59" s="38">
        <v>-6.4907937905741662</v>
      </c>
      <c r="AP59" s="70">
        <v>0</v>
      </c>
    </row>
    <row r="60" spans="1:43" s="15" customFormat="1" ht="14.25" customHeight="1" x14ac:dyDescent="0.3">
      <c r="A60" s="26"/>
      <c r="B60" s="234"/>
      <c r="C60" s="9" t="s">
        <v>78</v>
      </c>
      <c r="D60" s="28"/>
      <c r="E60" s="27">
        <v>1384632.7999999977</v>
      </c>
      <c r="F60" s="124">
        <v>2.801766086604609</v>
      </c>
      <c r="G60" s="26"/>
      <c r="H60" s="29">
        <v>494200</v>
      </c>
      <c r="I60" s="29">
        <v>494200</v>
      </c>
      <c r="J60" s="29">
        <v>462775.12999997544</v>
      </c>
      <c r="K60" s="31">
        <v>0.93641264670169044</v>
      </c>
      <c r="L60" s="39"/>
      <c r="M60" s="29">
        <v>112070</v>
      </c>
      <c r="N60" s="29">
        <v>112070</v>
      </c>
      <c r="O60" s="27">
        <v>1648.38</v>
      </c>
      <c r="P60" s="29">
        <v>94943.300000000134</v>
      </c>
      <c r="Q60" s="31">
        <v>0.84717854912108626</v>
      </c>
      <c r="R60" s="39"/>
      <c r="S60" s="128">
        <v>0.22677053824362606</v>
      </c>
      <c r="T60" s="128">
        <v>0.20516076566172683</v>
      </c>
      <c r="U60" s="39"/>
      <c r="V60" s="29"/>
      <c r="W60" s="32">
        <v>8.4545403293333639</v>
      </c>
      <c r="X60" s="30" t="s">
        <v>69</v>
      </c>
      <c r="Y60" s="39"/>
      <c r="Z60" s="62"/>
      <c r="AA60" s="27">
        <v>16464.267990074441</v>
      </c>
      <c r="AB60" s="27">
        <v>18900.639999999905</v>
      </c>
      <c r="AC60" s="39"/>
      <c r="AD60" s="29">
        <v>3722.4813895781635</v>
      </c>
      <c r="AE60" s="29">
        <v>3660.81</v>
      </c>
      <c r="AF60" s="31">
        <v>0.98343272050981234</v>
      </c>
      <c r="AG60" s="39"/>
      <c r="AH60" s="29">
        <v>3156.7312034739498</v>
      </c>
      <c r="AI60" s="29">
        <v>94943.300000000134</v>
      </c>
      <c r="AJ60" s="31">
        <v>0.84717854912108626</v>
      </c>
      <c r="AK60" s="39"/>
      <c r="AL60" s="80">
        <v>0.22677053824362606</v>
      </c>
      <c r="AM60" s="80">
        <v>0.19368709207730628</v>
      </c>
      <c r="AN60" s="39"/>
      <c r="AO60" s="32">
        <v>0</v>
      </c>
      <c r="AP60" s="31">
        <v>0</v>
      </c>
      <c r="AQ60" s="10"/>
    </row>
    <row r="61" spans="1:43" ht="8" customHeight="1" x14ac:dyDescent="0.3">
      <c r="B61" s="16"/>
      <c r="D61" s="34"/>
      <c r="E61" s="47"/>
      <c r="F61" s="125"/>
      <c r="G61" s="34"/>
      <c r="H61" s="48"/>
      <c r="I61" s="48"/>
      <c r="J61" s="48"/>
      <c r="K61" s="51"/>
      <c r="L61" s="34"/>
      <c r="M61" s="48"/>
      <c r="N61" s="48"/>
      <c r="O61" s="51"/>
      <c r="P61" s="48"/>
      <c r="Q61" s="47"/>
      <c r="R61" s="34"/>
      <c r="S61" s="51"/>
      <c r="T61" s="51"/>
      <c r="U61" s="34"/>
      <c r="V61" s="48"/>
      <c r="W61" s="52"/>
      <c r="X61" s="48"/>
      <c r="Y61" s="34"/>
      <c r="Z61" s="62"/>
      <c r="AA61" s="47"/>
      <c r="AB61" s="47"/>
      <c r="AC61" s="36"/>
      <c r="AD61" s="48"/>
      <c r="AE61" s="48"/>
      <c r="AF61" s="47"/>
      <c r="AG61" s="36"/>
      <c r="AH61" s="48"/>
      <c r="AI61" s="48"/>
      <c r="AJ61" s="47"/>
      <c r="AK61" s="36"/>
      <c r="AL61" s="49"/>
      <c r="AM61" s="53"/>
      <c r="AN61" s="36"/>
      <c r="AO61" s="52"/>
      <c r="AP61" s="47"/>
    </row>
    <row r="62" spans="1:43" ht="12.75" customHeight="1" x14ac:dyDescent="0.3">
      <c r="A62" s="7" t="s">
        <v>22</v>
      </c>
      <c r="B62" s="211" t="s">
        <v>55</v>
      </c>
      <c r="C62" s="6" t="s">
        <v>8</v>
      </c>
      <c r="D62" s="34"/>
      <c r="E62" s="33">
        <v>157372.15000000002</v>
      </c>
      <c r="F62" s="123">
        <v>0.14571495370370371</v>
      </c>
      <c r="G62" s="7"/>
      <c r="H62" s="35">
        <v>1080000</v>
      </c>
      <c r="I62" s="35">
        <v>1080000</v>
      </c>
      <c r="J62" s="35">
        <v>1084124.5399999931</v>
      </c>
      <c r="K62" s="70">
        <v>1.0038190185185121</v>
      </c>
      <c r="L62" s="36"/>
      <c r="M62" s="35">
        <v>43200</v>
      </c>
      <c r="N62" s="35">
        <v>43200</v>
      </c>
      <c r="O62" s="37">
        <v>0</v>
      </c>
      <c r="P62" s="35">
        <v>27286.00909999993</v>
      </c>
      <c r="Q62" s="115">
        <v>0.63162058101851692</v>
      </c>
      <c r="R62" s="36"/>
      <c r="S62" s="127">
        <v>0.04</v>
      </c>
      <c r="T62" s="127">
        <v>2.5168703496002504E-2</v>
      </c>
      <c r="U62" s="36"/>
      <c r="V62" s="35"/>
      <c r="W62" s="38">
        <v>-11.052935016120079</v>
      </c>
      <c r="X62" s="69" t="s">
        <v>69</v>
      </c>
      <c r="Y62" s="36"/>
      <c r="Z62" s="62"/>
      <c r="AA62" s="33">
        <v>41538.461538461539</v>
      </c>
      <c r="AB62" s="33">
        <v>47689.029999999992</v>
      </c>
      <c r="AC62" s="36"/>
      <c r="AD62" s="35">
        <v>1661.5384615384614</v>
      </c>
      <c r="AE62" s="35">
        <v>2123.9718000000003</v>
      </c>
      <c r="AF62" s="115">
        <v>1.2783163611111112</v>
      </c>
      <c r="AG62" s="36"/>
      <c r="AH62" s="35">
        <v>1049.4618884615359</v>
      </c>
      <c r="AI62" s="35">
        <v>27286.009099999934</v>
      </c>
      <c r="AJ62" s="115">
        <v>0.63162058101851704</v>
      </c>
      <c r="AK62" s="36"/>
      <c r="AL62" s="108">
        <v>0.04</v>
      </c>
      <c r="AM62" s="108">
        <v>4.45379534874163E-2</v>
      </c>
      <c r="AN62" s="36"/>
      <c r="AO62" s="38">
        <v>-8.8862746841360476</v>
      </c>
      <c r="AP62" s="70">
        <v>0</v>
      </c>
    </row>
    <row r="63" spans="1:43" ht="12.75" customHeight="1" x14ac:dyDescent="0.3">
      <c r="A63" s="7" t="s">
        <v>22</v>
      </c>
      <c r="B63" s="211"/>
      <c r="C63" s="6" t="s">
        <v>9</v>
      </c>
      <c r="D63" s="34"/>
      <c r="E63" s="33">
        <v>223324.01999999993</v>
      </c>
      <c r="F63" s="123">
        <v>0.27915502499999989</v>
      </c>
      <c r="G63" s="7"/>
      <c r="H63" s="35">
        <v>800000</v>
      </c>
      <c r="I63" s="35">
        <v>800000</v>
      </c>
      <c r="J63" s="35">
        <v>705792.49999997672</v>
      </c>
      <c r="K63" s="70">
        <v>0.88224062499997091</v>
      </c>
      <c r="L63" s="36"/>
      <c r="M63" s="35">
        <v>72000</v>
      </c>
      <c r="N63" s="35">
        <v>72000</v>
      </c>
      <c r="O63" s="37">
        <v>0</v>
      </c>
      <c r="P63" s="35">
        <v>61194.874350000238</v>
      </c>
      <c r="Q63" s="115">
        <v>0.84992881041667001</v>
      </c>
      <c r="R63" s="36"/>
      <c r="S63" s="127">
        <v>0.09</v>
      </c>
      <c r="T63" s="127">
        <v>8.6703775330571317E-2</v>
      </c>
      <c r="U63" s="36"/>
      <c r="V63" s="35"/>
      <c r="W63" s="38">
        <v>-3.3588109323950843</v>
      </c>
      <c r="X63" s="69" t="s">
        <v>69</v>
      </c>
      <c r="Y63" s="36"/>
      <c r="Z63" s="62"/>
      <c r="AA63" s="33">
        <v>25806.451612903227</v>
      </c>
      <c r="AB63" s="33">
        <v>25041.899999999991</v>
      </c>
      <c r="AC63" s="36"/>
      <c r="AD63" s="35">
        <v>2322.5806451612902</v>
      </c>
      <c r="AE63" s="35">
        <v>2069.8204499999993</v>
      </c>
      <c r="AF63" s="115">
        <v>0.89117269374999974</v>
      </c>
      <c r="AG63" s="36"/>
      <c r="AH63" s="35">
        <v>1974.0282048387173</v>
      </c>
      <c r="AI63" s="35">
        <v>61194.874350000238</v>
      </c>
      <c r="AJ63" s="115">
        <v>0.84992881041667001</v>
      </c>
      <c r="AK63" s="36"/>
      <c r="AL63" s="108">
        <v>0.09</v>
      </c>
      <c r="AM63" s="108">
        <v>8.2654289410947254E-2</v>
      </c>
      <c r="AN63" s="36"/>
      <c r="AO63" s="38">
        <v>-4.548654654798618</v>
      </c>
      <c r="AP63" s="70">
        <v>0</v>
      </c>
    </row>
    <row r="64" spans="1:43" ht="12.75" customHeight="1" x14ac:dyDescent="0.3">
      <c r="A64" s="7" t="s">
        <v>22</v>
      </c>
      <c r="B64" s="211"/>
      <c r="C64" s="6" t="s">
        <v>10</v>
      </c>
      <c r="D64" s="34"/>
      <c r="E64" s="33">
        <v>293436.9200000001</v>
      </c>
      <c r="F64" s="123">
        <v>0.36004530061349704</v>
      </c>
      <c r="G64" s="7"/>
      <c r="H64" s="35">
        <v>815000</v>
      </c>
      <c r="I64" s="35">
        <v>815000</v>
      </c>
      <c r="J64" s="35">
        <v>777747.18999996583</v>
      </c>
      <c r="K64" s="70">
        <v>0.9542910306748047</v>
      </c>
      <c r="L64" s="36"/>
      <c r="M64" s="35">
        <v>80685</v>
      </c>
      <c r="N64" s="35">
        <v>80685</v>
      </c>
      <c r="O64" s="37">
        <v>0</v>
      </c>
      <c r="P64" s="35">
        <v>89117.280200000183</v>
      </c>
      <c r="Q64" s="115">
        <v>1.1045086472082815</v>
      </c>
      <c r="R64" s="36"/>
      <c r="S64" s="127">
        <v>9.9000000000000005E-2</v>
      </c>
      <c r="T64" s="127">
        <v>0.11458386651323561</v>
      </c>
      <c r="U64" s="36"/>
      <c r="V64" s="35"/>
      <c r="W64" s="38">
        <v>-0.5579293446292094</v>
      </c>
      <c r="X64" s="69" t="s">
        <v>69</v>
      </c>
      <c r="Y64" s="36"/>
      <c r="Z64" s="62"/>
      <c r="AA64" s="33">
        <v>26290.322580645163</v>
      </c>
      <c r="AB64" s="33">
        <v>23664.599999999977</v>
      </c>
      <c r="AC64" s="36"/>
      <c r="AD64" s="35">
        <v>2602.7419354838707</v>
      </c>
      <c r="AE64" s="35">
        <v>2804.6533000000004</v>
      </c>
      <c r="AF64" s="115">
        <v>1.077576405775547</v>
      </c>
      <c r="AG64" s="36"/>
      <c r="AH64" s="35">
        <v>2874.7509741935542</v>
      </c>
      <c r="AI64" s="35">
        <v>89117.280200000183</v>
      </c>
      <c r="AJ64" s="115">
        <v>1.1045086472082815</v>
      </c>
      <c r="AK64" s="36"/>
      <c r="AL64" s="108">
        <v>9.9000000000000005E-2</v>
      </c>
      <c r="AM64" s="108">
        <v>0.11851682682149722</v>
      </c>
      <c r="AN64" s="36"/>
      <c r="AO64" s="38">
        <v>-0.87614707199783659</v>
      </c>
      <c r="AP64" s="70">
        <v>0</v>
      </c>
    </row>
    <row r="65" spans="1:43" ht="12.75" customHeight="1" x14ac:dyDescent="0.3">
      <c r="A65" s="7" t="s">
        <v>22</v>
      </c>
      <c r="B65" s="211"/>
      <c r="C65" s="6" t="s">
        <v>12</v>
      </c>
      <c r="D65" s="34"/>
      <c r="E65" s="33">
        <v>68396.84</v>
      </c>
      <c r="F65" s="123">
        <v>8.616381960191484E-2</v>
      </c>
      <c r="G65" s="7"/>
      <c r="H65" s="35">
        <v>793800</v>
      </c>
      <c r="I65" s="35">
        <v>793800</v>
      </c>
      <c r="J65" s="35">
        <v>627459.38999999885</v>
      </c>
      <c r="K65" s="70">
        <v>0.7904502267573682</v>
      </c>
      <c r="L65" s="36"/>
      <c r="M65" s="35">
        <v>75457.228812394649</v>
      </c>
      <c r="N65" s="35">
        <v>75457.228812394649</v>
      </c>
      <c r="O65" s="37">
        <v>17931.099999999999</v>
      </c>
      <c r="P65" s="35">
        <v>20804.340000000004</v>
      </c>
      <c r="Q65" s="115">
        <v>0.27571036370451324</v>
      </c>
      <c r="R65" s="36"/>
      <c r="S65" s="127">
        <v>9.5058237354994524E-2</v>
      </c>
      <c r="T65" s="127">
        <v>3.3156472485016186E-2</v>
      </c>
      <c r="U65" s="36"/>
      <c r="V65" s="35"/>
      <c r="W65" s="38">
        <v>-13.466885880853678</v>
      </c>
      <c r="X65" s="69" t="s">
        <v>69</v>
      </c>
      <c r="Y65" s="36"/>
      <c r="Z65" s="62"/>
      <c r="AA65" s="33">
        <v>30530.76923076923</v>
      </c>
      <c r="AB65" s="33">
        <v>66464.73</v>
      </c>
      <c r="AC65" s="36"/>
      <c r="AD65" s="35">
        <v>2902.2011081690248</v>
      </c>
      <c r="AE65" s="35">
        <v>11314.199999999997</v>
      </c>
      <c r="AF65" s="115">
        <v>3.8984893114929702</v>
      </c>
      <c r="AG65" s="36"/>
      <c r="AH65" s="35">
        <v>800.16692307692324</v>
      </c>
      <c r="AI65" s="35">
        <v>20804.340000000004</v>
      </c>
      <c r="AJ65" s="115">
        <v>0.27571036370451324</v>
      </c>
      <c r="AK65" s="36"/>
      <c r="AL65" s="108">
        <v>9.5058237354994524E-2</v>
      </c>
      <c r="AM65" s="108">
        <v>0.17022863103483604</v>
      </c>
      <c r="AN65" s="36"/>
      <c r="AO65" s="38">
        <v>3.2308564256561296</v>
      </c>
      <c r="AP65" s="70">
        <v>0</v>
      </c>
    </row>
    <row r="66" spans="1:43" s="15" customFormat="1" ht="14.25" customHeight="1" x14ac:dyDescent="0.3">
      <c r="A66" s="26"/>
      <c r="B66" s="211"/>
      <c r="C66" s="9" t="s">
        <v>56</v>
      </c>
      <c r="D66" s="28"/>
      <c r="E66" s="27">
        <v>742529.93</v>
      </c>
      <c r="F66" s="124">
        <v>0.21283247248337539</v>
      </c>
      <c r="G66" s="26"/>
      <c r="H66" s="29">
        <v>3488800</v>
      </c>
      <c r="I66" s="29">
        <v>3488800</v>
      </c>
      <c r="J66" s="29">
        <v>3195123.6199999345</v>
      </c>
      <c r="K66" s="31">
        <v>0.91582309676677787</v>
      </c>
      <c r="L66" s="39"/>
      <c r="M66" s="29">
        <v>271342.22881239466</v>
      </c>
      <c r="N66" s="29">
        <v>271342.22881239466</v>
      </c>
      <c r="O66" s="27">
        <v>17931.099999999999</v>
      </c>
      <c r="P66" s="29">
        <v>198402.50365000035</v>
      </c>
      <c r="Q66" s="31">
        <v>0.73118918687431933</v>
      </c>
      <c r="R66" s="39"/>
      <c r="S66" s="128">
        <v>7.7775231831115191E-2</v>
      </c>
      <c r="T66" s="128">
        <v>6.2095407641850307E-2</v>
      </c>
      <c r="U66" s="39"/>
      <c r="V66" s="29"/>
      <c r="W66" s="32">
        <v>-7.2727181789003179</v>
      </c>
      <c r="X66" s="30" t="s">
        <v>69</v>
      </c>
      <c r="Y66" s="39"/>
      <c r="Z66" s="62"/>
      <c r="AA66" s="27">
        <v>124166.00496277917</v>
      </c>
      <c r="AB66" s="27">
        <v>162860.25999999995</v>
      </c>
      <c r="AC66" s="39"/>
      <c r="AD66" s="29">
        <v>9489.0621503526472</v>
      </c>
      <c r="AE66" s="29">
        <v>18312.645549999997</v>
      </c>
      <c r="AF66" s="31">
        <v>1.9298688595183702</v>
      </c>
      <c r="AG66" s="39"/>
      <c r="AH66" s="29">
        <v>6698.4079905707304</v>
      </c>
      <c r="AI66" s="29">
        <v>198402.50365000035</v>
      </c>
      <c r="AJ66" s="31">
        <v>0.73118918687431933</v>
      </c>
      <c r="AK66" s="39"/>
      <c r="AL66" s="80">
        <v>7.7775231831115191E-2</v>
      </c>
      <c r="AM66" s="80">
        <v>0.11244391695064225</v>
      </c>
      <c r="AN66" s="39"/>
      <c r="AO66" s="32">
        <v>0</v>
      </c>
      <c r="AP66" s="31">
        <v>0</v>
      </c>
      <c r="AQ66" s="10"/>
    </row>
    <row r="67" spans="1:43" ht="8" customHeight="1" x14ac:dyDescent="0.3">
      <c r="B67" s="16"/>
      <c r="D67" s="34"/>
      <c r="E67" s="47"/>
      <c r="F67" s="125"/>
      <c r="G67" s="34"/>
      <c r="H67" s="48"/>
      <c r="I67" s="48"/>
      <c r="J67" s="48"/>
      <c r="K67" s="51"/>
      <c r="L67" s="34"/>
      <c r="M67" s="48"/>
      <c r="N67" s="48"/>
      <c r="O67" s="51"/>
      <c r="P67" s="48"/>
      <c r="Q67" s="47"/>
      <c r="R67" s="34"/>
      <c r="S67" s="51"/>
      <c r="T67" s="51"/>
      <c r="U67" s="34"/>
      <c r="V67" s="48"/>
      <c r="W67" s="52"/>
      <c r="X67" s="48"/>
      <c r="Y67" s="34"/>
      <c r="Z67" s="62"/>
      <c r="AA67" s="47"/>
      <c r="AB67" s="47"/>
      <c r="AC67" s="36"/>
      <c r="AD67" s="48"/>
      <c r="AE67" s="48"/>
      <c r="AF67" s="47"/>
      <c r="AG67" s="36"/>
      <c r="AH67" s="48"/>
      <c r="AI67" s="48"/>
      <c r="AJ67" s="47"/>
      <c r="AK67" s="36"/>
      <c r="AL67" s="49"/>
      <c r="AM67" s="53"/>
      <c r="AN67" s="36"/>
      <c r="AO67" s="52"/>
      <c r="AP67" s="47"/>
    </row>
    <row r="68" spans="1:43" ht="12.75" customHeight="1" x14ac:dyDescent="0.3">
      <c r="A68" s="7" t="s">
        <v>23</v>
      </c>
      <c r="B68" s="235" t="s">
        <v>76</v>
      </c>
      <c r="C68" s="6" t="s">
        <v>8</v>
      </c>
      <c r="D68" s="34"/>
      <c r="E68" s="33">
        <v>255062.86000000016</v>
      </c>
      <c r="F68" s="123">
        <v>4.1139170967741965</v>
      </c>
      <c r="G68" s="7"/>
      <c r="H68" s="35">
        <v>62000</v>
      </c>
      <c r="I68" s="35">
        <v>62000</v>
      </c>
      <c r="J68" s="35">
        <v>67080.900000000373</v>
      </c>
      <c r="K68" s="70">
        <v>1.081950000000006</v>
      </c>
      <c r="L68" s="36"/>
      <c r="M68" s="35">
        <v>12524</v>
      </c>
      <c r="N68" s="35">
        <v>12524</v>
      </c>
      <c r="O68" s="37">
        <v>257.5</v>
      </c>
      <c r="P68" s="35">
        <v>14274.16999999996</v>
      </c>
      <c r="Q68" s="115">
        <v>1.1397452890450304</v>
      </c>
      <c r="R68" s="36"/>
      <c r="S68" s="127">
        <v>0.20200000000000001</v>
      </c>
      <c r="T68" s="127">
        <v>0.21279037699255496</v>
      </c>
      <c r="U68" s="36"/>
      <c r="V68" s="35"/>
      <c r="W68" s="38">
        <v>9.0287101097335469</v>
      </c>
      <c r="X68" s="69" t="s">
        <v>69</v>
      </c>
      <c r="Y68" s="36"/>
      <c r="Z68" s="62"/>
      <c r="AA68" s="33">
        <v>2384.6153846153848</v>
      </c>
      <c r="AB68" s="33">
        <v>2329.6400000000012</v>
      </c>
      <c r="AC68" s="36"/>
      <c r="AD68" s="35">
        <v>481.69230769230768</v>
      </c>
      <c r="AE68" s="35">
        <v>508.25999999999971</v>
      </c>
      <c r="AF68" s="115">
        <v>1.0551549025870324</v>
      </c>
      <c r="AG68" s="36"/>
      <c r="AH68" s="35">
        <v>549.00653846153693</v>
      </c>
      <c r="AI68" s="35">
        <v>14274.16999999996</v>
      </c>
      <c r="AJ68" s="115">
        <v>1.1397452890450304</v>
      </c>
      <c r="AK68" s="36"/>
      <c r="AL68" s="108">
        <v>0.20200000000000001</v>
      </c>
      <c r="AM68" s="108">
        <v>0.21817104788722697</v>
      </c>
      <c r="AN68" s="36"/>
      <c r="AO68" s="38">
        <v>10.787932899503886</v>
      </c>
      <c r="AP68" s="70">
        <v>0</v>
      </c>
    </row>
    <row r="69" spans="1:43" ht="12.75" customHeight="1" x14ac:dyDescent="0.3">
      <c r="A69" s="7" t="s">
        <v>23</v>
      </c>
      <c r="B69" s="211"/>
      <c r="C69" s="6" t="s">
        <v>9</v>
      </c>
      <c r="D69" s="34"/>
      <c r="E69" s="33">
        <v>327978.07000000024</v>
      </c>
      <c r="F69" s="123">
        <v>2.2619177241379327</v>
      </c>
      <c r="G69" s="7"/>
      <c r="H69" s="35">
        <v>145000</v>
      </c>
      <c r="I69" s="35">
        <v>145000</v>
      </c>
      <c r="J69" s="35">
        <v>134774.490000005</v>
      </c>
      <c r="K69" s="70">
        <v>0.92947924137934479</v>
      </c>
      <c r="L69" s="36"/>
      <c r="M69" s="35">
        <v>35179.978006339457</v>
      </c>
      <c r="N69" s="35">
        <v>35179.978006339457</v>
      </c>
      <c r="O69" s="37">
        <v>1214.31</v>
      </c>
      <c r="P69" s="35">
        <v>29430.929999999993</v>
      </c>
      <c r="Q69" s="115">
        <v>0.83658181920115238</v>
      </c>
      <c r="R69" s="36"/>
      <c r="S69" s="127">
        <v>0.24262053797475489</v>
      </c>
      <c r="T69" s="127">
        <v>0.2183716666262206</v>
      </c>
      <c r="U69" s="36"/>
      <c r="V69" s="35"/>
      <c r="W69" s="38">
        <v>9.1263413424934861</v>
      </c>
      <c r="X69" s="69" t="s">
        <v>69</v>
      </c>
      <c r="Y69" s="36"/>
      <c r="Z69" s="62"/>
      <c r="AA69" s="33">
        <v>4677.4193548387093</v>
      </c>
      <c r="AB69" s="33">
        <v>5399.8799999999892</v>
      </c>
      <c r="AC69" s="36"/>
      <c r="AD69" s="35">
        <v>1134.8380002044987</v>
      </c>
      <c r="AE69" s="35">
        <v>1171.4100000000003</v>
      </c>
      <c r="AF69" s="115">
        <v>1.0322266259932353</v>
      </c>
      <c r="AG69" s="36"/>
      <c r="AH69" s="35">
        <v>949.38483870967718</v>
      </c>
      <c r="AI69" s="35">
        <v>29430.929999999993</v>
      </c>
      <c r="AJ69" s="115">
        <v>0.83658181920115238</v>
      </c>
      <c r="AK69" s="36"/>
      <c r="AL69" s="108">
        <v>0.24262053797475489</v>
      </c>
      <c r="AM69" s="108">
        <v>0.21693259850218943</v>
      </c>
      <c r="AN69" s="36"/>
      <c r="AO69" s="38">
        <v>9.7742912805468798</v>
      </c>
      <c r="AP69" s="70">
        <v>0</v>
      </c>
    </row>
    <row r="70" spans="1:43" ht="12.75" customHeight="1" x14ac:dyDescent="0.3">
      <c r="A70" s="7" t="s">
        <v>23</v>
      </c>
      <c r="B70" s="211"/>
      <c r="C70" s="6" t="s">
        <v>10</v>
      </c>
      <c r="D70" s="34"/>
      <c r="E70" s="33">
        <v>495178.82999999973</v>
      </c>
      <c r="F70" s="123">
        <v>2.606204368421051</v>
      </c>
      <c r="G70" s="7"/>
      <c r="H70" s="35">
        <v>190000</v>
      </c>
      <c r="I70" s="35">
        <v>190000</v>
      </c>
      <c r="J70" s="35">
        <v>192207.27999999581</v>
      </c>
      <c r="K70" s="70">
        <v>1.0116172631578726</v>
      </c>
      <c r="L70" s="36"/>
      <c r="M70" s="35">
        <v>45410</v>
      </c>
      <c r="N70" s="35">
        <v>45410</v>
      </c>
      <c r="O70" s="37">
        <v>2619.25</v>
      </c>
      <c r="P70" s="35">
        <v>42325.570000000051</v>
      </c>
      <c r="Q70" s="115">
        <v>0.93207597445496693</v>
      </c>
      <c r="R70" s="36"/>
      <c r="S70" s="127">
        <v>0.23899999999999999</v>
      </c>
      <c r="T70" s="127">
        <v>0.22020794425685111</v>
      </c>
      <c r="U70" s="36"/>
      <c r="V70" s="35"/>
      <c r="W70" s="38">
        <v>8.8096507062558391</v>
      </c>
      <c r="X70" s="69" t="s">
        <v>69</v>
      </c>
      <c r="Y70" s="36"/>
      <c r="Z70" s="62"/>
      <c r="AA70" s="33">
        <v>6129.0322580645161</v>
      </c>
      <c r="AB70" s="33">
        <v>6533.7399999999679</v>
      </c>
      <c r="AC70" s="36"/>
      <c r="AD70" s="35">
        <v>1464.8387096774193</v>
      </c>
      <c r="AE70" s="35">
        <v>1403.9700000000012</v>
      </c>
      <c r="AF70" s="115">
        <v>0.95844681788152475</v>
      </c>
      <c r="AG70" s="36"/>
      <c r="AH70" s="35">
        <v>1365.3409677419372</v>
      </c>
      <c r="AI70" s="35">
        <v>42325.570000000051</v>
      </c>
      <c r="AJ70" s="115">
        <v>0.93207597445496693</v>
      </c>
      <c r="AK70" s="36"/>
      <c r="AL70" s="108">
        <v>0.23899999999999999</v>
      </c>
      <c r="AM70" s="108">
        <v>0.21487999216375431</v>
      </c>
      <c r="AN70" s="36"/>
      <c r="AO70" s="38">
        <v>9.8507133739629893</v>
      </c>
      <c r="AP70" s="70">
        <v>0</v>
      </c>
    </row>
    <row r="71" spans="1:43" ht="12.75" customHeight="1" x14ac:dyDescent="0.3">
      <c r="A71" s="7" t="s">
        <v>23</v>
      </c>
      <c r="B71" s="211"/>
      <c r="C71" s="6" t="s">
        <v>12</v>
      </c>
      <c r="D71" s="34"/>
      <c r="E71" s="33">
        <v>24684.30000000001</v>
      </c>
      <c r="F71" s="123">
        <v>6.1710750000000028</v>
      </c>
      <c r="G71" s="7"/>
      <c r="H71" s="35">
        <v>4000</v>
      </c>
      <c r="I71" s="35">
        <v>4000</v>
      </c>
      <c r="J71" s="35">
        <v>2792.169999999996</v>
      </c>
      <c r="K71" s="70">
        <v>0.69804249999999901</v>
      </c>
      <c r="L71" s="36"/>
      <c r="M71" s="35">
        <v>960</v>
      </c>
      <c r="N71" s="35">
        <v>959.99999999999989</v>
      </c>
      <c r="O71" s="37">
        <v>366.45</v>
      </c>
      <c r="P71" s="35">
        <v>1036.2800000000004</v>
      </c>
      <c r="Q71" s="115">
        <v>1.0794583333333339</v>
      </c>
      <c r="R71" s="36"/>
      <c r="S71" s="127">
        <v>0.24</v>
      </c>
      <c r="T71" s="127">
        <v>0.37113786051708952</v>
      </c>
      <c r="U71" s="36"/>
      <c r="V71" s="35"/>
      <c r="W71" s="38">
        <v>12.388572329048698</v>
      </c>
      <c r="X71" s="69" t="s">
        <v>69</v>
      </c>
      <c r="Y71" s="36"/>
      <c r="Z71" s="62"/>
      <c r="AA71" s="33">
        <v>153.84615384615384</v>
      </c>
      <c r="AB71" s="33">
        <v>79.379999999999981</v>
      </c>
      <c r="AC71" s="36"/>
      <c r="AD71" s="35">
        <v>36.92307692307692</v>
      </c>
      <c r="AE71" s="35">
        <v>18.73</v>
      </c>
      <c r="AF71" s="115">
        <v>0.50727083333333334</v>
      </c>
      <c r="AG71" s="36"/>
      <c r="AH71" s="35">
        <v>39.856923076923096</v>
      </c>
      <c r="AI71" s="35">
        <v>1036.2800000000004</v>
      </c>
      <c r="AJ71" s="115">
        <v>1.0794583333333339</v>
      </c>
      <c r="AK71" s="36"/>
      <c r="AL71" s="108">
        <v>0.24</v>
      </c>
      <c r="AM71" s="108">
        <v>0.23595364071554553</v>
      </c>
      <c r="AN71" s="36"/>
      <c r="AO71" s="38">
        <v>8.73015873015874</v>
      </c>
      <c r="AP71" s="70">
        <v>0</v>
      </c>
    </row>
    <row r="72" spans="1:43" s="15" customFormat="1" ht="14.25" customHeight="1" x14ac:dyDescent="0.3">
      <c r="A72" s="26"/>
      <c r="B72" s="211"/>
      <c r="C72" s="9" t="s">
        <v>79</v>
      </c>
      <c r="D72" s="28"/>
      <c r="E72" s="27">
        <v>1102904.0600000003</v>
      </c>
      <c r="F72" s="124">
        <v>2.7503841895261854</v>
      </c>
      <c r="G72" s="26"/>
      <c r="H72" s="29">
        <v>401000</v>
      </c>
      <c r="I72" s="29">
        <v>401000</v>
      </c>
      <c r="J72" s="29">
        <v>396854.84000000119</v>
      </c>
      <c r="K72" s="31">
        <v>0.98966294264339449</v>
      </c>
      <c r="L72" s="39"/>
      <c r="M72" s="29">
        <v>94073.978006339457</v>
      </c>
      <c r="N72" s="29">
        <v>94073.978006339457</v>
      </c>
      <c r="O72" s="27">
        <v>4457.51</v>
      </c>
      <c r="P72" s="29">
        <v>87066.950000000012</v>
      </c>
      <c r="Q72" s="31">
        <v>0.92551576796436463</v>
      </c>
      <c r="R72" s="39"/>
      <c r="S72" s="128">
        <v>0.23459844889361461</v>
      </c>
      <c r="T72" s="128">
        <v>0.21939243578332004</v>
      </c>
      <c r="U72" s="39"/>
      <c r="V72" s="29"/>
      <c r="W72" s="32">
        <v>8.979409196571762</v>
      </c>
      <c r="X72" s="30" t="s">
        <v>69</v>
      </c>
      <c r="Y72" s="39"/>
      <c r="Z72" s="62"/>
      <c r="AA72" s="27">
        <v>13344.913151364764</v>
      </c>
      <c r="AB72" s="27">
        <v>14342.639999999958</v>
      </c>
      <c r="AC72" s="39"/>
      <c r="AD72" s="29">
        <v>3118.292094497303</v>
      </c>
      <c r="AE72" s="29">
        <v>3102.3700000000013</v>
      </c>
      <c r="AF72" s="31">
        <v>0.9948939695144664</v>
      </c>
      <c r="AG72" s="39"/>
      <c r="AH72" s="29">
        <v>2903.5892679900744</v>
      </c>
      <c r="AI72" s="29">
        <v>87066.950000000012</v>
      </c>
      <c r="AJ72" s="31">
        <v>0.92551576796436463</v>
      </c>
      <c r="AK72" s="39"/>
      <c r="AL72" s="80">
        <v>0.23459844889361461</v>
      </c>
      <c r="AM72" s="80">
        <v>0.21630397193264353</v>
      </c>
      <c r="AN72" s="39"/>
      <c r="AO72" s="32">
        <v>0</v>
      </c>
      <c r="AP72" s="31">
        <v>0</v>
      </c>
      <c r="AQ72" s="10"/>
    </row>
    <row r="73" spans="1:43" ht="7.75" customHeight="1" x14ac:dyDescent="0.3">
      <c r="B73" s="16"/>
      <c r="D73" s="34"/>
      <c r="E73" s="47"/>
      <c r="F73" s="125"/>
      <c r="G73" s="34"/>
      <c r="H73" s="48"/>
      <c r="I73" s="48"/>
      <c r="J73" s="48"/>
      <c r="K73" s="51"/>
      <c r="L73" s="34"/>
      <c r="M73" s="48"/>
      <c r="N73" s="48"/>
      <c r="O73" s="51"/>
      <c r="P73" s="48"/>
      <c r="Q73" s="47"/>
      <c r="R73" s="34"/>
      <c r="S73" s="51"/>
      <c r="T73" s="51"/>
      <c r="U73" s="34"/>
      <c r="V73" s="48"/>
      <c r="W73" s="52"/>
      <c r="X73" s="48"/>
      <c r="Y73" s="34"/>
      <c r="Z73" s="62"/>
      <c r="AA73" s="47"/>
      <c r="AB73" s="47"/>
      <c r="AC73" s="36"/>
      <c r="AD73" s="48"/>
      <c r="AE73" s="48"/>
      <c r="AF73" s="47"/>
      <c r="AG73" s="36"/>
      <c r="AH73" s="48"/>
      <c r="AI73" s="48"/>
      <c r="AJ73" s="47"/>
      <c r="AK73" s="36"/>
      <c r="AL73" s="49"/>
      <c r="AM73" s="53"/>
      <c r="AN73" s="36"/>
      <c r="AO73" s="52"/>
      <c r="AP73" s="47"/>
    </row>
    <row r="74" spans="1:43" ht="12.75" customHeight="1" x14ac:dyDescent="0.3">
      <c r="A74" s="7" t="s">
        <v>68</v>
      </c>
      <c r="B74" s="211" t="s">
        <v>70</v>
      </c>
      <c r="C74" s="6" t="s">
        <v>8</v>
      </c>
      <c r="D74" s="34"/>
      <c r="E74" s="33">
        <v>44598.85000000002</v>
      </c>
      <c r="F74" s="123">
        <v>0.65586544117647094</v>
      </c>
      <c r="G74" s="7"/>
      <c r="H74" s="35">
        <v>68000</v>
      </c>
      <c r="I74" s="35">
        <v>68000</v>
      </c>
      <c r="J74" s="35">
        <v>60539.180000000073</v>
      </c>
      <c r="K74" s="70">
        <v>0.89028205882353051</v>
      </c>
      <c r="L74" s="36"/>
      <c r="M74" s="35">
        <v>11900</v>
      </c>
      <c r="N74" s="35">
        <v>11900</v>
      </c>
      <c r="O74" s="37">
        <v>711.81000000000006</v>
      </c>
      <c r="P74" s="35">
        <v>9262.58</v>
      </c>
      <c r="Q74" s="115">
        <v>0.77836806722689078</v>
      </c>
      <c r="R74" s="36"/>
      <c r="S74" s="127">
        <v>0.17499999999999999</v>
      </c>
      <c r="T74" s="127">
        <v>0.15300141164779552</v>
      </c>
      <c r="U74" s="36"/>
      <c r="V74" s="35"/>
      <c r="W74" s="38">
        <v>3.1797424411762241</v>
      </c>
      <c r="X74" s="69" t="s">
        <v>69</v>
      </c>
      <c r="Y74" s="36"/>
      <c r="Z74" s="62"/>
      <c r="AA74" s="33">
        <v>2615.3846153846152</v>
      </c>
      <c r="AB74" s="33">
        <v>2073.1600000000012</v>
      </c>
      <c r="AC74" s="36"/>
      <c r="AD74" s="35">
        <v>457.69230769230768</v>
      </c>
      <c r="AE74" s="35">
        <v>305.9799999999999</v>
      </c>
      <c r="AF74" s="115">
        <v>0.66852773109243679</v>
      </c>
      <c r="AG74" s="36"/>
      <c r="AH74" s="35">
        <v>356.25307692307695</v>
      </c>
      <c r="AI74" s="35">
        <v>9262.58</v>
      </c>
      <c r="AJ74" s="115">
        <v>0.77836806722689078</v>
      </c>
      <c r="AK74" s="36"/>
      <c r="AL74" s="108">
        <v>0.17499999999999999</v>
      </c>
      <c r="AM74" s="108">
        <v>0.14759111694225227</v>
      </c>
      <c r="AN74" s="36"/>
      <c r="AO74" s="38">
        <v>3.2915935094252564</v>
      </c>
      <c r="AP74" s="70">
        <v>0</v>
      </c>
    </row>
    <row r="75" spans="1:43" ht="12.5" customHeight="1" x14ac:dyDescent="0.3">
      <c r="A75" s="7" t="s">
        <v>68</v>
      </c>
      <c r="B75" s="211"/>
      <c r="C75" s="6" t="s">
        <v>9</v>
      </c>
      <c r="D75" s="34"/>
      <c r="E75" s="33">
        <v>91406.570000000036</v>
      </c>
      <c r="F75" s="123">
        <v>0.59742856209150352</v>
      </c>
      <c r="G75" s="7"/>
      <c r="H75" s="35">
        <v>153000</v>
      </c>
      <c r="I75" s="35">
        <v>153000</v>
      </c>
      <c r="J75" s="35">
        <v>157720.62000000346</v>
      </c>
      <c r="K75" s="70">
        <v>1.0308537254902186</v>
      </c>
      <c r="L75" s="36"/>
      <c r="M75" s="35">
        <v>30083.290842020251</v>
      </c>
      <c r="N75" s="35">
        <v>30083.290842020251</v>
      </c>
      <c r="O75" s="37">
        <v>1487.5900000000001</v>
      </c>
      <c r="P75" s="35">
        <v>29633.840000000313</v>
      </c>
      <c r="Q75" s="115">
        <v>0.98505978470307021</v>
      </c>
      <c r="R75" s="36"/>
      <c r="S75" s="127">
        <v>0.19662281596091669</v>
      </c>
      <c r="T75" s="127">
        <v>0.18788817847659781</v>
      </c>
      <c r="U75" s="36"/>
      <c r="V75" s="35"/>
      <c r="W75" s="38">
        <v>7.3361428581775243</v>
      </c>
      <c r="X75" s="69" t="s">
        <v>69</v>
      </c>
      <c r="Y75" s="36"/>
      <c r="Z75" s="62"/>
      <c r="AA75" s="33">
        <v>4935.4838709677415</v>
      </c>
      <c r="AB75" s="33">
        <v>5300.1799999999776</v>
      </c>
      <c r="AC75" s="36"/>
      <c r="AD75" s="35">
        <v>970.42873683936295</v>
      </c>
      <c r="AE75" s="35">
        <v>679.97000000000048</v>
      </c>
      <c r="AF75" s="115">
        <v>0.70069029717177189</v>
      </c>
      <c r="AG75" s="36"/>
      <c r="AH75" s="35">
        <v>955.93032258065523</v>
      </c>
      <c r="AI75" s="35">
        <v>29633.840000000313</v>
      </c>
      <c r="AJ75" s="115">
        <v>0.98505978470307021</v>
      </c>
      <c r="AK75" s="36"/>
      <c r="AL75" s="108">
        <v>0.19662281596091669</v>
      </c>
      <c r="AM75" s="108">
        <v>0.12829186933274028</v>
      </c>
      <c r="AN75" s="36"/>
      <c r="AO75" s="38">
        <v>2.1148338358314875</v>
      </c>
      <c r="AP75" s="70">
        <v>0</v>
      </c>
    </row>
    <row r="76" spans="1:43" ht="12.75" customHeight="1" x14ac:dyDescent="0.3">
      <c r="A76" s="7" t="s">
        <v>68</v>
      </c>
      <c r="B76" s="211"/>
      <c r="C76" s="6" t="s">
        <v>10</v>
      </c>
      <c r="D76" s="34"/>
      <c r="E76" s="33">
        <v>128072.37000000005</v>
      </c>
      <c r="F76" s="123">
        <v>0.56172092105263183</v>
      </c>
      <c r="G76" s="7"/>
      <c r="H76" s="35">
        <v>228000</v>
      </c>
      <c r="I76" s="35">
        <v>228000</v>
      </c>
      <c r="J76" s="35">
        <v>268231.90999998915</v>
      </c>
      <c r="K76" s="70">
        <v>1.1764557456139875</v>
      </c>
      <c r="L76" s="36"/>
      <c r="M76" s="35">
        <v>39900</v>
      </c>
      <c r="N76" s="35">
        <v>39900</v>
      </c>
      <c r="O76" s="37">
        <v>3353.54</v>
      </c>
      <c r="P76" s="35">
        <v>40233.40000000046</v>
      </c>
      <c r="Q76" s="115">
        <v>1.0083558897243223</v>
      </c>
      <c r="R76" s="36"/>
      <c r="S76" s="127">
        <v>0.17499999999999999</v>
      </c>
      <c r="T76" s="127">
        <v>0.14999483096549582</v>
      </c>
      <c r="U76" s="36"/>
      <c r="V76" s="35"/>
      <c r="W76" s="38">
        <v>3.6176456410385924</v>
      </c>
      <c r="X76" s="69" t="s">
        <v>69</v>
      </c>
      <c r="Y76" s="36"/>
      <c r="Z76" s="62"/>
      <c r="AA76" s="33">
        <v>7354.8387096774195</v>
      </c>
      <c r="AB76" s="33">
        <v>8125.1199999999517</v>
      </c>
      <c r="AC76" s="36"/>
      <c r="AD76" s="35">
        <v>1287.0967741935483</v>
      </c>
      <c r="AE76" s="35">
        <v>1156.1599999999999</v>
      </c>
      <c r="AF76" s="115">
        <v>0.89826967418546366</v>
      </c>
      <c r="AG76" s="36"/>
      <c r="AH76" s="35">
        <v>1297.8516129032407</v>
      </c>
      <c r="AI76" s="35">
        <v>40233.40000000046</v>
      </c>
      <c r="AJ76" s="115">
        <v>1.0083558897243223</v>
      </c>
      <c r="AK76" s="36"/>
      <c r="AL76" s="108">
        <v>0.17499999999999999</v>
      </c>
      <c r="AM76" s="108">
        <v>0.14229451380410466</v>
      </c>
      <c r="AN76" s="36"/>
      <c r="AO76" s="38">
        <v>3.9254804852106564</v>
      </c>
      <c r="AP76" s="70">
        <v>0</v>
      </c>
    </row>
    <row r="77" spans="1:43" ht="12.75" customHeight="1" x14ac:dyDescent="0.3">
      <c r="A77" s="7" t="s">
        <v>68</v>
      </c>
      <c r="B77" s="211"/>
      <c r="C77" s="6" t="s">
        <v>12</v>
      </c>
      <c r="D77" s="34"/>
      <c r="E77" s="33">
        <v>3684.7</v>
      </c>
      <c r="F77" s="123">
        <v>0.92117499999999997</v>
      </c>
      <c r="G77" s="7"/>
      <c r="H77" s="35">
        <v>4000</v>
      </c>
      <c r="I77" s="35">
        <v>4000</v>
      </c>
      <c r="J77" s="35">
        <v>11318.969999999963</v>
      </c>
      <c r="K77" s="70">
        <v>2.8297424999999907</v>
      </c>
      <c r="L77" s="36"/>
      <c r="M77" s="35">
        <v>630.99967958987622</v>
      </c>
      <c r="N77" s="35">
        <v>630.99967958987622</v>
      </c>
      <c r="O77" s="37">
        <v>0</v>
      </c>
      <c r="P77" s="35">
        <v>1646.4299999999992</v>
      </c>
      <c r="Q77" s="115">
        <v>2.6092406276182434</v>
      </c>
      <c r="R77" s="36"/>
      <c r="S77" s="127">
        <v>0.15774991989746906</v>
      </c>
      <c r="T77" s="127">
        <v>0.14545758138770618</v>
      </c>
      <c r="U77" s="36"/>
      <c r="V77" s="35"/>
      <c r="W77" s="38">
        <v>3.3931532639450013</v>
      </c>
      <c r="X77" s="69" t="s">
        <v>69</v>
      </c>
      <c r="Y77" s="36"/>
      <c r="Z77" s="62"/>
      <c r="AA77" s="33">
        <v>153.84615384615384</v>
      </c>
      <c r="AB77" s="33">
        <v>606.44000000000017</v>
      </c>
      <c r="AC77" s="36"/>
      <c r="AD77" s="35">
        <v>24.269218445764469</v>
      </c>
      <c r="AE77" s="35">
        <v>-55.169999999999987</v>
      </c>
      <c r="AF77" s="115">
        <v>-2.2732499657247267</v>
      </c>
      <c r="AG77" s="36"/>
      <c r="AH77" s="35">
        <v>63.324230769230738</v>
      </c>
      <c r="AI77" s="35">
        <v>1646.4299999999992</v>
      </c>
      <c r="AJ77" s="115">
        <v>2.6092406276182434</v>
      </c>
      <c r="AK77" s="36"/>
      <c r="AL77" s="108">
        <v>0.15774991989746906</v>
      </c>
      <c r="AM77" s="108">
        <v>-9.0973550557351054E-2</v>
      </c>
      <c r="AN77" s="36"/>
      <c r="AO77" s="38">
        <v>-19.660642437833932</v>
      </c>
      <c r="AP77" s="70">
        <v>0</v>
      </c>
    </row>
    <row r="78" spans="1:43" s="15" customFormat="1" ht="14.25" customHeight="1" x14ac:dyDescent="0.3">
      <c r="A78" s="26"/>
      <c r="B78" s="211"/>
      <c r="C78" s="9" t="s">
        <v>80</v>
      </c>
      <c r="D78" s="28"/>
      <c r="E78" s="27">
        <v>267762.49000000011</v>
      </c>
      <c r="F78" s="124">
        <v>0.59108717439293623</v>
      </c>
      <c r="G78" s="26"/>
      <c r="H78" s="29">
        <v>453000</v>
      </c>
      <c r="I78" s="29">
        <v>453000</v>
      </c>
      <c r="J78" s="29">
        <v>497810.67999999266</v>
      </c>
      <c r="K78" s="31">
        <v>1.0989198233995423</v>
      </c>
      <c r="L78" s="39"/>
      <c r="M78" s="29">
        <v>82514.290521610121</v>
      </c>
      <c r="N78" s="29">
        <v>82514.290521610121</v>
      </c>
      <c r="O78" s="27">
        <v>5552.9400000000005</v>
      </c>
      <c r="P78" s="29">
        <v>80776.250000000757</v>
      </c>
      <c r="Q78" s="31">
        <v>0.97893649075060307</v>
      </c>
      <c r="R78" s="39"/>
      <c r="S78" s="128">
        <v>0.18215075170333361</v>
      </c>
      <c r="T78" s="128">
        <v>0.16226299122389651</v>
      </c>
      <c r="U78" s="39"/>
      <c r="V78" s="29"/>
      <c r="W78" s="32">
        <v>4.7374134279306945</v>
      </c>
      <c r="X78" s="30" t="s">
        <v>69</v>
      </c>
      <c r="Y78" s="39"/>
      <c r="Z78" s="62"/>
      <c r="AA78" s="27">
        <v>15059.553349875931</v>
      </c>
      <c r="AB78" s="27">
        <v>16104.899999999931</v>
      </c>
      <c r="AC78" s="39"/>
      <c r="AD78" s="29">
        <v>2739.4870371709835</v>
      </c>
      <c r="AE78" s="29">
        <v>2086.94</v>
      </c>
      <c r="AF78" s="31">
        <v>0.76179955286634371</v>
      </c>
      <c r="AG78" s="39"/>
      <c r="AH78" s="29">
        <v>2673.3592431762036</v>
      </c>
      <c r="AI78" s="29">
        <v>80776.250000000757</v>
      </c>
      <c r="AJ78" s="31">
        <v>0.97893649075060307</v>
      </c>
      <c r="AK78" s="39"/>
      <c r="AL78" s="80">
        <v>0.18215075170333361</v>
      </c>
      <c r="AM78" s="80">
        <v>0.12958416382591689</v>
      </c>
      <c r="AN78" s="39"/>
      <c r="AO78" s="32">
        <v>0</v>
      </c>
      <c r="AP78" s="31">
        <v>0</v>
      </c>
      <c r="AQ78" s="10"/>
    </row>
    <row r="79" spans="1:43" ht="8" customHeight="1" x14ac:dyDescent="0.3">
      <c r="B79" s="16"/>
      <c r="D79" s="34"/>
      <c r="E79" s="47"/>
      <c r="F79" s="125"/>
      <c r="G79" s="34"/>
      <c r="H79" s="48"/>
      <c r="I79" s="48"/>
      <c r="J79" s="48"/>
      <c r="K79" s="51"/>
      <c r="L79" s="34"/>
      <c r="M79" s="48"/>
      <c r="N79" s="48"/>
      <c r="O79" s="51"/>
      <c r="P79" s="48"/>
      <c r="Q79" s="47"/>
      <c r="R79" s="34"/>
      <c r="S79" s="51"/>
      <c r="T79" s="51"/>
      <c r="U79" s="34"/>
      <c r="V79" s="48"/>
      <c r="W79" s="52"/>
      <c r="X79" s="48"/>
      <c r="Y79" s="34"/>
      <c r="Z79" s="62"/>
      <c r="AA79" s="47"/>
      <c r="AB79" s="47"/>
      <c r="AC79" s="36"/>
      <c r="AD79" s="48"/>
      <c r="AE79" s="48"/>
      <c r="AF79" s="47"/>
      <c r="AG79" s="36"/>
      <c r="AH79" s="48"/>
      <c r="AI79" s="48"/>
      <c r="AJ79" s="47"/>
      <c r="AK79" s="36"/>
      <c r="AL79" s="49"/>
      <c r="AM79" s="53"/>
      <c r="AN79" s="36"/>
      <c r="AO79" s="52"/>
      <c r="AP79" s="47"/>
    </row>
    <row r="80" spans="1:43" ht="12.75" customHeight="1" x14ac:dyDescent="0.3">
      <c r="A80" s="7" t="s">
        <v>29</v>
      </c>
      <c r="B80" s="211" t="s">
        <v>66</v>
      </c>
      <c r="C80" s="6" t="s">
        <v>8</v>
      </c>
      <c r="D80" s="34"/>
      <c r="E80" s="33">
        <v>570012.00000000035</v>
      </c>
      <c r="F80" s="123">
        <v>2.4783130434782623</v>
      </c>
      <c r="G80" s="7"/>
      <c r="H80" s="35">
        <v>230000</v>
      </c>
      <c r="I80" s="130">
        <v>230000</v>
      </c>
      <c r="J80" s="35">
        <v>269343.27999999031</v>
      </c>
      <c r="K80" s="70">
        <v>1.1710577391303927</v>
      </c>
      <c r="L80" s="36"/>
      <c r="M80" s="35">
        <v>25300</v>
      </c>
      <c r="N80" s="35">
        <v>25300</v>
      </c>
      <c r="O80" s="37">
        <v>12646.619999999999</v>
      </c>
      <c r="P80" s="130">
        <v>28999.250000000065</v>
      </c>
      <c r="Q80" s="70">
        <v>1.1462154150197654</v>
      </c>
      <c r="R80" s="36"/>
      <c r="S80" s="127">
        <v>0.11</v>
      </c>
      <c r="T80" s="127">
        <v>0.10766650647456699</v>
      </c>
      <c r="U80" s="36"/>
      <c r="V80" s="35"/>
      <c r="W80" s="38">
        <v>-3.1712281813787389</v>
      </c>
      <c r="X80" s="69" t="s">
        <v>69</v>
      </c>
      <c r="Y80" s="36"/>
      <c r="Z80" s="62"/>
      <c r="AA80" s="33">
        <v>8846.1538461538457</v>
      </c>
      <c r="AB80" s="33">
        <v>10205.119999999975</v>
      </c>
      <c r="AC80" s="36"/>
      <c r="AD80" s="35">
        <v>973.07692307692309</v>
      </c>
      <c r="AE80" s="35">
        <v>809.82000000000016</v>
      </c>
      <c r="AF80" s="115">
        <v>0.83222608695652189</v>
      </c>
      <c r="AG80" s="36"/>
      <c r="AH80" s="35">
        <v>1115.3557692307718</v>
      </c>
      <c r="AI80" s="35">
        <v>28999.250000000065</v>
      </c>
      <c r="AJ80" s="115">
        <v>1.1462154150197654</v>
      </c>
      <c r="AK80" s="36"/>
      <c r="AL80" s="108">
        <v>0.11</v>
      </c>
      <c r="AM80" s="108">
        <v>7.9354284907967976E-2</v>
      </c>
      <c r="AN80" s="36"/>
      <c r="AO80" s="38">
        <v>-1.0021440218246311</v>
      </c>
      <c r="AP80" s="70">
        <v>0</v>
      </c>
    </row>
    <row r="81" spans="1:43" ht="12.75" customHeight="1" x14ac:dyDescent="0.3">
      <c r="A81" s="7" t="s">
        <v>29</v>
      </c>
      <c r="B81" s="211"/>
      <c r="C81" s="6" t="s">
        <v>9</v>
      </c>
      <c r="D81" s="34"/>
      <c r="E81" s="33">
        <v>461761.41000000032</v>
      </c>
      <c r="F81" s="123">
        <v>1.358121794117648</v>
      </c>
      <c r="G81" s="7"/>
      <c r="H81" s="35">
        <v>340000</v>
      </c>
      <c r="I81" s="130">
        <v>340000</v>
      </c>
      <c r="J81" s="35">
        <v>343909.89999995549</v>
      </c>
      <c r="K81" s="70">
        <v>1.0114997058822219</v>
      </c>
      <c r="L81" s="36"/>
      <c r="M81" s="35">
        <v>50660</v>
      </c>
      <c r="N81" s="35">
        <v>50660</v>
      </c>
      <c r="O81" s="37">
        <v>4999</v>
      </c>
      <c r="P81" s="130">
        <v>44642.820000000516</v>
      </c>
      <c r="Q81" s="70">
        <v>0.88122424003159328</v>
      </c>
      <c r="R81" s="36"/>
      <c r="S81" s="127">
        <v>0.14899999999999999</v>
      </c>
      <c r="T81" s="127">
        <v>0.1298096390944439</v>
      </c>
      <c r="U81" s="36"/>
      <c r="V81" s="35"/>
      <c r="W81" s="38">
        <v>1.6604756071175162</v>
      </c>
      <c r="X81" s="69" t="s">
        <v>69</v>
      </c>
      <c r="Y81" s="36"/>
      <c r="Z81" s="62"/>
      <c r="AA81" s="33">
        <v>10967.741935483871</v>
      </c>
      <c r="AB81" s="33">
        <v>10280.579999999929</v>
      </c>
      <c r="AC81" s="36"/>
      <c r="AD81" s="35">
        <v>1634.1935483870968</v>
      </c>
      <c r="AE81" s="35">
        <v>1484.29</v>
      </c>
      <c r="AF81" s="115">
        <v>0.90827062771417288</v>
      </c>
      <c r="AG81" s="36"/>
      <c r="AH81" s="35">
        <v>1440.0909677419522</v>
      </c>
      <c r="AI81" s="35">
        <v>44642.820000000516</v>
      </c>
      <c r="AJ81" s="115">
        <v>0.88122424003159328</v>
      </c>
      <c r="AK81" s="36"/>
      <c r="AL81" s="108">
        <v>0.14899999999999999</v>
      </c>
      <c r="AM81" s="108">
        <v>0.14437804092765294</v>
      </c>
      <c r="AN81" s="36"/>
      <c r="AO81" s="38">
        <v>4.7343632363147794</v>
      </c>
      <c r="AP81" s="70">
        <v>0</v>
      </c>
    </row>
    <row r="82" spans="1:43" ht="12.75" customHeight="1" x14ac:dyDescent="0.3">
      <c r="A82" s="7" t="s">
        <v>29</v>
      </c>
      <c r="B82" s="211"/>
      <c r="C82" s="6" t="s">
        <v>10</v>
      </c>
      <c r="D82" s="34"/>
      <c r="E82" s="33">
        <v>830524.8599999994</v>
      </c>
      <c r="F82" s="123">
        <v>1.9314531627906963</v>
      </c>
      <c r="G82" s="7"/>
      <c r="H82" s="35">
        <v>430000</v>
      </c>
      <c r="I82" s="130">
        <v>430000</v>
      </c>
      <c r="J82" s="35">
        <v>446639.35999994475</v>
      </c>
      <c r="K82" s="70">
        <v>1.038696186046383</v>
      </c>
      <c r="L82" s="36"/>
      <c r="M82" s="35">
        <v>59770.000000000007</v>
      </c>
      <c r="N82" s="35">
        <v>59770.000000000007</v>
      </c>
      <c r="O82" s="37">
        <v>5664.0999999999995</v>
      </c>
      <c r="P82" s="130">
        <v>50472.640000000807</v>
      </c>
      <c r="Q82" s="70">
        <v>0.84444771624562154</v>
      </c>
      <c r="R82" s="36"/>
      <c r="S82" s="127">
        <v>0.13900000000000001</v>
      </c>
      <c r="T82" s="127">
        <v>0.11300535626776613</v>
      </c>
      <c r="U82" s="36"/>
      <c r="V82" s="35"/>
      <c r="W82" s="38">
        <v>0.25273858531949439</v>
      </c>
      <c r="X82" s="69" t="s">
        <v>69</v>
      </c>
      <c r="Y82" s="36"/>
      <c r="Z82" s="62"/>
      <c r="AA82" s="33">
        <v>13870.967741935483</v>
      </c>
      <c r="AB82" s="33">
        <v>21028.489999999914</v>
      </c>
      <c r="AC82" s="36"/>
      <c r="AD82" s="35">
        <v>1928.0645161290324</v>
      </c>
      <c r="AE82" s="35">
        <v>1204.0000000000032</v>
      </c>
      <c r="AF82" s="115">
        <v>0.62446043165467791</v>
      </c>
      <c r="AG82" s="36"/>
      <c r="AH82" s="35">
        <v>1628.1496774193809</v>
      </c>
      <c r="AI82" s="35">
        <v>50472.640000000807</v>
      </c>
      <c r="AJ82" s="115">
        <v>0.84444771624562154</v>
      </c>
      <c r="AK82" s="36"/>
      <c r="AL82" s="108">
        <v>0.13900000000000001</v>
      </c>
      <c r="AM82" s="108">
        <v>5.7255656492691966E-2</v>
      </c>
      <c r="AN82" s="36"/>
      <c r="AO82" s="38">
        <v>-3.4825134852767969</v>
      </c>
      <c r="AP82" s="70">
        <v>0</v>
      </c>
    </row>
    <row r="83" spans="1:43" ht="12.75" customHeight="1" x14ac:dyDescent="0.3">
      <c r="A83" s="7" t="s">
        <v>29</v>
      </c>
      <c r="B83" s="211"/>
      <c r="C83" s="6" t="s">
        <v>12</v>
      </c>
      <c r="D83" s="34"/>
      <c r="E83" s="33">
        <v>20079.170000000006</v>
      </c>
      <c r="F83" s="123">
        <v>1.6732641666666672</v>
      </c>
      <c r="G83" s="7"/>
      <c r="H83" s="35">
        <v>12000</v>
      </c>
      <c r="I83" s="130">
        <v>12000</v>
      </c>
      <c r="J83" s="35">
        <v>6924.0099999999647</v>
      </c>
      <c r="K83" s="70">
        <v>0.57700083333333041</v>
      </c>
      <c r="L83" s="36"/>
      <c r="M83" s="35">
        <v>1872</v>
      </c>
      <c r="N83" s="35">
        <v>1872</v>
      </c>
      <c r="O83" s="37">
        <v>3608.01</v>
      </c>
      <c r="P83" s="130">
        <v>4843.3899999999994</v>
      </c>
      <c r="Q83" s="70">
        <v>2.5872809829059826</v>
      </c>
      <c r="R83" s="36"/>
      <c r="S83" s="127">
        <v>0.156</v>
      </c>
      <c r="T83" s="127">
        <v>0.69950649984619084</v>
      </c>
      <c r="U83" s="36"/>
      <c r="V83" s="35"/>
      <c r="W83" s="38">
        <v>9.0912635885846882</v>
      </c>
      <c r="X83" s="69" t="s">
        <v>69</v>
      </c>
      <c r="Y83" s="36"/>
      <c r="Z83" s="62"/>
      <c r="AA83" s="33">
        <v>461.53846153846155</v>
      </c>
      <c r="AB83" s="33">
        <v>147.32000000000002</v>
      </c>
      <c r="AC83" s="36"/>
      <c r="AD83" s="35">
        <v>72</v>
      </c>
      <c r="AE83" s="35">
        <v>33.300000000000011</v>
      </c>
      <c r="AF83" s="115">
        <v>0.46250000000000013</v>
      </c>
      <c r="AG83" s="36"/>
      <c r="AH83" s="35">
        <v>186.28423076923076</v>
      </c>
      <c r="AI83" s="35">
        <v>4843.3899999999994</v>
      </c>
      <c r="AJ83" s="115">
        <v>2.5872809829059826</v>
      </c>
      <c r="AK83" s="36"/>
      <c r="AL83" s="108">
        <v>0.156</v>
      </c>
      <c r="AM83" s="108">
        <v>0.22603855552538696</v>
      </c>
      <c r="AN83" s="36"/>
      <c r="AO83" s="38">
        <v>11.851751289709499</v>
      </c>
      <c r="AP83" s="70">
        <v>0</v>
      </c>
    </row>
    <row r="84" spans="1:43" s="15" customFormat="1" ht="14.25" customHeight="1" x14ac:dyDescent="0.3">
      <c r="A84" s="26"/>
      <c r="B84" s="211"/>
      <c r="C84" s="9" t="s">
        <v>81</v>
      </c>
      <c r="D84" s="28"/>
      <c r="E84" s="27">
        <v>1882377.44</v>
      </c>
      <c r="F84" s="124">
        <v>1.8600567588932806</v>
      </c>
      <c r="G84" s="26"/>
      <c r="H84" s="29">
        <v>1012000</v>
      </c>
      <c r="I84" s="29">
        <v>1012000</v>
      </c>
      <c r="J84" s="29">
        <v>1066816.5499998906</v>
      </c>
      <c r="K84" s="31">
        <v>1.0541665513832912</v>
      </c>
      <c r="L84" s="39"/>
      <c r="M84" s="29">
        <v>137602</v>
      </c>
      <c r="N84" s="29">
        <v>137602</v>
      </c>
      <c r="O84" s="27">
        <v>26917.729999999996</v>
      </c>
      <c r="P84" s="29">
        <v>128958.10000000139</v>
      </c>
      <c r="Q84" s="31">
        <v>0.93718187235651651</v>
      </c>
      <c r="R84" s="39"/>
      <c r="S84" s="128">
        <v>0.13597035573122529</v>
      </c>
      <c r="T84" s="128">
        <v>0.12088123304800119</v>
      </c>
      <c r="U84" s="39"/>
      <c r="V84" s="29"/>
      <c r="W84" s="32">
        <v>-0.10054587174376693</v>
      </c>
      <c r="X84" s="30" t="s">
        <v>69</v>
      </c>
      <c r="Y84" s="39"/>
      <c r="Z84" s="62"/>
      <c r="AA84" s="27">
        <v>34146.401985111661</v>
      </c>
      <c r="AB84" s="27">
        <v>41661.509999999813</v>
      </c>
      <c r="AC84" s="39"/>
      <c r="AD84" s="29">
        <v>4607.3349875930526</v>
      </c>
      <c r="AE84" s="29">
        <v>3531.4100000000035</v>
      </c>
      <c r="AF84" s="31">
        <v>0.76647563277027309</v>
      </c>
      <c r="AG84" s="39"/>
      <c r="AH84" s="29">
        <v>4369.8806451613355</v>
      </c>
      <c r="AI84" s="29">
        <v>128958.10000000139</v>
      </c>
      <c r="AJ84" s="31">
        <v>0.93718187235651651</v>
      </c>
      <c r="AK84" s="39"/>
      <c r="AL84" s="80">
        <v>0.13597035573122529</v>
      </c>
      <c r="AM84" s="80">
        <v>8.4764330433534915E-2</v>
      </c>
      <c r="AN84" s="39"/>
      <c r="AO84" s="32">
        <v>0</v>
      </c>
      <c r="AP84" s="31">
        <v>0</v>
      </c>
      <c r="AQ84" s="10"/>
    </row>
    <row r="85" spans="1:43" x14ac:dyDescent="0.3">
      <c r="B85" s="16"/>
      <c r="D85" s="34"/>
      <c r="E85" s="47"/>
      <c r="F85" s="125"/>
      <c r="G85" s="34"/>
      <c r="H85" s="48"/>
      <c r="I85" s="48"/>
      <c r="J85" s="48"/>
      <c r="K85" s="51"/>
      <c r="L85" s="34"/>
      <c r="M85" s="48"/>
      <c r="N85" s="48"/>
      <c r="O85" s="51"/>
      <c r="P85" s="48"/>
      <c r="Q85" s="47"/>
      <c r="R85" s="34"/>
      <c r="S85" s="51"/>
      <c r="T85" s="51"/>
      <c r="U85" s="34"/>
      <c r="V85" s="48"/>
      <c r="W85" s="52"/>
      <c r="X85" s="48"/>
      <c r="Y85" s="34"/>
      <c r="Z85" s="62"/>
      <c r="AA85" s="47"/>
      <c r="AB85" s="47"/>
      <c r="AC85" s="36"/>
      <c r="AD85" s="48"/>
      <c r="AE85" s="48"/>
      <c r="AF85" s="47"/>
      <c r="AG85" s="36"/>
      <c r="AH85" s="48"/>
      <c r="AI85" s="48"/>
      <c r="AJ85" s="47"/>
      <c r="AK85" s="36"/>
      <c r="AL85" s="49"/>
      <c r="AM85" s="53"/>
      <c r="AN85" s="36"/>
      <c r="AO85" s="52"/>
      <c r="AP85" s="47"/>
    </row>
    <row r="86" spans="1:43" x14ac:dyDescent="0.3">
      <c r="A86" s="64" t="s">
        <v>59</v>
      </c>
      <c r="B86" s="211" t="s">
        <v>73</v>
      </c>
      <c r="C86" s="6" t="s">
        <v>8</v>
      </c>
      <c r="D86" s="34"/>
      <c r="E86" s="33">
        <v>479007.32999999996</v>
      </c>
      <c r="F86" s="123">
        <v>2.1773060454545452</v>
      </c>
      <c r="G86" s="7"/>
      <c r="H86" s="35">
        <v>220000</v>
      </c>
      <c r="I86" s="35">
        <v>220000</v>
      </c>
      <c r="J86" s="35">
        <v>225059.94999999835</v>
      </c>
      <c r="K86" s="70">
        <v>1.0229997727272653</v>
      </c>
      <c r="L86" s="36"/>
      <c r="M86" s="35">
        <v>28600</v>
      </c>
      <c r="N86" s="35">
        <v>28600</v>
      </c>
      <c r="O86" s="37">
        <v>1716.4</v>
      </c>
      <c r="P86" s="35">
        <v>26065.753099999776</v>
      </c>
      <c r="Q86" s="115">
        <v>0.9113899685314607</v>
      </c>
      <c r="R86" s="36"/>
      <c r="S86" s="127">
        <v>0.13</v>
      </c>
      <c r="T86" s="127">
        <v>0.11581693277724432</v>
      </c>
      <c r="U86" s="36"/>
      <c r="V86" s="35"/>
      <c r="W86" s="38">
        <v>2.3365210469471656</v>
      </c>
      <c r="X86" s="69" t="s">
        <v>69</v>
      </c>
      <c r="Y86" s="36"/>
      <c r="Z86" s="62"/>
      <c r="AA86" s="33">
        <v>8461.538461538461</v>
      </c>
      <c r="AB86" s="33">
        <v>10656.68999999997</v>
      </c>
      <c r="AC86" s="36"/>
      <c r="AD86" s="35">
        <v>1100</v>
      </c>
      <c r="AE86" s="35">
        <v>1749.4400000000003</v>
      </c>
      <c r="AF86" s="115">
        <v>1.5904000000000003</v>
      </c>
      <c r="AG86" s="36"/>
      <c r="AH86" s="35">
        <v>1002.5289653846067</v>
      </c>
      <c r="AI86" s="35">
        <v>26065.753099999776</v>
      </c>
      <c r="AJ86" s="115">
        <v>0.9113899685314607</v>
      </c>
      <c r="AK86" s="36"/>
      <c r="AL86" s="108">
        <v>0.13</v>
      </c>
      <c r="AM86" s="108">
        <v>0.16416354421494903</v>
      </c>
      <c r="AN86" s="36"/>
      <c r="AO86" s="38">
        <v>7.6465581714394641</v>
      </c>
      <c r="AP86" s="70">
        <v>0</v>
      </c>
    </row>
    <row r="87" spans="1:43" x14ac:dyDescent="0.3">
      <c r="A87" s="64" t="s">
        <v>59</v>
      </c>
      <c r="B87" s="211"/>
      <c r="C87" s="6" t="s">
        <v>9</v>
      </c>
      <c r="D87" s="34"/>
      <c r="E87" s="33">
        <v>588227.89999999944</v>
      </c>
      <c r="F87" s="123">
        <v>1.7050084057970998</v>
      </c>
      <c r="G87" s="7"/>
      <c r="H87" s="35">
        <v>345000</v>
      </c>
      <c r="I87" s="35">
        <v>345000</v>
      </c>
      <c r="J87" s="35">
        <v>353356.8399999683</v>
      </c>
      <c r="K87" s="70">
        <v>1.0242227246375892</v>
      </c>
      <c r="L87" s="36"/>
      <c r="M87" s="35">
        <v>55890</v>
      </c>
      <c r="N87" s="35">
        <v>55890</v>
      </c>
      <c r="O87" s="37">
        <v>4194.1899999999996</v>
      </c>
      <c r="P87" s="35">
        <v>54866.279999999897</v>
      </c>
      <c r="Q87" s="115">
        <v>0.98168330649489888</v>
      </c>
      <c r="R87" s="36"/>
      <c r="S87" s="127">
        <v>0.16200000000000001</v>
      </c>
      <c r="T87" s="127">
        <v>0.15527159457279735</v>
      </c>
      <c r="U87" s="36"/>
      <c r="V87" s="35"/>
      <c r="W87" s="38">
        <v>5.719807206780338</v>
      </c>
      <c r="X87" s="69" t="s">
        <v>69</v>
      </c>
      <c r="Y87" s="36"/>
      <c r="Z87" s="62"/>
      <c r="AA87" s="33">
        <v>11129.032258064517</v>
      </c>
      <c r="AB87" s="33">
        <v>13661.929999999942</v>
      </c>
      <c r="AC87" s="36"/>
      <c r="AD87" s="35">
        <v>1802.9032258064517</v>
      </c>
      <c r="AE87" s="35">
        <v>2097.1900000000014</v>
      </c>
      <c r="AF87" s="115">
        <v>1.1632293791375925</v>
      </c>
      <c r="AG87" s="36"/>
      <c r="AH87" s="35">
        <v>1769.8799999999967</v>
      </c>
      <c r="AI87" s="35">
        <v>54866.279999999897</v>
      </c>
      <c r="AJ87" s="115">
        <v>0.98168330649489888</v>
      </c>
      <c r="AK87" s="36"/>
      <c r="AL87" s="108">
        <v>0.16200000000000001</v>
      </c>
      <c r="AM87" s="108">
        <v>0.15350612980742914</v>
      </c>
      <c r="AN87" s="36"/>
      <c r="AO87" s="38">
        <v>6.7413608472590774</v>
      </c>
      <c r="AP87" s="70">
        <v>0</v>
      </c>
    </row>
    <row r="88" spans="1:43" x14ac:dyDescent="0.3">
      <c r="A88" s="64" t="s">
        <v>59</v>
      </c>
      <c r="B88" s="211"/>
      <c r="C88" s="6" t="s">
        <v>10</v>
      </c>
      <c r="D88" s="34"/>
      <c r="E88" s="33">
        <v>965749.10999999894</v>
      </c>
      <c r="F88" s="123">
        <v>1.8221681320754697</v>
      </c>
      <c r="G88" s="7"/>
      <c r="H88" s="35">
        <v>530000</v>
      </c>
      <c r="I88" s="35">
        <v>530000</v>
      </c>
      <c r="J88" s="35">
        <v>487771.88999994384</v>
      </c>
      <c r="K88" s="70">
        <v>0.92032432075461101</v>
      </c>
      <c r="L88" s="36"/>
      <c r="M88" s="35">
        <v>80560</v>
      </c>
      <c r="N88" s="35">
        <v>80560</v>
      </c>
      <c r="O88" s="37">
        <v>5560.9</v>
      </c>
      <c r="P88" s="35">
        <v>70808.498749999446</v>
      </c>
      <c r="Q88" s="115">
        <v>0.87895355945878162</v>
      </c>
      <c r="R88" s="36"/>
      <c r="S88" s="127">
        <v>0.152</v>
      </c>
      <c r="T88" s="127">
        <v>0.14516723944466664</v>
      </c>
      <c r="U88" s="36"/>
      <c r="V88" s="35"/>
      <c r="W88" s="38">
        <v>4.8345300812531367</v>
      </c>
      <c r="X88" s="69" t="s">
        <v>69</v>
      </c>
      <c r="Y88" s="36"/>
      <c r="Z88" s="62"/>
      <c r="AA88" s="33">
        <v>17096.774193548386</v>
      </c>
      <c r="AB88" s="33">
        <v>14669.089999999936</v>
      </c>
      <c r="AC88" s="36"/>
      <c r="AD88" s="35">
        <v>2598.7096774193546</v>
      </c>
      <c r="AE88" s="35">
        <v>1673.0389499999983</v>
      </c>
      <c r="AF88" s="115">
        <v>0.64379602097815236</v>
      </c>
      <c r="AG88" s="36"/>
      <c r="AH88" s="35">
        <v>2284.1451209677239</v>
      </c>
      <c r="AI88" s="35">
        <v>70808.498749999446</v>
      </c>
      <c r="AJ88" s="115">
        <v>0.87895355945878162</v>
      </c>
      <c r="AK88" s="36"/>
      <c r="AL88" s="108">
        <v>0.152</v>
      </c>
      <c r="AM88" s="108">
        <v>0.11405199300024783</v>
      </c>
      <c r="AN88" s="36"/>
      <c r="AO88" s="38">
        <v>2.8587250470203518</v>
      </c>
      <c r="AP88" s="70">
        <v>0</v>
      </c>
    </row>
    <row r="89" spans="1:43" x14ac:dyDescent="0.3">
      <c r="A89" s="64" t="s">
        <v>59</v>
      </c>
      <c r="B89" s="211"/>
      <c r="C89" s="6" t="s">
        <v>12</v>
      </c>
      <c r="D89" s="34"/>
      <c r="E89" s="33">
        <v>16059.310000000009</v>
      </c>
      <c r="F89" s="123">
        <v>2.2941871428571439</v>
      </c>
      <c r="G89" s="7"/>
      <c r="H89" s="35">
        <v>7000</v>
      </c>
      <c r="I89" s="35">
        <v>7000</v>
      </c>
      <c r="J89" s="35">
        <v>7205.9699999999548</v>
      </c>
      <c r="K89" s="70">
        <v>1.0294242857142792</v>
      </c>
      <c r="L89" s="36"/>
      <c r="M89" s="35">
        <v>1680</v>
      </c>
      <c r="N89" s="35">
        <v>1680</v>
      </c>
      <c r="O89" s="37">
        <v>1483.9399999999998</v>
      </c>
      <c r="P89" s="35">
        <v>2914.0599999999995</v>
      </c>
      <c r="Q89" s="115">
        <v>1.7345595238095235</v>
      </c>
      <c r="R89" s="36"/>
      <c r="S89" s="127">
        <v>0.24</v>
      </c>
      <c r="T89" s="127">
        <v>0.40439524449866121</v>
      </c>
      <c r="U89" s="36"/>
      <c r="V89" s="35"/>
      <c r="W89" s="38">
        <v>13.91027162200173</v>
      </c>
      <c r="X89" s="69" t="s">
        <v>69</v>
      </c>
      <c r="Y89" s="36"/>
      <c r="Z89" s="62"/>
      <c r="AA89" s="33">
        <v>269.23076923076923</v>
      </c>
      <c r="AB89" s="33">
        <v>98.83</v>
      </c>
      <c r="AC89" s="36"/>
      <c r="AD89" s="35">
        <v>64.615384615384613</v>
      </c>
      <c r="AE89" s="35">
        <v>33.280000000000008</v>
      </c>
      <c r="AF89" s="115">
        <v>0.5150476190476192</v>
      </c>
      <c r="AG89" s="36"/>
      <c r="AH89" s="35">
        <v>112.07923076923075</v>
      </c>
      <c r="AI89" s="35">
        <v>2914.0599999999995</v>
      </c>
      <c r="AJ89" s="115">
        <v>1.7345595238095235</v>
      </c>
      <c r="AK89" s="36"/>
      <c r="AL89" s="108">
        <v>0.24</v>
      </c>
      <c r="AM89" s="108">
        <v>0.33673985631893161</v>
      </c>
      <c r="AN89" s="36"/>
      <c r="AO89" s="38">
        <v>24.152585247394519</v>
      </c>
      <c r="AP89" s="70">
        <v>0</v>
      </c>
    </row>
    <row r="90" spans="1:43" s="15" customFormat="1" x14ac:dyDescent="0.3">
      <c r="A90" s="26"/>
      <c r="B90" s="211"/>
      <c r="C90" s="9" t="s">
        <v>74</v>
      </c>
      <c r="D90" s="28"/>
      <c r="E90" s="27">
        <v>2049043.6499999985</v>
      </c>
      <c r="F90" s="124">
        <v>1.8593862522686011</v>
      </c>
      <c r="G90" s="26"/>
      <c r="H90" s="29">
        <v>1102000</v>
      </c>
      <c r="I90" s="29">
        <v>1102000</v>
      </c>
      <c r="J90" s="29">
        <v>1073394.6499999105</v>
      </c>
      <c r="K90" s="31">
        <v>0.9740423321233308</v>
      </c>
      <c r="L90" s="39"/>
      <c r="M90" s="29">
        <v>166730</v>
      </c>
      <c r="N90" s="29">
        <v>166730</v>
      </c>
      <c r="O90" s="27">
        <v>12955.43</v>
      </c>
      <c r="P90" s="29">
        <v>154654.59184999912</v>
      </c>
      <c r="Q90" s="31">
        <v>0.92757507257241723</v>
      </c>
      <c r="R90" s="39"/>
      <c r="S90" s="128">
        <v>0.15129764065335752</v>
      </c>
      <c r="T90" s="128">
        <v>0.1440798981530344</v>
      </c>
      <c r="U90" s="39"/>
      <c r="V90" s="29"/>
      <c r="W90" s="32">
        <v>4.6631266375248428</v>
      </c>
      <c r="X90" s="30" t="s">
        <v>69</v>
      </c>
      <c r="Y90" s="39"/>
      <c r="Z90" s="62"/>
      <c r="AA90" s="27">
        <v>36956.575682382128</v>
      </c>
      <c r="AB90" s="27">
        <v>39086.539999999848</v>
      </c>
      <c r="AC90" s="39"/>
      <c r="AD90" s="29">
        <v>5566.2282878411916</v>
      </c>
      <c r="AE90" s="29">
        <v>5552.94895</v>
      </c>
      <c r="AF90" s="31">
        <v>0.99761430233283843</v>
      </c>
      <c r="AG90" s="39"/>
      <c r="AH90" s="29">
        <v>5168.6333171215583</v>
      </c>
      <c r="AI90" s="29">
        <v>154654.59184999912</v>
      </c>
      <c r="AJ90" s="31">
        <v>0.92757507257241723</v>
      </c>
      <c r="AK90" s="39"/>
      <c r="AL90" s="80">
        <v>0.15129764065335752</v>
      </c>
      <c r="AM90" s="80">
        <v>0.14206806102561192</v>
      </c>
      <c r="AN90" s="39"/>
      <c r="AO90" s="32">
        <v>0</v>
      </c>
      <c r="AP90" s="31">
        <v>0</v>
      </c>
      <c r="AQ90" s="10"/>
    </row>
    <row r="91" spans="1:43" x14ac:dyDescent="0.3">
      <c r="B91" s="16"/>
      <c r="D91" s="34"/>
      <c r="E91" s="47"/>
      <c r="F91" s="125"/>
      <c r="G91" s="34"/>
      <c r="H91" s="48"/>
      <c r="I91" s="48"/>
      <c r="J91" s="48"/>
      <c r="K91" s="51"/>
      <c r="L91" s="34"/>
      <c r="M91" s="48"/>
      <c r="N91" s="48"/>
      <c r="O91" s="51"/>
      <c r="P91" s="48"/>
      <c r="Q91" s="47"/>
      <c r="R91" s="34"/>
      <c r="S91" s="51"/>
      <c r="T91" s="51"/>
      <c r="U91" s="34"/>
      <c r="V91" s="50"/>
      <c r="W91" s="52"/>
      <c r="X91" s="48"/>
      <c r="Y91" s="34"/>
      <c r="Z91" s="62"/>
      <c r="AA91" s="47"/>
      <c r="AB91" s="47"/>
      <c r="AC91" s="36"/>
      <c r="AD91" s="48"/>
      <c r="AE91" s="48"/>
      <c r="AF91" s="47"/>
      <c r="AG91" s="36"/>
      <c r="AH91" s="48"/>
      <c r="AI91" s="48"/>
      <c r="AJ91" s="47"/>
      <c r="AK91" s="36"/>
      <c r="AL91" s="49"/>
      <c r="AM91" s="53"/>
      <c r="AN91" s="36"/>
      <c r="AO91" s="52"/>
      <c r="AP91" s="47"/>
    </row>
    <row r="92" spans="1:43" x14ac:dyDescent="0.3">
      <c r="B92" s="233" t="s">
        <v>32</v>
      </c>
      <c r="C92" s="94" t="s">
        <v>8</v>
      </c>
      <c r="D92" s="34"/>
      <c r="E92" s="93">
        <v>4311873.3400000008</v>
      </c>
      <c r="F92" s="126">
        <v>0.81279422054665429</v>
      </c>
      <c r="G92" s="34"/>
      <c r="H92" s="93">
        <v>5305000</v>
      </c>
      <c r="I92" s="93">
        <v>5305000</v>
      </c>
      <c r="J92" s="93">
        <v>5593698.3199999472</v>
      </c>
      <c r="K92" s="112">
        <v>1.0544200414703011</v>
      </c>
      <c r="L92" s="36"/>
      <c r="M92" s="93">
        <v>530312.894377677</v>
      </c>
      <c r="N92" s="93">
        <v>530312.894377677</v>
      </c>
      <c r="O92" s="93">
        <v>17143.47</v>
      </c>
      <c r="P92" s="93">
        <v>566220.54012999998</v>
      </c>
      <c r="Q92" s="112">
        <v>1.0677103010939619</v>
      </c>
      <c r="R92" s="96"/>
      <c r="S92" s="129">
        <v>9.9964730325669562E-2</v>
      </c>
      <c r="T92" s="129">
        <v>0.10122471891369453</v>
      </c>
      <c r="U92" s="98"/>
      <c r="V92" s="99">
        <v>0</v>
      </c>
      <c r="W92" s="103">
        <v>-4.5645114424057436</v>
      </c>
      <c r="X92" s="100" t="s">
        <v>69</v>
      </c>
      <c r="Y92" s="98"/>
      <c r="Z92" s="101"/>
      <c r="AA92" s="93">
        <v>204038.46153846156</v>
      </c>
      <c r="AB92" s="93">
        <v>223870.82999999987</v>
      </c>
      <c r="AC92" s="98"/>
      <c r="AD92" s="93">
        <v>20396.649783756809</v>
      </c>
      <c r="AE92" s="93">
        <v>23925.867109999996</v>
      </c>
      <c r="AF92" s="112">
        <v>1.173029265279327</v>
      </c>
      <c r="AG92" s="98"/>
      <c r="AH92" s="93">
        <v>21777.713081923081</v>
      </c>
      <c r="AI92" s="93">
        <v>566220.54012999998</v>
      </c>
      <c r="AJ92" s="112">
        <v>1.0677103010939619</v>
      </c>
      <c r="AK92" s="98"/>
      <c r="AL92" s="102">
        <v>9.9964730325669562E-2</v>
      </c>
      <c r="AM92" s="97">
        <v>0.10687353555619555</v>
      </c>
      <c r="AN92" s="98"/>
      <c r="AO92" s="103">
        <v>-5.60207548701195</v>
      </c>
      <c r="AP92" s="95">
        <v>0</v>
      </c>
    </row>
    <row r="93" spans="1:43" ht="12.75" customHeight="1" x14ac:dyDescent="0.3">
      <c r="B93" s="233"/>
      <c r="C93" s="94" t="s">
        <v>9</v>
      </c>
      <c r="D93" s="34"/>
      <c r="E93" s="93">
        <v>5251694.4800000004</v>
      </c>
      <c r="F93" s="126">
        <v>0.98475426214138395</v>
      </c>
      <c r="G93" s="34"/>
      <c r="H93" s="93">
        <v>5333000</v>
      </c>
      <c r="I93" s="93">
        <v>5333000</v>
      </c>
      <c r="J93" s="93">
        <v>5166883.2899996433</v>
      </c>
      <c r="K93" s="112">
        <v>0.96885117007306265</v>
      </c>
      <c r="L93" s="36"/>
      <c r="M93" s="93">
        <v>817629.02353412041</v>
      </c>
      <c r="N93" s="93">
        <v>817629.02353412041</v>
      </c>
      <c r="O93" s="93">
        <v>16527.36</v>
      </c>
      <c r="P93" s="93">
        <v>785405.07584000414</v>
      </c>
      <c r="Q93" s="112">
        <v>0.96058854716918995</v>
      </c>
      <c r="R93" s="96"/>
      <c r="S93" s="129">
        <v>0.15331502410165393</v>
      </c>
      <c r="T93" s="129">
        <v>0.15200751241277957</v>
      </c>
      <c r="U93" s="98"/>
      <c r="V93" s="99">
        <v>0</v>
      </c>
      <c r="W93" s="103">
        <v>2.8258076996287222</v>
      </c>
      <c r="X93" s="100" t="s">
        <v>69</v>
      </c>
      <c r="Y93" s="98"/>
      <c r="Z93" s="101"/>
      <c r="AA93" s="93">
        <v>172032.25806451609</v>
      </c>
      <c r="AB93" s="93">
        <v>163155.12999999954</v>
      </c>
      <c r="AC93" s="98"/>
      <c r="AD93" s="93">
        <v>26375.129791423242</v>
      </c>
      <c r="AE93" s="93">
        <v>23824.94947</v>
      </c>
      <c r="AF93" s="112">
        <v>0.90331117451969778</v>
      </c>
      <c r="AG93" s="98"/>
      <c r="AH93" s="93">
        <v>25335.647607742063</v>
      </c>
      <c r="AI93" s="93">
        <v>785405.07584000414</v>
      </c>
      <c r="AJ93" s="112">
        <v>0.96058854716918995</v>
      </c>
      <c r="AK93" s="98"/>
      <c r="AL93" s="102">
        <v>0.15331502410165393</v>
      </c>
      <c r="AM93" s="97">
        <v>0.14602635828858135</v>
      </c>
      <c r="AN93" s="98"/>
      <c r="AO93" s="103">
        <v>2.8584142404836159</v>
      </c>
      <c r="AP93" s="95">
        <v>0</v>
      </c>
    </row>
    <row r="94" spans="1:43" ht="12.75" customHeight="1" x14ac:dyDescent="0.3">
      <c r="B94" s="233"/>
      <c r="C94" s="94" t="s">
        <v>10</v>
      </c>
      <c r="D94" s="34"/>
      <c r="E94" s="93">
        <v>8171777.8099999996</v>
      </c>
      <c r="F94" s="126">
        <v>0.99316696767136603</v>
      </c>
      <c r="G94" s="34"/>
      <c r="H94" s="93">
        <v>8228000</v>
      </c>
      <c r="I94" s="93">
        <v>8228000</v>
      </c>
      <c r="J94" s="93">
        <v>8091006.3099993328</v>
      </c>
      <c r="K94" s="112">
        <v>0.98335030505582555</v>
      </c>
      <c r="L94" s="36"/>
      <c r="M94" s="93">
        <v>1301569.1825819584</v>
      </c>
      <c r="N94" s="93">
        <v>1301569.1825819584</v>
      </c>
      <c r="O94" s="93">
        <v>43118.140000000007</v>
      </c>
      <c r="P94" s="93">
        <v>1256348.9796800008</v>
      </c>
      <c r="Q94" s="112">
        <v>0.96525716534540795</v>
      </c>
      <c r="R94" s="96"/>
      <c r="S94" s="129">
        <v>0.15818779564681068</v>
      </c>
      <c r="T94" s="129">
        <v>0.1552772215895237</v>
      </c>
      <c r="U94" s="98"/>
      <c r="V94" s="99">
        <v>0</v>
      </c>
      <c r="W94" s="103">
        <v>2.5047399781271564</v>
      </c>
      <c r="X94" s="100" t="s">
        <v>69</v>
      </c>
      <c r="Y94" s="98"/>
      <c r="Z94" s="101"/>
      <c r="AA94" s="93">
        <v>265419.35483870964</v>
      </c>
      <c r="AB94" s="93">
        <v>222227.82999999978</v>
      </c>
      <c r="AC94" s="98"/>
      <c r="AD94" s="93">
        <v>41986.102663934129</v>
      </c>
      <c r="AE94" s="93">
        <v>33219.874579999989</v>
      </c>
      <c r="AF94" s="112">
        <v>0.79121119780750004</v>
      </c>
      <c r="AG94" s="98"/>
      <c r="AH94" s="93">
        <v>40527.386441290364</v>
      </c>
      <c r="AI94" s="93">
        <v>1256348.9796800008</v>
      </c>
      <c r="AJ94" s="112">
        <v>0.96525716534540795</v>
      </c>
      <c r="AK94" s="98"/>
      <c r="AL94" s="102">
        <v>0.15818779564681068</v>
      </c>
      <c r="AM94" s="97">
        <v>0.14948566333928573</v>
      </c>
      <c r="AN94" s="98"/>
      <c r="AO94" s="103">
        <v>3.3119004851912126</v>
      </c>
      <c r="AP94" s="95">
        <v>0</v>
      </c>
    </row>
    <row r="95" spans="1:43" ht="12.75" customHeight="1" x14ac:dyDescent="0.3">
      <c r="B95" s="233"/>
      <c r="C95" s="94" t="s">
        <v>12</v>
      </c>
      <c r="D95" s="34"/>
      <c r="E95" s="93">
        <v>614637.56999999995</v>
      </c>
      <c r="F95" s="126">
        <v>0.18625380909090908</v>
      </c>
      <c r="G95" s="34"/>
      <c r="H95" s="93">
        <v>3300000</v>
      </c>
      <c r="I95" s="93">
        <v>3300000</v>
      </c>
      <c r="J95" s="93">
        <v>3684344.7199999942</v>
      </c>
      <c r="K95" s="112">
        <v>1.1164680969696952</v>
      </c>
      <c r="L95" s="36"/>
      <c r="M95" s="93">
        <v>555198.5430327655</v>
      </c>
      <c r="N95" s="93">
        <v>555198.5430327655</v>
      </c>
      <c r="O95" s="93">
        <v>278087.67</v>
      </c>
      <c r="P95" s="93">
        <v>703079.61999999988</v>
      </c>
      <c r="Q95" s="112">
        <v>1.2663571056210554</v>
      </c>
      <c r="R95" s="96"/>
      <c r="S95" s="129">
        <v>0.16824198273720167</v>
      </c>
      <c r="T95" s="129">
        <v>0.19082894610361026</v>
      </c>
      <c r="U95" s="98"/>
      <c r="V95" s="99">
        <v>0</v>
      </c>
      <c r="W95" s="103">
        <v>-4.5079972864212543</v>
      </c>
      <c r="X95" s="100" t="s">
        <v>69</v>
      </c>
      <c r="Y95" s="98"/>
      <c r="Z95" s="101"/>
      <c r="AA95" s="93">
        <v>126923.07692307692</v>
      </c>
      <c r="AB95" s="93">
        <v>384019.30000000005</v>
      </c>
      <c r="AC95" s="98"/>
      <c r="AD95" s="93">
        <v>21353.790116644828</v>
      </c>
      <c r="AE95" s="93">
        <v>60907.600000000013</v>
      </c>
      <c r="AF95" s="112">
        <v>2.8523086378246187</v>
      </c>
      <c r="AG95" s="98"/>
      <c r="AH95" s="93">
        <v>27041.523846153836</v>
      </c>
      <c r="AI95" s="93">
        <v>703079.61999999988</v>
      </c>
      <c r="AJ95" s="112">
        <v>1.2663571056210554</v>
      </c>
      <c r="AK95" s="98"/>
      <c r="AL95" s="102">
        <v>0.16824198273720167</v>
      </c>
      <c r="AM95" s="97">
        <v>0.15860557008462858</v>
      </c>
      <c r="AN95" s="98"/>
      <c r="AO95" s="103">
        <v>-3.2061461494252965</v>
      </c>
      <c r="AP95" s="95">
        <v>0</v>
      </c>
    </row>
    <row r="96" spans="1:43" ht="4.25" customHeight="1" x14ac:dyDescent="0.3">
      <c r="B96" s="233"/>
      <c r="D96" s="34"/>
      <c r="E96" s="47"/>
      <c r="F96" s="125"/>
      <c r="G96" s="34"/>
      <c r="H96" s="47"/>
      <c r="I96" s="47"/>
      <c r="J96" s="48"/>
      <c r="K96" s="51"/>
      <c r="L96" s="34"/>
      <c r="M96" s="47"/>
      <c r="N96" s="48"/>
      <c r="O96" s="51"/>
      <c r="P96" s="48"/>
      <c r="Q96" s="47"/>
      <c r="R96" s="34"/>
      <c r="S96" s="51"/>
      <c r="T96" s="51"/>
      <c r="U96" s="34"/>
      <c r="V96" s="50"/>
      <c r="W96" s="52"/>
      <c r="X96" s="48"/>
      <c r="Y96" s="34"/>
      <c r="Z96" s="62"/>
      <c r="AA96" s="47"/>
      <c r="AB96" s="47"/>
      <c r="AC96" s="36"/>
      <c r="AD96" s="48"/>
      <c r="AE96" s="48"/>
      <c r="AF96" s="47"/>
      <c r="AG96" s="36"/>
      <c r="AH96" s="48"/>
      <c r="AI96" s="48"/>
      <c r="AJ96" s="47"/>
      <c r="AK96" s="36"/>
      <c r="AL96" s="49"/>
      <c r="AM96" s="53"/>
      <c r="AN96" s="36"/>
      <c r="AO96" s="52"/>
      <c r="AP96" s="47"/>
    </row>
    <row r="97" spans="1:43" s="15" customFormat="1" ht="14.25" customHeight="1" x14ac:dyDescent="0.3">
      <c r="A97" s="26"/>
      <c r="B97" s="233"/>
      <c r="C97" s="94" t="s">
        <v>7</v>
      </c>
      <c r="D97" s="28"/>
      <c r="E97" s="93">
        <v>18349983.199999999</v>
      </c>
      <c r="F97" s="126">
        <v>0.82784368853198587</v>
      </c>
      <c r="G97" s="28"/>
      <c r="H97" s="93">
        <v>22166000</v>
      </c>
      <c r="I97" s="93">
        <v>22166000</v>
      </c>
      <c r="J97" s="93">
        <v>22535932.639998917</v>
      </c>
      <c r="K97" s="44">
        <v>1.0166891924568671</v>
      </c>
      <c r="L97" s="39"/>
      <c r="M97" s="93">
        <v>3204709.643526521</v>
      </c>
      <c r="N97" s="93">
        <v>3204709.643526521</v>
      </c>
      <c r="O97" s="93">
        <v>354876.64</v>
      </c>
      <c r="P97" s="93">
        <v>3311054.2156500053</v>
      </c>
      <c r="Q97" s="44">
        <v>1.0331838400206705</v>
      </c>
      <c r="R97" s="39"/>
      <c r="S97" s="129">
        <v>0.14457771557910859</v>
      </c>
      <c r="T97" s="129">
        <v>0.1469233276715263</v>
      </c>
      <c r="U97" s="45"/>
      <c r="V97" s="43">
        <v>0</v>
      </c>
      <c r="W97" s="46">
        <v>-0.32281914182664806</v>
      </c>
      <c r="X97" s="81" t="s">
        <v>69</v>
      </c>
      <c r="Y97" s="45"/>
      <c r="Z97" s="62"/>
      <c r="AA97" s="93">
        <v>768413.15136476408</v>
      </c>
      <c r="AB97" s="93">
        <v>993273.08999999915</v>
      </c>
      <c r="AC97" s="98"/>
      <c r="AD97" s="93">
        <v>110111.672355759</v>
      </c>
      <c r="AE97" s="93">
        <v>141878.29115999999</v>
      </c>
      <c r="AF97" s="112">
        <v>1.2884945630614568</v>
      </c>
      <c r="AG97" s="98"/>
      <c r="AH97" s="93">
        <v>114682.27097710935</v>
      </c>
      <c r="AI97" s="93">
        <v>3311054.2156500053</v>
      </c>
      <c r="AJ97" s="112">
        <v>1.0331838400206705</v>
      </c>
      <c r="AK97" s="98"/>
      <c r="AL97" s="102">
        <v>0.14457771557910859</v>
      </c>
      <c r="AM97" s="97">
        <v>0.14283915731573893</v>
      </c>
      <c r="AN97" s="98"/>
      <c r="AO97" s="103">
        <v>-1.2916909729227375</v>
      </c>
      <c r="AP97" s="42">
        <v>0</v>
      </c>
      <c r="AQ97" s="10"/>
    </row>
    <row r="98" spans="1:43" ht="14.5" x14ac:dyDescent="0.35">
      <c r="D98" s="55"/>
      <c r="E98" s="54"/>
      <c r="F98" s="118"/>
      <c r="G98" s="55"/>
      <c r="H98" s="56"/>
      <c r="I98" s="48"/>
      <c r="J98" s="56"/>
      <c r="K98" s="51"/>
      <c r="L98" s="34"/>
      <c r="M98" s="56"/>
      <c r="N98" s="48"/>
      <c r="O98" s="48"/>
      <c r="P98" s="48"/>
      <c r="Q98" s="47"/>
      <c r="R98" s="34"/>
      <c r="S98" s="49"/>
      <c r="T98" s="49"/>
      <c r="U98" s="34"/>
      <c r="V98" s="50"/>
      <c r="W98" s="50"/>
      <c r="X98" s="48"/>
      <c r="Y98" s="34"/>
      <c r="Z98" s="63"/>
      <c r="AA98" s="47"/>
      <c r="AB98" s="47"/>
      <c r="AC98" s="36"/>
      <c r="AD98" s="48"/>
      <c r="AE98" s="48"/>
      <c r="AF98" s="47"/>
      <c r="AG98" s="36"/>
      <c r="AH98" s="48"/>
      <c r="AI98" s="48"/>
      <c r="AJ98" s="47"/>
      <c r="AK98" s="36"/>
      <c r="AL98" s="49"/>
      <c r="AM98" s="53"/>
      <c r="AN98" s="36"/>
      <c r="AO98" s="52"/>
      <c r="AP98" s="47"/>
    </row>
    <row r="99" spans="1:43" ht="14.5" x14ac:dyDescent="0.35">
      <c r="D99" s="55"/>
      <c r="E99" s="54"/>
      <c r="F99" s="118"/>
      <c r="G99" s="55"/>
      <c r="H99" s="48"/>
      <c r="I99" s="56"/>
      <c r="J99" s="56"/>
      <c r="K99" s="51"/>
      <c r="L99" s="34"/>
      <c r="M99" s="56"/>
      <c r="N99" s="56"/>
      <c r="O99" s="56"/>
      <c r="P99" s="56"/>
      <c r="Q99" s="47"/>
      <c r="R99" s="34"/>
      <c r="S99" s="49"/>
      <c r="T99" s="49"/>
      <c r="U99" s="34"/>
      <c r="V99" s="50"/>
      <c r="W99" s="50"/>
      <c r="X99" s="48"/>
      <c r="Y99" s="34"/>
      <c r="Z99" s="63"/>
      <c r="AA99" s="59"/>
      <c r="AB99" s="59"/>
      <c r="AC99" s="36"/>
      <c r="AD99" s="56"/>
      <c r="AE99" s="56"/>
      <c r="AF99" s="47"/>
      <c r="AG99" s="36"/>
      <c r="AH99" s="56"/>
      <c r="AI99" s="56"/>
      <c r="AJ99" s="59"/>
      <c r="AK99" s="36"/>
      <c r="AL99" s="49"/>
      <c r="AM99" s="53"/>
      <c r="AN99" s="36"/>
      <c r="AO99" s="52"/>
      <c r="AP99" s="47"/>
    </row>
    <row r="100" spans="1:43" ht="14.5" x14ac:dyDescent="0.35">
      <c r="D100" s="55"/>
      <c r="E100" s="54"/>
      <c r="F100" s="118"/>
      <c r="G100" s="55"/>
      <c r="H100" s="48"/>
      <c r="I100" s="56"/>
      <c r="J100" s="56"/>
      <c r="K100" s="51"/>
      <c r="L100" s="34"/>
      <c r="M100" s="56"/>
      <c r="N100" s="56"/>
      <c r="O100" s="56"/>
      <c r="P100" s="56"/>
      <c r="Q100" s="47"/>
      <c r="R100" s="34"/>
      <c r="S100" s="49"/>
      <c r="T100" s="49"/>
      <c r="U100" s="34"/>
      <c r="V100" s="50"/>
      <c r="W100" s="50"/>
      <c r="X100" s="48"/>
      <c r="Y100" s="34"/>
      <c r="Z100" s="63"/>
      <c r="AA100" s="59"/>
      <c r="AB100" s="59"/>
      <c r="AC100" s="36"/>
      <c r="AD100" s="56"/>
      <c r="AE100" s="56"/>
      <c r="AF100" s="47"/>
      <c r="AG100" s="36"/>
      <c r="AH100" s="56"/>
      <c r="AI100" s="56"/>
      <c r="AJ100" s="59"/>
      <c r="AK100" s="36"/>
      <c r="AL100" s="49"/>
      <c r="AM100" s="53"/>
      <c r="AN100" s="36"/>
      <c r="AO100" s="52"/>
      <c r="AP100" s="47"/>
    </row>
    <row r="101" spans="1:43" ht="14.5" x14ac:dyDescent="0.35">
      <c r="D101" s="55"/>
      <c r="E101" s="54"/>
      <c r="F101" s="118"/>
      <c r="G101" s="55"/>
      <c r="H101" s="48"/>
      <c r="I101" s="48"/>
      <c r="J101" s="56"/>
      <c r="K101" s="51"/>
      <c r="L101" s="34"/>
      <c r="M101" s="56"/>
      <c r="N101" s="56"/>
      <c r="O101" s="56"/>
      <c r="P101" s="56"/>
      <c r="Q101" s="47"/>
      <c r="R101" s="34"/>
      <c r="S101" s="49"/>
      <c r="T101" s="49"/>
      <c r="U101" s="34"/>
      <c r="V101" s="50"/>
      <c r="W101" s="50"/>
      <c r="X101" s="48"/>
      <c r="Y101" s="34"/>
      <c r="Z101" s="63"/>
      <c r="AA101" s="59"/>
      <c r="AB101" s="59"/>
      <c r="AC101" s="36"/>
      <c r="AD101" s="56"/>
      <c r="AE101" s="56"/>
      <c r="AF101" s="47"/>
      <c r="AG101" s="36"/>
      <c r="AH101" s="56"/>
      <c r="AI101" s="56"/>
      <c r="AJ101" s="59"/>
      <c r="AK101" s="36"/>
      <c r="AL101" s="49"/>
      <c r="AM101" s="53"/>
      <c r="AN101" s="36"/>
      <c r="AO101" s="52"/>
      <c r="AP101" s="47"/>
    </row>
    <row r="102" spans="1:43" ht="14.5" x14ac:dyDescent="0.35">
      <c r="D102" s="55"/>
      <c r="E102" s="54"/>
      <c r="F102" s="118"/>
      <c r="G102" s="55"/>
      <c r="H102" s="48"/>
      <c r="I102" s="48"/>
      <c r="J102" s="56"/>
      <c r="K102" s="51"/>
      <c r="L102" s="34"/>
      <c r="M102" s="56"/>
      <c r="N102" s="56"/>
      <c r="O102" s="56"/>
      <c r="P102" s="56"/>
      <c r="Q102" s="47"/>
      <c r="R102" s="34"/>
      <c r="S102" s="49"/>
      <c r="T102" s="49"/>
      <c r="U102" s="34"/>
      <c r="V102" s="50"/>
      <c r="W102" s="50"/>
      <c r="X102" s="48"/>
      <c r="Y102" s="34"/>
      <c r="Z102" s="63"/>
      <c r="AA102" s="59"/>
      <c r="AB102" s="59"/>
      <c r="AC102" s="36"/>
      <c r="AD102" s="56"/>
      <c r="AE102" s="56"/>
      <c r="AF102" s="47"/>
      <c r="AG102" s="36"/>
      <c r="AH102" s="56"/>
      <c r="AI102" s="56"/>
      <c r="AJ102" s="59"/>
      <c r="AK102" s="36"/>
      <c r="AL102" s="49"/>
      <c r="AM102" s="53"/>
      <c r="AN102" s="36"/>
      <c r="AO102" s="52"/>
      <c r="AP102" s="47"/>
    </row>
    <row r="103" spans="1:43" ht="14.5" x14ac:dyDescent="0.35">
      <c r="D103" s="55"/>
      <c r="E103" s="54"/>
      <c r="F103" s="118"/>
      <c r="G103" s="55"/>
      <c r="H103" s="48"/>
      <c r="I103" s="48"/>
      <c r="J103" s="56"/>
      <c r="K103" s="51"/>
      <c r="L103" s="34"/>
      <c r="M103" s="56"/>
      <c r="N103" s="56"/>
      <c r="O103" s="56"/>
      <c r="P103" s="56"/>
      <c r="Q103" s="47"/>
      <c r="R103" s="34"/>
      <c r="S103" s="49"/>
      <c r="T103" s="49"/>
      <c r="U103" s="34"/>
      <c r="V103" s="50"/>
      <c r="W103" s="50"/>
      <c r="X103" s="48"/>
      <c r="Y103" s="34"/>
      <c r="Z103" s="63"/>
      <c r="AA103" s="59"/>
      <c r="AB103" s="59"/>
      <c r="AC103" s="36"/>
      <c r="AD103" s="56"/>
      <c r="AE103" s="56"/>
      <c r="AF103" s="47"/>
      <c r="AG103" s="36"/>
      <c r="AH103" s="56"/>
      <c r="AI103" s="56"/>
      <c r="AJ103" s="59"/>
      <c r="AK103" s="36"/>
      <c r="AL103" s="49"/>
      <c r="AM103" s="53"/>
      <c r="AN103" s="36"/>
      <c r="AO103" s="52"/>
      <c r="AP103" s="47"/>
    </row>
    <row r="104" spans="1:43" ht="14.5" x14ac:dyDescent="0.35">
      <c r="D104" s="55"/>
      <c r="E104" s="54"/>
      <c r="F104" s="118"/>
      <c r="G104" s="55"/>
      <c r="H104" s="48"/>
      <c r="I104" s="48"/>
      <c r="J104" s="56"/>
      <c r="K104" s="51"/>
      <c r="L104" s="34"/>
      <c r="M104" s="56"/>
      <c r="N104" s="56"/>
      <c r="O104" s="56"/>
      <c r="P104" s="56"/>
      <c r="Q104" s="47"/>
      <c r="R104" s="34"/>
      <c r="S104" s="49"/>
      <c r="T104" s="49"/>
      <c r="U104" s="34"/>
      <c r="V104" s="50"/>
      <c r="W104" s="50"/>
      <c r="X104" s="48"/>
      <c r="Y104" s="34"/>
      <c r="Z104" s="63"/>
      <c r="AA104" s="59"/>
      <c r="AB104" s="59"/>
      <c r="AC104" s="36"/>
      <c r="AD104" s="56"/>
      <c r="AE104" s="56"/>
      <c r="AF104" s="47"/>
      <c r="AG104" s="36"/>
      <c r="AH104" s="56"/>
      <c r="AI104" s="56"/>
      <c r="AJ104" s="59"/>
      <c r="AK104" s="36"/>
      <c r="AL104" s="49"/>
      <c r="AM104" s="53"/>
      <c r="AN104" s="36"/>
      <c r="AO104" s="52"/>
      <c r="AP104" s="47"/>
    </row>
    <row r="105" spans="1:43" ht="14.5" x14ac:dyDescent="0.35">
      <c r="D105" s="55"/>
      <c r="E105" s="54"/>
      <c r="F105" s="118"/>
      <c r="G105" s="55"/>
      <c r="H105" s="48"/>
      <c r="I105" s="48"/>
      <c r="J105" s="56"/>
      <c r="K105" s="51"/>
      <c r="L105" s="34"/>
      <c r="M105" s="56"/>
      <c r="N105" s="56"/>
      <c r="O105" s="56"/>
      <c r="P105" s="56"/>
      <c r="Q105" s="47"/>
      <c r="R105" s="34"/>
      <c r="S105" s="49"/>
      <c r="T105" s="49"/>
      <c r="U105" s="34"/>
      <c r="V105" s="50"/>
      <c r="W105" s="50"/>
      <c r="X105" s="48"/>
      <c r="Y105" s="34"/>
      <c r="Z105" s="63"/>
      <c r="AA105" s="59"/>
      <c r="AB105" s="59"/>
      <c r="AC105" s="36"/>
      <c r="AD105" s="56"/>
      <c r="AE105" s="56"/>
      <c r="AF105" s="47"/>
      <c r="AG105" s="36"/>
      <c r="AH105" s="56"/>
      <c r="AI105" s="56"/>
      <c r="AJ105" s="59"/>
      <c r="AK105" s="36"/>
      <c r="AL105" s="49"/>
      <c r="AM105" s="53"/>
      <c r="AN105" s="36"/>
      <c r="AO105" s="52"/>
      <c r="AP105" s="47"/>
    </row>
    <row r="106" spans="1:43" ht="14.5" x14ac:dyDescent="0.35">
      <c r="D106" s="55"/>
      <c r="E106" s="54"/>
      <c r="F106" s="118"/>
      <c r="G106" s="55"/>
      <c r="H106" s="48"/>
      <c r="I106" s="48"/>
      <c r="J106" s="56"/>
      <c r="K106" s="51"/>
      <c r="L106" s="34"/>
      <c r="M106" s="56"/>
      <c r="N106" s="56"/>
      <c r="O106" s="56"/>
      <c r="P106" s="56"/>
      <c r="Q106" s="47"/>
      <c r="R106" s="34"/>
      <c r="S106" s="49"/>
      <c r="T106" s="49"/>
      <c r="U106" s="34"/>
      <c r="V106" s="50"/>
      <c r="W106" s="50"/>
      <c r="X106" s="48"/>
      <c r="Y106" s="34"/>
      <c r="Z106" s="63"/>
      <c r="AA106" s="59"/>
      <c r="AB106" s="59"/>
      <c r="AC106" s="36"/>
      <c r="AD106" s="56"/>
      <c r="AE106" s="56"/>
      <c r="AF106" s="47"/>
      <c r="AG106" s="36"/>
      <c r="AH106" s="56"/>
      <c r="AI106" s="56"/>
      <c r="AJ106" s="59"/>
      <c r="AK106" s="36"/>
      <c r="AL106" s="49"/>
      <c r="AM106" s="53"/>
      <c r="AN106" s="36"/>
      <c r="AO106" s="52"/>
      <c r="AP106" s="47"/>
    </row>
  </sheetData>
  <mergeCells count="29">
    <mergeCell ref="B92:B97"/>
    <mergeCell ref="B20:B24"/>
    <mergeCell ref="B26:B30"/>
    <mergeCell ref="B32:B36"/>
    <mergeCell ref="B38:B42"/>
    <mergeCell ref="B44:B48"/>
    <mergeCell ref="B50:B54"/>
    <mergeCell ref="B56:B60"/>
    <mergeCell ref="B62:B66"/>
    <mergeCell ref="B68:B72"/>
    <mergeCell ref="B80:B84"/>
    <mergeCell ref="B86:B90"/>
    <mergeCell ref="B74:B78"/>
    <mergeCell ref="B8:B12"/>
    <mergeCell ref="B14:B18"/>
    <mergeCell ref="M5:Q5"/>
    <mergeCell ref="V5:X5"/>
    <mergeCell ref="B1:C5"/>
    <mergeCell ref="E5:F5"/>
    <mergeCell ref="H5:K5"/>
    <mergeCell ref="S5:T5"/>
    <mergeCell ref="E2:AP2"/>
    <mergeCell ref="H4:X4"/>
    <mergeCell ref="AL5:AM5"/>
    <mergeCell ref="AO5:AP5"/>
    <mergeCell ref="AA5:AB5"/>
    <mergeCell ref="AA4:AP4"/>
    <mergeCell ref="AD5:AJ5"/>
    <mergeCell ref="E3:F4"/>
  </mergeCells>
  <conditionalFormatting sqref="E98:E106">
    <cfRule type="cellIs" dxfId="134" priority="41" operator="greaterThanOrEqual">
      <formula>0.91</formula>
    </cfRule>
    <cfRule type="cellIs" dxfId="133" priority="42" operator="between">
      <formula>0.71</formula>
      <formula>0.9</formula>
    </cfRule>
    <cfRule type="cellIs" dxfId="132" priority="43" operator="between">
      <formula>0.1</formula>
      <formula>0.79</formula>
    </cfRule>
  </conditionalFormatting>
  <conditionalFormatting sqref="F7">
    <cfRule type="cellIs" dxfId="131" priority="1191" operator="greaterThanOrEqual">
      <formula>0.91</formula>
    </cfRule>
    <cfRule type="cellIs" dxfId="130" priority="1192" operator="between">
      <formula>0.71</formula>
      <formula>0.9</formula>
    </cfRule>
    <cfRule type="cellIs" dxfId="129" priority="1193" operator="between">
      <formula>0.1</formula>
      <formula>0.79</formula>
    </cfRule>
  </conditionalFormatting>
  <conditionalFormatting sqref="F8:F12 F14:F18 F20:F24 F26:F30 F32:F36 F38:F42 F44:F48 F50:F54 F56:F60 F62:F66 F68:F72 F74:F78 F80:F84 F86:F90 F92:F95 F97">
    <cfRule type="cellIs" dxfId="128" priority="1175" operator="greaterThanOrEqual">
      <formula>0.9</formula>
    </cfRule>
    <cfRule type="cellIs" dxfId="127" priority="1176" operator="between">
      <formula>0.79</formula>
      <formula>0.9</formula>
    </cfRule>
    <cfRule type="cellIs" dxfId="126" priority="1177" operator="between">
      <formula>0.0001</formula>
      <formula>0.79</formula>
    </cfRule>
  </conditionalFormatting>
  <conditionalFormatting sqref="F13 F19 F25 F31 F37 F43 F49 F55 F61 F67 F79 F91 F98:F1048576">
    <cfRule type="cellIs" dxfId="125" priority="1198" operator="greaterThanOrEqual">
      <formula>0.91</formula>
    </cfRule>
    <cfRule type="cellIs" dxfId="124" priority="1199" operator="between">
      <formula>0.71</formula>
      <formula>0.9</formula>
    </cfRule>
    <cfRule type="cellIs" dxfId="123" priority="1200" operator="between">
      <formula>0.1</formula>
      <formula>0.79</formula>
    </cfRule>
  </conditionalFormatting>
  <conditionalFormatting sqref="F73">
    <cfRule type="cellIs" dxfId="122" priority="11" operator="greaterThanOrEqual">
      <formula>0.91</formula>
    </cfRule>
    <cfRule type="cellIs" dxfId="121" priority="12" operator="between">
      <formula>0.71</formula>
      <formula>0.9</formula>
    </cfRule>
    <cfRule type="cellIs" dxfId="120" priority="13" operator="between">
      <formula>0.1</formula>
      <formula>0.79</formula>
    </cfRule>
  </conditionalFormatting>
  <conditionalFormatting sqref="F85">
    <cfRule type="cellIs" dxfId="119" priority="221" operator="greaterThanOrEqual">
      <formula>0.91</formula>
    </cfRule>
    <cfRule type="cellIs" dxfId="118" priority="222" operator="between">
      <formula>0.71</formula>
      <formula>0.9</formula>
    </cfRule>
    <cfRule type="cellIs" dxfId="117" priority="223" operator="between">
      <formula>0.1</formula>
      <formula>0.79</formula>
    </cfRule>
  </conditionalFormatting>
  <conditionalFormatting sqref="F96">
    <cfRule type="cellIs" dxfId="116" priority="90" operator="greaterThanOrEqual">
      <formula>0.91</formula>
    </cfRule>
    <cfRule type="cellIs" dxfId="115" priority="91" operator="between">
      <formula>0.71</formula>
      <formula>0.9</formula>
    </cfRule>
    <cfRule type="cellIs" dxfId="114" priority="92" operator="between">
      <formula>0.1</formula>
      <formula>0.79</formula>
    </cfRule>
  </conditionalFormatting>
  <conditionalFormatting sqref="K7">
    <cfRule type="cellIs" dxfId="113" priority="1194" operator="greaterThanOrEqual">
      <formula>1</formula>
    </cfRule>
    <cfRule type="cellIs" dxfId="112" priority="1195" operator="between">
      <formula>0.9001</formula>
      <formula>0.9999</formula>
    </cfRule>
    <cfRule type="cellIs" dxfId="111" priority="1196" operator="lessThan">
      <formula>0.9</formula>
    </cfRule>
  </conditionalFormatting>
  <conditionalFormatting sqref="K8:K12 K14:K18 K20:K24 K26:K30 K32:K36 K38:K42 K44:K48 K50:K54 K56:K60 K62:K66 K68:K72 K74:K78 K80:K84 K86:K90">
    <cfRule type="cellIs" dxfId="110" priority="1189" operator="between">
      <formula>0.86</formula>
      <formula>0.9999</formula>
    </cfRule>
    <cfRule type="cellIs" dxfId="109" priority="1190" operator="greaterThanOrEqual">
      <formula>1</formula>
    </cfRule>
    <cfRule type="cellIs" dxfId="108" priority="1197" operator="lessThanOrEqual">
      <formula>0.86</formula>
    </cfRule>
  </conditionalFormatting>
  <conditionalFormatting sqref="K13 K19 K25 K31 K37 K43 K49 K55 K61 K67 K79 K91 K98:K1048576">
    <cfRule type="cellIs" dxfId="107" priority="1201" operator="greaterThanOrEqual">
      <formula>1</formula>
    </cfRule>
    <cfRule type="cellIs" dxfId="106" priority="1202" operator="between">
      <formula>0.9001</formula>
      <formula>0.9999</formula>
    </cfRule>
    <cfRule type="cellIs" dxfId="105" priority="1203" operator="lessThan">
      <formula>0.9</formula>
    </cfRule>
  </conditionalFormatting>
  <conditionalFormatting sqref="K73">
    <cfRule type="cellIs" dxfId="104" priority="14" operator="greaterThanOrEqual">
      <formula>1</formula>
    </cfRule>
    <cfRule type="cellIs" dxfId="103" priority="15" operator="between">
      <formula>0.9001</formula>
      <formula>0.9999</formula>
    </cfRule>
    <cfRule type="cellIs" dxfId="102" priority="16" operator="lessThan">
      <formula>0.9</formula>
    </cfRule>
  </conditionalFormatting>
  <conditionalFormatting sqref="K85">
    <cfRule type="cellIs" dxfId="101" priority="224" operator="greaterThanOrEqual">
      <formula>1</formula>
    </cfRule>
    <cfRule type="cellIs" dxfId="100" priority="225" operator="between">
      <formula>0.9001</formula>
      <formula>0.9999</formula>
    </cfRule>
    <cfRule type="cellIs" dxfId="99" priority="226" operator="lessThan">
      <formula>0.9</formula>
    </cfRule>
  </conditionalFormatting>
  <conditionalFormatting sqref="K92:K95 K97 X92:X95 X97">
    <cfRule type="cellIs" dxfId="98" priority="787" operator="lessThanOrEqual">
      <formula>0.86</formula>
    </cfRule>
  </conditionalFormatting>
  <conditionalFormatting sqref="K92:K95 K97">
    <cfRule type="cellIs" dxfId="97" priority="786" operator="between">
      <formula>0.86</formula>
      <formula>0.9999</formula>
    </cfRule>
  </conditionalFormatting>
  <conditionalFormatting sqref="K92:K95 X92:X95 K97 X97">
    <cfRule type="cellIs" dxfId="96" priority="784" operator="greaterThanOrEqual">
      <formula>1</formula>
    </cfRule>
  </conditionalFormatting>
  <conditionalFormatting sqref="K96">
    <cfRule type="cellIs" dxfId="95" priority="93" operator="greaterThanOrEqual">
      <formula>1</formula>
    </cfRule>
    <cfRule type="cellIs" dxfId="94" priority="94" operator="between">
      <formula>0.9001</formula>
      <formula>0.9999</formula>
    </cfRule>
    <cfRule type="cellIs" dxfId="93" priority="95" operator="lessThan">
      <formula>0.9</formula>
    </cfRule>
  </conditionalFormatting>
  <conditionalFormatting sqref="Q8:Q12 X8:X12 AF8:AF12 AJ8:AJ12 AP8:AP12 Q14:Q18 X14:X18 AF14:AF18 AJ14:AJ18 AP14:AP18 Q20:Q24 X20:X24 AF20:AF24 AJ20:AJ24 AP20:AP24 Q26:Q30 X26:X30 AF26:AF30 AJ26:AJ30 AP26:AP30 Q32:Q36 X32:X36 AF32:AF36 AJ32:AJ36 AP32:AP36 Q38:Q42 X38:X42 AF38:AF42 AJ38:AJ42 AP38:AP42 Q44:Q48 X44:X48 AF44:AF48 AJ44:AJ48 AP44:AP48 Q50:Q54 X50:X54 AF50:AF54 AJ50:AJ54 AP50:AP54 Q56:Q60 X56:X60 AF56:AF60 AJ56:AJ60 AP56:AP60 Q62:Q66 X62:X66 AF62:AF66 AJ62:AJ66 AP62:AP66 Q68:Q72 X68:X72 AF68:AF72 AJ68:AJ72 AP68:AP72 Q74:Q78 X74:X78 AF74:AF78 AJ74:AJ78 AP74:AP78 Q80:Q84 X80:X84 AF80:AF84 AJ80:AJ84 AP80:AP84 Q86:Q90 X86:X90 AF86:AF90 AJ86:AJ90 AP86:AP90 Q92:Q95 AF92:AF95 AJ92:AJ95 AP92:AP95 Q97 AF97 AJ97 AP97">
    <cfRule type="cellIs" dxfId="92" priority="1068" operator="greaterThanOrEqual">
      <formula>1</formula>
    </cfRule>
    <cfRule type="cellIs" dxfId="91" priority="1073" operator="between">
      <formula>0.86</formula>
      <formula>0.9999</formula>
    </cfRule>
  </conditionalFormatting>
  <conditionalFormatting sqref="S7:T7">
    <cfRule type="cellIs" dxfId="90" priority="1069" operator="greaterThanOrEqual">
      <formula>1</formula>
    </cfRule>
    <cfRule type="cellIs" dxfId="89" priority="1070" operator="between">
      <formula>0.9001</formula>
      <formula>0.9999</formula>
    </cfRule>
    <cfRule type="cellIs" dxfId="88" priority="1071" operator="lessThan">
      <formula>0.9</formula>
    </cfRule>
  </conditionalFormatting>
  <conditionalFormatting sqref="S13:T13 S19:T19 S25:T25 S31:T31 S37:T37 S43:T43 S49:T49 S55:T55 S61:T61 S67:T67 S79:T79 S91:T91 S98:T1048576">
    <cfRule type="cellIs" dxfId="87" priority="1074" operator="greaterThanOrEqual">
      <formula>1</formula>
    </cfRule>
    <cfRule type="cellIs" dxfId="86" priority="1075" operator="between">
      <formula>0.9001</formula>
      <formula>0.9999</formula>
    </cfRule>
    <cfRule type="cellIs" dxfId="85" priority="1076" operator="lessThan">
      <formula>0.9</formula>
    </cfRule>
  </conditionalFormatting>
  <conditionalFormatting sqref="S73:T73">
    <cfRule type="cellIs" dxfId="84" priority="8" operator="greaterThanOrEqual">
      <formula>1</formula>
    </cfRule>
    <cfRule type="cellIs" dxfId="83" priority="9" operator="between">
      <formula>0.9001</formula>
      <formula>0.9999</formula>
    </cfRule>
    <cfRule type="cellIs" dxfId="82" priority="10" operator="lessThan">
      <formula>0.9</formula>
    </cfRule>
  </conditionalFormatting>
  <conditionalFormatting sqref="S85:T85">
    <cfRule type="cellIs" dxfId="81" priority="218" operator="greaterThanOrEqual">
      <formula>1</formula>
    </cfRule>
    <cfRule type="cellIs" dxfId="80" priority="219" operator="between">
      <formula>0.9001</formula>
      <formula>0.9999</formula>
    </cfRule>
    <cfRule type="cellIs" dxfId="79" priority="220" operator="lessThan">
      <formula>0.9</formula>
    </cfRule>
  </conditionalFormatting>
  <conditionalFormatting sqref="S96:T96">
    <cfRule type="cellIs" dxfId="78" priority="87" operator="greaterThanOrEqual">
      <formula>1</formula>
    </cfRule>
    <cfRule type="cellIs" dxfId="77" priority="88" operator="between">
      <formula>0.9001</formula>
      <formula>0.9999</formula>
    </cfRule>
    <cfRule type="cellIs" dxfId="76" priority="89" operator="lessThan">
      <formula>0.9</formula>
    </cfRule>
  </conditionalFormatting>
  <conditionalFormatting sqref="X8:X12 AP92:AP95 AP97 X80:X84 X86:X90 AP8:AP12 AP80:AP84 AP86:AP90 X14:X18 AP14:AP18 X26:X30 AP26:AP30 X32:X36 AP32:AP36 X38:X42 AP38:AP42 X44:X48 AP44:AP48 X56:X60 AP56:AP60 X68:X72 AP68:AP72 X20:X24 AP20:AP24 X50:X54 AP50:AP54 X62:X66 AP62:AP66 X74:X78 AP74:AP78 Q8:Q12 AF8:AF12 AJ8:AJ12 Q14:Q18 AF14:AF18 AJ14:AJ18 Q20:Q24 AF20:AF24 AJ20:AJ24 Q26:Q30 AF26:AF30 AJ26:AJ30 Q32:Q36 AF32:AF36 AJ32:AJ36 Q38:Q42 AF38:AF42 AJ38:AJ42 Q44:Q48 AF44:AF48 AJ44:AJ48 Q50:Q54 AF50:AF54 AJ50:AJ54 Q56:Q60 AF56:AF60 AJ56:AJ60 Q62:Q66 AF62:AF66 AJ62:AJ66 Q68:Q72 AF68:AF72 AJ68:AJ72 Q74:Q78 AF74:AF78 AJ74:AJ78 Q80:Q84 AF80:AF84 AJ80:AJ84 Q86:Q90 AF86:AF90 AJ86:AJ90 Q92:Q95 AF92:AF95 AJ92:AJ95 Q97 AF97 AJ97">
    <cfRule type="cellIs" dxfId="75" priority="1072" operator="lessThanOrEqual">
      <formula>0.86</formula>
    </cfRule>
  </conditionalFormatting>
  <conditionalFormatting sqref="X8:X12">
    <cfRule type="cellIs" dxfId="74" priority="453" operator="lessThanOrEqual">
      <formula>0.85</formula>
    </cfRule>
    <cfRule type="cellIs" dxfId="73" priority="454" operator="between">
      <formula>0.86</formula>
      <formula>0.9999</formula>
    </cfRule>
  </conditionalFormatting>
  <conditionalFormatting sqref="X14:X18">
    <cfRule type="cellIs" dxfId="72" priority="82" operator="lessThanOrEqual">
      <formula>0.85</formula>
    </cfRule>
    <cfRule type="cellIs" dxfId="71" priority="83" operator="between">
      <formula>0.86</formula>
      <formula>0.9999</formula>
    </cfRule>
  </conditionalFormatting>
  <conditionalFormatting sqref="X20:X24">
    <cfRule type="cellIs" dxfId="70" priority="54" operator="lessThanOrEqual">
      <formula>0.85</formula>
    </cfRule>
    <cfRule type="cellIs" dxfId="69" priority="55" operator="between">
      <formula>0.86</formula>
      <formula>0.9999</formula>
    </cfRule>
  </conditionalFormatting>
  <conditionalFormatting sqref="X26:X30">
    <cfRule type="cellIs" dxfId="68" priority="78" operator="lessThanOrEqual">
      <formula>0.85</formula>
    </cfRule>
    <cfRule type="cellIs" dxfId="67" priority="79" operator="between">
      <formula>0.86</formula>
      <formula>0.9999</formula>
    </cfRule>
  </conditionalFormatting>
  <conditionalFormatting sqref="X32:X36">
    <cfRule type="cellIs" dxfId="66" priority="74" operator="lessThanOrEqual">
      <formula>0.85</formula>
    </cfRule>
    <cfRule type="cellIs" dxfId="65" priority="75" operator="between">
      <formula>0.86</formula>
      <formula>0.9999</formula>
    </cfRule>
  </conditionalFormatting>
  <conditionalFormatting sqref="X38:X42">
    <cfRule type="cellIs" dxfId="64" priority="70" operator="lessThanOrEqual">
      <formula>0.85</formula>
    </cfRule>
    <cfRule type="cellIs" dxfId="63" priority="71" operator="between">
      <formula>0.86</formula>
      <formula>0.9999</formula>
    </cfRule>
  </conditionalFormatting>
  <conditionalFormatting sqref="X44:X48">
    <cfRule type="cellIs" dxfId="62" priority="66" operator="lessThanOrEqual">
      <formula>0.85</formula>
    </cfRule>
    <cfRule type="cellIs" dxfId="61" priority="67" operator="between">
      <formula>0.86</formula>
      <formula>0.9999</formula>
    </cfRule>
  </conditionalFormatting>
  <conditionalFormatting sqref="X50:X54">
    <cfRule type="cellIs" dxfId="60" priority="50" operator="lessThanOrEqual">
      <formula>0.85</formula>
    </cfRule>
    <cfRule type="cellIs" dxfId="59" priority="51" operator="between">
      <formula>0.86</formula>
      <formula>0.9999</formula>
    </cfRule>
  </conditionalFormatting>
  <conditionalFormatting sqref="X56:X60">
    <cfRule type="cellIs" dxfId="58" priority="62" operator="lessThanOrEqual">
      <formula>0.85</formula>
    </cfRule>
    <cfRule type="cellIs" dxfId="57" priority="63" operator="between">
      <formula>0.86</formula>
      <formula>0.9999</formula>
    </cfRule>
  </conditionalFormatting>
  <conditionalFormatting sqref="X62:X66">
    <cfRule type="cellIs" dxfId="56" priority="46" operator="lessThanOrEqual">
      <formula>0.85</formula>
    </cfRule>
    <cfRule type="cellIs" dxfId="55" priority="47" operator="between">
      <formula>0.86</formula>
      <formula>0.9999</formula>
    </cfRule>
  </conditionalFormatting>
  <conditionalFormatting sqref="X68:X72">
    <cfRule type="cellIs" dxfId="54" priority="58" operator="lessThanOrEqual">
      <formula>0.85</formula>
    </cfRule>
    <cfRule type="cellIs" dxfId="53" priority="59" operator="between">
      <formula>0.86</formula>
      <formula>0.9999</formula>
    </cfRule>
  </conditionalFormatting>
  <conditionalFormatting sqref="X74:X78">
    <cfRule type="cellIs" dxfId="52" priority="6" operator="lessThanOrEqual">
      <formula>0.85</formula>
    </cfRule>
    <cfRule type="cellIs" dxfId="51" priority="7" operator="between">
      <formula>0.86</formula>
      <formula>0.9999</formula>
    </cfRule>
  </conditionalFormatting>
  <conditionalFormatting sqref="X80:X84 X86:X90">
    <cfRule type="cellIs" dxfId="50" priority="168" operator="lessThanOrEqual">
      <formula>0.85</formula>
    </cfRule>
    <cfRule type="cellIs" dxfId="49" priority="169" operator="between">
      <formula>0.86</formula>
      <formula>0.9999</formula>
    </cfRule>
  </conditionalFormatting>
  <conditionalFormatting sqref="X92:X95 X97">
    <cfRule type="cellIs" dxfId="48" priority="405" operator="between">
      <formula>0.86</formula>
      <formula>0.999999999</formula>
    </cfRule>
  </conditionalFormatting>
  <conditionalFormatting sqref="AL7">
    <cfRule type="cellIs" dxfId="47" priority="391" operator="greaterThanOrEqual">
      <formula>1</formula>
    </cfRule>
    <cfRule type="cellIs" dxfId="46" priority="392" operator="between">
      <formula>0.9001</formula>
      <formula>0.9999</formula>
    </cfRule>
    <cfRule type="cellIs" dxfId="45" priority="393" operator="lessThan">
      <formula>0.9</formula>
    </cfRule>
  </conditionalFormatting>
  <conditionalFormatting sqref="AL13 AL19 AL25 AL31 AL37 AL43 AL49 AL55 AL61 AL67 AL79 AL91">
    <cfRule type="cellIs" dxfId="44" priority="163" operator="greaterThanOrEqual">
      <formula>1</formula>
    </cfRule>
    <cfRule type="cellIs" dxfId="43" priority="164" operator="between">
      <formula>0.9001</formula>
      <formula>0.9999</formula>
    </cfRule>
    <cfRule type="cellIs" dxfId="42" priority="165" operator="lessThan">
      <formula>0.9</formula>
    </cfRule>
  </conditionalFormatting>
  <conditionalFormatting sqref="AL73">
    <cfRule type="cellIs" dxfId="41" priority="3" operator="greaterThanOrEqual">
      <formula>1</formula>
    </cfRule>
    <cfRule type="cellIs" dxfId="40" priority="4" operator="between">
      <formula>0.9001</formula>
      <formula>0.9999</formula>
    </cfRule>
    <cfRule type="cellIs" dxfId="39" priority="5" operator="lessThan">
      <formula>0.9</formula>
    </cfRule>
  </conditionalFormatting>
  <conditionalFormatting sqref="AL85">
    <cfRule type="cellIs" dxfId="38" priority="160" operator="greaterThanOrEqual">
      <formula>1</formula>
    </cfRule>
    <cfRule type="cellIs" dxfId="37" priority="161" operator="between">
      <formula>0.9001</formula>
      <formula>0.9999</formula>
    </cfRule>
    <cfRule type="cellIs" dxfId="36" priority="162" operator="lessThan">
      <formula>0.9</formula>
    </cfRule>
  </conditionalFormatting>
  <conditionalFormatting sqref="AL96">
    <cfRule type="cellIs" dxfId="35" priority="84" operator="greaterThanOrEqual">
      <formula>1</formula>
    </cfRule>
    <cfRule type="cellIs" dxfId="34" priority="85" operator="between">
      <formula>0.9001</formula>
      <formula>0.9999</formula>
    </cfRule>
    <cfRule type="cellIs" dxfId="33" priority="86" operator="lessThan">
      <formula>0.9</formula>
    </cfRule>
  </conditionalFormatting>
  <conditionalFormatting sqref="AL98:AL1048576">
    <cfRule type="cellIs" dxfId="32" priority="396" operator="greaterThanOrEqual">
      <formula>1</formula>
    </cfRule>
    <cfRule type="cellIs" dxfId="31" priority="397" operator="between">
      <formula>0.9001</formula>
      <formula>0.9999</formula>
    </cfRule>
    <cfRule type="cellIs" dxfId="30" priority="398" operator="lessThan">
      <formula>0.9</formula>
    </cfRule>
  </conditionalFormatting>
  <conditionalFormatting sqref="AP8:AP12">
    <cfRule type="cellIs" dxfId="29" priority="158" operator="lessThanOrEqual">
      <formula>0.85</formula>
    </cfRule>
    <cfRule type="cellIs" dxfId="28" priority="159" operator="between">
      <formula>0.86</formula>
      <formula>0.9999</formula>
    </cfRule>
  </conditionalFormatting>
  <conditionalFormatting sqref="AP14:AP18">
    <cfRule type="cellIs" dxfId="27" priority="80" operator="lessThanOrEqual">
      <formula>0.85</formula>
    </cfRule>
    <cfRule type="cellIs" dxfId="26" priority="81" operator="between">
      <formula>0.86</formula>
      <formula>0.9999</formula>
    </cfRule>
  </conditionalFormatting>
  <conditionalFormatting sqref="AP20:AP24">
    <cfRule type="cellIs" dxfId="25" priority="52" operator="lessThanOrEqual">
      <formula>0.85</formula>
    </cfRule>
    <cfRule type="cellIs" dxfId="24" priority="53" operator="between">
      <formula>0.86</formula>
      <formula>0.9999</formula>
    </cfRule>
  </conditionalFormatting>
  <conditionalFormatting sqref="AP26:AP30">
    <cfRule type="cellIs" dxfId="23" priority="76" operator="lessThanOrEqual">
      <formula>0.85</formula>
    </cfRule>
    <cfRule type="cellIs" dxfId="22" priority="77" operator="between">
      <formula>0.86</formula>
      <formula>0.9999</formula>
    </cfRule>
  </conditionalFormatting>
  <conditionalFormatting sqref="AP32:AP36">
    <cfRule type="cellIs" dxfId="21" priority="72" operator="lessThanOrEqual">
      <formula>0.85</formula>
    </cfRule>
    <cfRule type="cellIs" dxfId="20" priority="73" operator="between">
      <formula>0.86</formula>
      <formula>0.9999</formula>
    </cfRule>
  </conditionalFormatting>
  <conditionalFormatting sqref="AP38:AP42">
    <cfRule type="cellIs" dxfId="19" priority="68" operator="lessThanOrEqual">
      <formula>0.85</formula>
    </cfRule>
    <cfRule type="cellIs" dxfId="18" priority="69" operator="between">
      <formula>0.86</formula>
      <formula>0.9999</formula>
    </cfRule>
  </conditionalFormatting>
  <conditionalFormatting sqref="AP44:AP48">
    <cfRule type="cellIs" dxfId="17" priority="64" operator="lessThanOrEqual">
      <formula>0.85</formula>
    </cfRule>
    <cfRule type="cellIs" dxfId="16" priority="65" operator="between">
      <formula>0.86</formula>
      <formula>0.9999</formula>
    </cfRule>
  </conditionalFormatting>
  <conditionalFormatting sqref="AP50:AP54">
    <cfRule type="cellIs" dxfId="15" priority="48" operator="lessThanOrEqual">
      <formula>0.85</formula>
    </cfRule>
    <cfRule type="cellIs" dxfId="14" priority="49" operator="between">
      <formula>0.86</formula>
      <formula>0.9999</formula>
    </cfRule>
  </conditionalFormatting>
  <conditionalFormatting sqref="AP56:AP60">
    <cfRule type="cellIs" dxfId="13" priority="60" operator="lessThanOrEqual">
      <formula>0.85</formula>
    </cfRule>
    <cfRule type="cellIs" dxfId="12" priority="61" operator="between">
      <formula>0.86</formula>
      <formula>0.9999</formula>
    </cfRule>
  </conditionalFormatting>
  <conditionalFormatting sqref="AP62:AP66">
    <cfRule type="cellIs" dxfId="11" priority="44" operator="lessThanOrEqual">
      <formula>0.85</formula>
    </cfRule>
    <cfRule type="cellIs" dxfId="10" priority="45" operator="between">
      <formula>0.86</formula>
      <formula>0.9999</formula>
    </cfRule>
  </conditionalFormatting>
  <conditionalFormatting sqref="AP68:AP72">
    <cfRule type="cellIs" dxfId="9" priority="56" operator="lessThanOrEqual">
      <formula>0.85</formula>
    </cfRule>
    <cfRule type="cellIs" dxfId="8" priority="57" operator="between">
      <formula>0.86</formula>
      <formula>0.9999</formula>
    </cfRule>
  </conditionalFormatting>
  <conditionalFormatting sqref="AP74:AP78">
    <cfRule type="cellIs" dxfId="7" priority="1" operator="lessThanOrEqual">
      <formula>0.85</formula>
    </cfRule>
    <cfRule type="cellIs" dxfId="6" priority="2" operator="between">
      <formula>0.86</formula>
      <formula>0.9999</formula>
    </cfRule>
  </conditionalFormatting>
  <conditionalFormatting sqref="AP80:AP84">
    <cfRule type="cellIs" dxfId="5" priority="102" operator="lessThanOrEqual">
      <formula>0.85</formula>
    </cfRule>
    <cfRule type="cellIs" dxfId="4" priority="103" operator="between">
      <formula>0.86</formula>
      <formula>0.9999</formula>
    </cfRule>
  </conditionalFormatting>
  <conditionalFormatting sqref="AP86:AP90">
    <cfRule type="cellIs" dxfId="3" priority="96" operator="lessThanOrEqual">
      <formula>0.85</formula>
    </cfRule>
    <cfRule type="cellIs" dxfId="2" priority="97" operator="between">
      <formula>0.86</formula>
      <formula>0.9999</formula>
    </cfRule>
  </conditionalFormatting>
  <conditionalFormatting sqref="AP92:AP95 AP97">
    <cfRule type="cellIs" dxfId="1" priority="230" operator="lessThanOrEqual">
      <formula>0.85</formula>
    </cfRule>
    <cfRule type="cellIs" dxfId="0" priority="231" operator="between">
      <formula>0.86</formula>
      <formula>0.9999</formula>
    </cfRule>
  </conditionalFormatting>
  <printOptions horizontalCentered="1"/>
  <pageMargins left="0" right="0" top="0" bottom="0" header="0" footer="0"/>
  <pageSetup paperSize="9" scale="3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PAD - DISTRIBUIÇÃO</vt:lpstr>
      <vt:lpstr>PAD - LOJAS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francislanias</dc:creator>
  <cp:lastModifiedBy>LEONARDO SANTOS DE SOUZA</cp:lastModifiedBy>
  <cp:lastPrinted>2026-08-27T12:35:48Z</cp:lastPrinted>
  <dcterms:created xsi:type="dcterms:W3CDTF">2013-12-24T17:42:15Z</dcterms:created>
  <dcterms:modified xsi:type="dcterms:W3CDTF">2026-09-01T16:56:06Z</dcterms:modified>
</cp:coreProperties>
</file>