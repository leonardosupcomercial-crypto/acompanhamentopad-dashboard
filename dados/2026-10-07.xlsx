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K:\Comercial\Suporte\PAD\PAD 2026\10. OUTUBRO\"/>
    </mc:Choice>
  </mc:AlternateContent>
  <bookViews>
    <workbookView xWindow="-110" yWindow="-110" windowWidth="19420" windowHeight="10300" tabRatio="858"/>
  </bookViews>
  <sheets>
    <sheet name="PAD - DISTRIBUIÇÃO" sheetId="2" r:id="rId1"/>
    <sheet name="PAD - LOJAS" sheetId="3" r:id="rId2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<sst xmlns="http://schemas.openxmlformats.org/spreadsheetml/2006/main" count="325" uniqueCount="84">
  <si>
    <t>GESTOR</t>
  </si>
  <si>
    <t>META</t>
  </si>
  <si>
    <t>REAL</t>
  </si>
  <si>
    <t>%</t>
  </si>
  <si>
    <t>C01</t>
  </si>
  <si>
    <t>ESTOQUE</t>
  </si>
  <si>
    <t>DIA</t>
  </si>
  <si>
    <t>TOTAL LOJAS</t>
  </si>
  <si>
    <t>CEASA</t>
  </si>
  <si>
    <t>CASA AMARELA</t>
  </si>
  <si>
    <t>IMBIRIBEIRA</t>
  </si>
  <si>
    <t>REAL VERBA</t>
  </si>
  <si>
    <t>LOJÃO</t>
  </si>
  <si>
    <t>%  VENDA</t>
  </si>
  <si>
    <t>C03</t>
  </si>
  <si>
    <t>DIOGO</t>
  </si>
  <si>
    <t>C06</t>
  </si>
  <si>
    <t>C09</t>
  </si>
  <si>
    <t>C05</t>
  </si>
  <si>
    <t>C07</t>
  </si>
  <si>
    <t>C08</t>
  </si>
  <si>
    <t>C10</t>
  </si>
  <si>
    <t>C11</t>
  </si>
  <si>
    <t>C12</t>
  </si>
  <si>
    <t>C02</t>
  </si>
  <si>
    <t>RONALDO</t>
  </si>
  <si>
    <t>TOTAL RONALDO</t>
  </si>
  <si>
    <t>ELISANGELA</t>
  </si>
  <si>
    <t>TOTAL ELISANGELA</t>
  </si>
  <si>
    <t>C17</t>
  </si>
  <si>
    <t>TOTAL GERALDO</t>
  </si>
  <si>
    <t>GERALDO</t>
  </si>
  <si>
    <t>TOTAL</t>
  </si>
  <si>
    <t>BÁRBARA</t>
  </si>
  <si>
    <t>TOTAL BÁRBARA</t>
  </si>
  <si>
    <t>MÊS</t>
  </si>
  <si>
    <t>FATURAMENTO</t>
  </si>
  <si>
    <t>META PROPORCIONAL</t>
  </si>
  <si>
    <t>%
PREVISÃO</t>
  </si>
  <si>
    <t>PROJEÇÃO</t>
  </si>
  <si>
    <t>MARGEM DE REFERÊNCIA</t>
  </si>
  <si>
    <t>MARGEM BRUTA</t>
  </si>
  <si>
    <t>LB REFERÊNCIA</t>
  </si>
  <si>
    <t>REAL
(TOTAL)</t>
  </si>
  <si>
    <t>PROPOSTA</t>
  </si>
  <si>
    <t>RENTABILIDADE</t>
  </si>
  <si>
    <t>META DIA</t>
  </si>
  <si>
    <t>LB</t>
  </si>
  <si>
    <t>RONALDO MORAIS</t>
  </si>
  <si>
    <t>TOTAL DISTRIBUIÇÃO</t>
  </si>
  <si>
    <t>TOTAL DIOGO</t>
  </si>
  <si>
    <t>RAFAELA BEZERRA</t>
  </si>
  <si>
    <t>ELISANGELA CABRAL</t>
  </si>
  <si>
    <t>BRUNO</t>
  </si>
  <si>
    <t xml:space="preserve">TOTAL BRUNO </t>
  </si>
  <si>
    <t>RAFAELA</t>
  </si>
  <si>
    <t>TOTAL RAFAELA</t>
  </si>
  <si>
    <t>VINICIUS</t>
  </si>
  <si>
    <t>TOTAL VINICIUS</t>
  </si>
  <si>
    <t>C18</t>
  </si>
  <si>
    <t>DIOGO PADILHA</t>
  </si>
  <si>
    <t>BARBARA MIRANDA</t>
  </si>
  <si>
    <t>VINÍCIUS JORDÃO</t>
  </si>
  <si>
    <t>GERALDO JOSÉ</t>
  </si>
  <si>
    <t>BRUNO OLIVEIRA</t>
  </si>
  <si>
    <t>MÉDIA /
DIA</t>
  </si>
  <si>
    <t>HEMILI</t>
  </si>
  <si>
    <t>CAROLINA</t>
  </si>
  <si>
    <t>C16</t>
  </si>
  <si>
    <t/>
  </si>
  <si>
    <t>em aberto</t>
  </si>
  <si>
    <t>TOTAL CAROL - Laticínios</t>
  </si>
  <si>
    <t>CAROL - LATICÍNIOS</t>
  </si>
  <si>
    <t>ISAIAS</t>
  </si>
  <si>
    <t>TOTAL ISAIAS</t>
  </si>
  <si>
    <t>HIGIENE</t>
  </si>
  <si>
    <t>ANDRYO</t>
  </si>
  <si>
    <t>ANDRYO - Iogurtes</t>
  </si>
  <si>
    <t>TOTAL HEMILI - Higiene</t>
  </si>
  <si>
    <t>TOTAL ISAIAS - Bazar</t>
  </si>
  <si>
    <t>TOTAL ANDRYO - Iogurtes</t>
  </si>
  <si>
    <t>TOTAL HEMILI - Limpeza</t>
  </si>
  <si>
    <t>PAD DISTRIBUIÇÃO - OUTUBRO  / 2026</t>
  </si>
  <si>
    <t>PAD LOJAS - OUTUBRO  /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</si>
</sst>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43" formatCode="_-* #,##0.00_-;\-* #,##0.00_-;_-* &quot;-&quot;??_-;_-@_-"/>
    <numFmt numFmtId="164" formatCode="_-* #,##0_-;\-* #,##0_-;_-* &quot;-&quot;??_-;_-@_-"/>
    <numFmt numFmtId="165" formatCode="0.0%"/>
    <numFmt numFmtId="166" formatCode="&quot;R$&quot;\ #,##0.00"/>
  </numFmts>
  <fonts count="65" x14ac:knownFonts="1">
    <font>
      <sz val="11"/>
      <color theme="1"/>
      <name val="Cambria"/>
      <family val="2"/>
      <scheme val="minor"/>
    </font>
    <font>
      <sz val="11"/>
      <color theme="1"/>
      <name val="Cambria"/>
      <family val="2"/>
      <scheme val="minor"/>
    </font>
    <font>
      <sz val="10"/>
      <color theme="1"/>
      <name val="Cambria"/>
      <family val="2"/>
      <scheme val="minor"/>
    </font>
    <font>
      <sz val="14"/>
      <color theme="1"/>
      <name val="Cambria"/>
      <family val="2"/>
      <scheme val="minor"/>
    </font>
    <font>
      <b/>
      <sz val="10"/>
      <color theme="1"/>
      <name val="Cambria"/>
      <family val="1"/>
      <scheme val="minor"/>
    </font>
    <font>
      <b/>
      <sz val="11"/>
      <color theme="1"/>
      <name val="Cambria"/>
      <family val="1"/>
      <scheme val="minor"/>
    </font>
    <font>
      <b/>
      <sz val="8"/>
      <color theme="1"/>
      <name val="Cambria"/>
      <family val="2"/>
      <scheme val="minor"/>
    </font>
    <font>
      <sz val="9"/>
      <color theme="1"/>
      <name val="Cambria"/>
      <family val="2"/>
      <scheme val="minor"/>
    </font>
    <font>
      <sz val="10"/>
      <color theme="1"/>
      <name val="Cambria"/>
      <family val="1"/>
      <scheme val="minor"/>
    </font>
    <font>
      <b/>
      <sz val="10"/>
      <color theme="0"/>
      <name val="Cambria"/>
      <family val="1"/>
      <scheme val="minor"/>
    </font>
    <font>
      <sz val="8"/>
      <color rgb="FFFF0000"/>
      <name val="Cambria"/>
      <family val="1"/>
      <scheme val="minor"/>
    </font>
    <font>
      <b/>
      <sz val="9"/>
      <color theme="0"/>
      <name val="Cambria"/>
      <family val="1"/>
      <scheme val="minor"/>
    </font>
    <font>
      <b/>
      <sz val="8"/>
      <color theme="0"/>
      <name val="Cambria"/>
      <family val="2"/>
      <scheme val="minor"/>
    </font>
    <font>
      <sz val="8"/>
      <color theme="1"/>
      <name val="Cambria"/>
      <family val="2"/>
      <scheme val="minor"/>
    </font>
    <font>
      <sz val="9"/>
      <color theme="0"/>
      <name val="Cambria"/>
      <family val="2"/>
      <scheme val="minor"/>
    </font>
    <font>
      <b/>
      <sz val="8"/>
      <color rgb="FFFF0000"/>
      <name val="Cambria"/>
      <family val="1"/>
      <scheme val="minor"/>
    </font>
    <font>
      <b/>
      <sz val="9"/>
      <color theme="1"/>
      <name val="Calibri"/>
      <family val="2"/>
      <scheme val="major"/>
    </font>
    <font>
      <b/>
      <sz val="10"/>
      <color theme="1"/>
      <name val="Calibri"/>
      <family val="2"/>
      <scheme val="major"/>
    </font>
    <font>
      <sz val="9"/>
      <color theme="0"/>
      <name val="Calibri"/>
      <family val="2"/>
      <scheme val="major"/>
    </font>
    <font>
      <sz val="9"/>
      <color theme="1"/>
      <name val="Calibri"/>
      <family val="2"/>
      <scheme val="major"/>
    </font>
    <font>
      <sz val="10"/>
      <color theme="1"/>
      <name val="Calibri"/>
      <family val="2"/>
      <scheme val="major"/>
    </font>
    <font>
      <b/>
      <sz val="9"/>
      <color theme="0"/>
      <name val="Calibri"/>
      <family val="2"/>
      <scheme val="major"/>
    </font>
    <font>
      <b/>
      <sz val="10"/>
      <color theme="0"/>
      <name val="Calibri"/>
      <family val="2"/>
      <scheme val="major"/>
    </font>
    <font>
      <sz val="11"/>
      <color theme="1"/>
      <name val="Calibri"/>
      <family val="2"/>
      <scheme val="major"/>
    </font>
    <font>
      <sz val="12"/>
      <color theme="1" tint="0.249977111117893"/>
      <name val="Cambria"/>
      <family val="1"/>
      <scheme val="minor"/>
    </font>
    <font>
      <sz val="10"/>
      <color theme="1" tint="0.249977111117893"/>
      <name val="Cambria"/>
      <family val="1"/>
      <scheme val="minor"/>
    </font>
    <font>
      <sz val="10"/>
      <color rgb="FFFF0000"/>
      <name val="Cambria"/>
      <family val="1"/>
      <scheme val="minor"/>
    </font>
    <font>
      <b/>
      <sz val="10"/>
      <name val="Calibri"/>
      <family val="2"/>
      <scheme val="major"/>
    </font>
    <font>
      <b/>
      <sz val="9"/>
      <name val="Calibri"/>
      <family val="2"/>
      <scheme val="major"/>
    </font>
    <font>
      <sz val="11"/>
      <color theme="0"/>
      <name val="Cambria"/>
      <family val="2"/>
      <scheme val="minor"/>
    </font>
    <font>
      <sz val="10"/>
      <color theme="0"/>
      <name val="Cambria"/>
      <family val="2"/>
      <scheme val="minor"/>
    </font>
    <font>
      <sz val="11"/>
      <color theme="0"/>
      <name val="Cambria"/>
      <family val="1"/>
      <scheme val="minor"/>
    </font>
    <font>
      <sz val="8"/>
      <name val="Cambria"/>
      <family val="1"/>
      <scheme val="minor"/>
    </font>
    <font>
      <b/>
      <sz val="9"/>
      <name val="Cambria"/>
      <family val="1"/>
      <scheme val="minor"/>
    </font>
    <font>
      <sz val="12"/>
      <name val="Cambria"/>
      <family val="1"/>
      <scheme val="minor"/>
    </font>
    <font>
      <sz val="8"/>
      <color theme="0"/>
      <name val="Cambria"/>
      <family val="1"/>
      <scheme val="minor"/>
    </font>
    <font>
      <sz val="14"/>
      <color theme="0"/>
      <name val="Cambria"/>
      <family val="2"/>
      <scheme val="minor"/>
    </font>
    <font>
      <sz val="9"/>
      <color theme="0"/>
      <name val="Cambria"/>
      <family val="1"/>
      <scheme val="minor"/>
    </font>
    <font>
      <b/>
      <sz val="14"/>
      <color theme="0"/>
      <name val="Cambria"/>
      <family val="1"/>
      <scheme val="minor"/>
    </font>
    <font>
      <sz val="12"/>
      <color theme="0"/>
      <name val="Cambria"/>
      <family val="1"/>
      <scheme val="minor"/>
    </font>
    <font>
      <b/>
      <sz val="9"/>
      <color theme="1"/>
      <name val="Cambria"/>
      <family val="1"/>
      <scheme val="minor"/>
    </font>
    <font>
      <sz val="9"/>
      <name val="Cambria"/>
      <family val="1"/>
      <scheme val="minor"/>
    </font>
    <font>
      <sz val="9"/>
      <color theme="1" tint="0.249977111117893"/>
      <name val="Cambria"/>
      <family val="1"/>
      <scheme val="minor"/>
    </font>
    <font>
      <sz val="9"/>
      <color theme="1"/>
      <name val="Cambria"/>
      <family val="1"/>
      <scheme val="minor"/>
    </font>
    <font>
      <b/>
      <sz val="9"/>
      <color theme="0"/>
      <name val="Cambria"/>
      <family val="2"/>
      <scheme val="minor"/>
    </font>
    <font>
      <b/>
      <sz val="9"/>
      <color theme="1"/>
      <name val="Cambria"/>
      <family val="2"/>
      <scheme val="minor"/>
    </font>
    <font>
      <sz val="8"/>
      <color theme="1"/>
      <name val="Cambria"/>
      <family val="1"/>
      <scheme val="minor"/>
    </font>
    <font>
      <b/>
      <sz val="8"/>
      <color theme="1"/>
      <name val="Cambria"/>
      <family val="1"/>
      <scheme val="minor"/>
    </font>
    <font>
      <b/>
      <sz val="8"/>
      <color theme="1"/>
      <name val="Calibri"/>
      <family val="2"/>
      <scheme val="major"/>
    </font>
    <font>
      <b/>
      <sz val="9"/>
      <color rgb="FF7A0B0B"/>
      <name val="Cambria"/>
      <family val="1"/>
      <scheme val="minor"/>
    </font>
    <font>
      <sz val="9"/>
      <color rgb="FF7A0B0B"/>
      <name val="Cambria"/>
      <family val="1"/>
      <scheme val="minor"/>
    </font>
    <font>
      <sz val="10"/>
      <color theme="0"/>
      <name val="Cambria"/>
      <family val="1"/>
      <scheme val="minor"/>
    </font>
    <font>
      <sz val="10"/>
      <color rgb="FF7A0B0B"/>
      <name val="Cambria"/>
      <family val="1"/>
      <scheme val="minor"/>
    </font>
    <font>
      <sz val="11"/>
      <color rgb="FF7A0B0B"/>
      <name val="Cambria"/>
      <family val="1"/>
      <scheme val="minor"/>
    </font>
    <font>
      <b/>
      <sz val="8"/>
      <color rgb="FF92D050"/>
      <name val="Cambria"/>
      <family val="1"/>
      <scheme val="minor"/>
    </font>
    <font>
      <b/>
      <sz val="26"/>
      <color theme="1"/>
      <name val="Cambria"/>
      <family val="1"/>
      <scheme val="minor"/>
    </font>
    <font>
      <b/>
      <sz val="9"/>
      <color theme="1"/>
      <name val="Calibri"/>
      <family val="1"/>
      <scheme val="major"/>
    </font>
    <font>
      <b/>
      <sz val="14"/>
      <color theme="1"/>
      <name val="Cambria"/>
      <family val="1"/>
      <scheme val="minor"/>
    </font>
    <font>
      <sz val="11"/>
      <color theme="1"/>
      <name val="Cambria"/>
      <family val="1"/>
      <scheme val="minor"/>
    </font>
    <font>
      <b/>
      <sz val="12"/>
      <color theme="1"/>
      <name val="Cambria"/>
      <family val="1"/>
      <scheme val="minor"/>
    </font>
    <font>
      <b/>
      <sz val="7"/>
      <color theme="1"/>
      <name val="Cambria"/>
      <family val="1"/>
      <scheme val="minor"/>
    </font>
    <font>
      <b/>
      <sz val="9"/>
      <color theme="0" tint="-0.14999847407452621"/>
      <name val="Cambria"/>
      <family val="1"/>
      <scheme val="minor"/>
    </font>
    <font>
      <sz val="9"/>
      <color theme="0" tint="-0.14999847407452621"/>
      <name val="Cambria"/>
      <family val="1"/>
      <scheme val="minor"/>
    </font>
    <font>
      <sz val="9"/>
      <color rgb="FFFF0000"/>
      <name val="Cambria"/>
      <family val="1"/>
      <scheme val="minor"/>
    </font>
    <font>
      <b/>
      <sz val="9"/>
      <color rgb="FFFF0000"/>
      <name val="Cambria"/>
      <family val="1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theme="2" tint="0.39997558519241921"/>
        <bgColor indexed="64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indexed="64"/>
      </left>
      <right/>
      <top/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36">
    <xf numFmtId="0" fontId="0" fillId="0" borderId="0" xfId="0"/>
    <xf numFmtId="0" fontId="2" fillId="2" borderId="0" xfId="0" applyFont="1" applyFill="1"/>
    <xf numFmtId="0" fontId="3" fillId="2" borderId="0" xfId="0" applyFont="1" applyFill="1"/>
    <xf numFmtId="0" fontId="2" fillId="2" borderId="0" xfId="0" applyFont="1" applyFill="1" applyAlignment="1">
      <alignment horizontal="center"/>
    </xf>
    <xf numFmtId="43" fontId="2" fillId="2" borderId="0" xfId="1" applyFont="1" applyFill="1"/>
    <xf numFmtId="165" fontId="2" fillId="2" borderId="0" xfId="2" applyNumberFormat="1" applyFont="1" applyFill="1"/>
    <xf numFmtId="0" fontId="2" fillId="2" borderId="1" xfId="0" applyFont="1" applyFill="1" applyBorder="1" applyAlignment="1">
      <alignment horizontal="left"/>
    </xf>
    <xf numFmtId="0" fontId="10" fillId="2" borderId="0" xfId="0" applyFont="1" applyFill="1" applyAlignment="1">
      <alignment horizontal="center"/>
    </xf>
    <xf numFmtId="0" fontId="11" fillId="2" borderId="0" xfId="0" applyFont="1" applyFill="1" applyAlignment="1">
      <alignment horizontal="center"/>
    </xf>
    <xf numFmtId="0" fontId="4" fillId="4" borderId="1" xfId="0" applyFont="1" applyFill="1" applyBorder="1" applyAlignment="1">
      <alignment horizontal="center" vertical="center"/>
    </xf>
    <xf numFmtId="0" fontId="5" fillId="0" borderId="0" xfId="0" applyFont="1" applyAlignment="1">
      <alignment vertical="center"/>
    </xf>
    <xf numFmtId="0" fontId="2" fillId="0" borderId="0" xfId="0" applyFont="1"/>
    <xf numFmtId="0" fontId="8" fillId="0" borderId="0" xfId="0" applyFont="1"/>
    <xf numFmtId="0" fontId="7" fillId="0" borderId="0" xfId="0" applyFont="1"/>
    <xf numFmtId="0" fontId="4" fillId="0" borderId="0" xfId="0" applyFont="1"/>
    <xf numFmtId="0" fontId="4" fillId="0" borderId="0" xfId="0" applyFont="1" applyAlignment="1">
      <alignment vertical="center"/>
    </xf>
    <xf numFmtId="0" fontId="13" fillId="2" borderId="0" xfId="0" applyFont="1" applyFill="1"/>
    <xf numFmtId="0" fontId="6" fillId="2" borderId="0" xfId="0" applyFont="1" applyFill="1"/>
    <xf numFmtId="0" fontId="7" fillId="2" borderId="0" xfId="0" applyFont="1" applyFill="1"/>
    <xf numFmtId="43" fontId="7" fillId="2" borderId="0" xfId="1" applyFont="1" applyFill="1"/>
    <xf numFmtId="164" fontId="7" fillId="2" borderId="0" xfId="1" applyNumberFormat="1" applyFont="1" applyFill="1"/>
    <xf numFmtId="0" fontId="8" fillId="2" borderId="0" xfId="0" applyFont="1" applyFill="1" applyAlignment="1">
      <alignment horizontal="center"/>
    </xf>
    <xf numFmtId="0" fontId="8" fillId="2" borderId="0" xfId="0" applyFont="1" applyFill="1"/>
    <xf numFmtId="165" fontId="8" fillId="2" borderId="0" xfId="2" applyNumberFormat="1" applyFont="1" applyFill="1" applyAlignment="1">
      <alignment horizontal="center"/>
    </xf>
    <xf numFmtId="43" fontId="8" fillId="2" borderId="0" xfId="1" applyFont="1" applyFill="1"/>
    <xf numFmtId="0" fontId="9" fillId="3" borderId="1" xfId="0" applyFont="1" applyFill="1" applyBorder="1" applyAlignment="1">
      <alignment horizontal="center" vertical="center"/>
    </xf>
    <xf numFmtId="0" fontId="15" fillId="2" borderId="0" xfId="0" applyFont="1" applyFill="1" applyAlignment="1">
      <alignment horizontal="center"/>
    </xf>
    <xf numFmtId="164" fontId="16" fillId="4" borderId="1" xfId="0" applyNumberFormat="1" applyFont="1" applyFill="1" applyBorder="1" applyAlignment="1">
      <alignment vertical="center"/>
    </xf>
    <xf numFmtId="0" fontId="17" fillId="0" borderId="0" xfId="0" applyFont="1"/>
    <xf numFmtId="164" fontId="17" fillId="4" borderId="1" xfId="0" applyNumberFormat="1" applyFont="1" applyFill="1" applyBorder="1" applyAlignment="1">
      <alignment vertical="center"/>
    </xf>
    <xf numFmtId="165" fontId="17" fillId="4" borderId="1" xfId="2" applyNumberFormat="1" applyFont="1" applyFill="1" applyBorder="1" applyAlignment="1">
      <alignment horizontal="center" vertical="center"/>
    </xf>
    <xf numFmtId="165" fontId="16" fillId="4" borderId="1" xfId="2" applyNumberFormat="1" applyFont="1" applyFill="1" applyBorder="1" applyAlignment="1">
      <alignment horizontal="center" vertical="center"/>
    </xf>
    <xf numFmtId="43" fontId="16" fillId="4" borderId="1" xfId="1" applyFont="1" applyFill="1" applyBorder="1" applyAlignment="1">
      <alignment vertical="center"/>
    </xf>
    <xf numFmtId="164" fontId="19" fillId="2" borderId="1" xfId="1" applyNumberFormat="1" applyFont="1" applyFill="1" applyBorder="1"/>
    <xf numFmtId="0" fontId="20" fillId="0" borderId="0" xfId="0" applyFont="1"/>
    <xf numFmtId="164" fontId="20" fillId="2" borderId="1" xfId="1" applyNumberFormat="1" applyFont="1" applyFill="1" applyBorder="1"/>
    <xf numFmtId="0" fontId="19" fillId="0" borderId="0" xfId="0" applyFont="1"/>
    <xf numFmtId="164" fontId="19" fillId="2" borderId="2" xfId="1" applyNumberFormat="1" applyFont="1" applyFill="1" applyBorder="1" applyAlignment="1">
      <alignment horizontal="center"/>
    </xf>
    <xf numFmtId="43" fontId="19" fillId="2" borderId="1" xfId="1" applyFont="1" applyFill="1" applyBorder="1"/>
    <xf numFmtId="0" fontId="16" fillId="0" borderId="0" xfId="0" applyFont="1" applyAlignment="1">
      <alignment vertical="center"/>
    </xf>
    <xf numFmtId="164" fontId="21" fillId="3" borderId="1" xfId="0" applyNumberFormat="1" applyFont="1" applyFill="1" applyBorder="1" applyAlignment="1">
      <alignment vertical="center"/>
    </xf>
    <xf numFmtId="164" fontId="22" fillId="3" borderId="1" xfId="0" applyNumberFormat="1" applyFont="1" applyFill="1" applyBorder="1" applyAlignment="1">
      <alignment vertical="center"/>
    </xf>
    <xf numFmtId="165" fontId="17" fillId="3" borderId="1" xfId="2" applyNumberFormat="1" applyFont="1" applyFill="1" applyBorder="1" applyAlignment="1">
      <alignment horizontal="center" vertical="center"/>
    </xf>
    <xf numFmtId="43" fontId="22" fillId="3" borderId="1" xfId="1" applyFont="1" applyFill="1" applyBorder="1" applyAlignment="1">
      <alignment vertical="center"/>
    </xf>
    <xf numFmtId="165" fontId="16" fillId="3" borderId="1" xfId="2" applyNumberFormat="1" applyFont="1" applyFill="1" applyBorder="1" applyAlignment="1">
      <alignment horizontal="center" vertical="center"/>
    </xf>
    <xf numFmtId="0" fontId="21" fillId="0" borderId="0" xfId="0" applyFont="1" applyAlignment="1">
      <alignment vertical="center"/>
    </xf>
    <xf numFmtId="43" fontId="21" fillId="3" borderId="1" xfId="1" applyFont="1" applyFill="1" applyBorder="1" applyAlignment="1">
      <alignment vertical="center"/>
    </xf>
    <xf numFmtId="0" fontId="19" fillId="2" borderId="0" xfId="0" applyFont="1" applyFill="1"/>
    <xf numFmtId="0" fontId="20" fillId="2" borderId="0" xfId="0" applyFont="1" applyFill="1"/>
    <xf numFmtId="0" fontId="20" fillId="2" borderId="0" xfId="0" applyFont="1" applyFill="1" applyAlignment="1">
      <alignment horizontal="center"/>
    </xf>
    <xf numFmtId="43" fontId="20" fillId="2" borderId="0" xfId="1" applyFont="1" applyFill="1"/>
    <xf numFmtId="0" fontId="19" fillId="2" borderId="0" xfId="0" applyFont="1" applyFill="1" applyAlignment="1">
      <alignment horizontal="center"/>
    </xf>
    <xf numFmtId="43" fontId="19" fillId="2" borderId="0" xfId="1" applyFont="1" applyFill="1"/>
    <xf numFmtId="164" fontId="19" fillId="2" borderId="0" xfId="1" applyNumberFormat="1" applyFont="1" applyFill="1"/>
    <xf numFmtId="165" fontId="19" fillId="2" borderId="0" xfId="2" applyNumberFormat="1" applyFont="1" applyFill="1"/>
    <xf numFmtId="0" fontId="23" fillId="0" borderId="0" xfId="0" applyFont="1"/>
    <xf numFmtId="164" fontId="20" fillId="2" borderId="0" xfId="0" applyNumberFormat="1" applyFont="1" applyFill="1"/>
    <xf numFmtId="0" fontId="24" fillId="0" borderId="0" xfId="0" applyFont="1" applyAlignment="1">
      <alignment vertical="center"/>
    </xf>
    <xf numFmtId="0" fontId="25" fillId="0" borderId="0" xfId="0" applyFont="1"/>
    <xf numFmtId="164" fontId="19" fillId="2" borderId="0" xfId="0" applyNumberFormat="1" applyFont="1" applyFill="1"/>
    <xf numFmtId="164" fontId="8" fillId="2" borderId="0" xfId="0" applyNumberFormat="1" applyFont="1" applyFill="1"/>
    <xf numFmtId="0" fontId="14" fillId="0" borderId="0" xfId="0" applyFont="1"/>
    <xf numFmtId="9" fontId="18" fillId="0" borderId="0" xfId="2" applyFont="1" applyFill="1"/>
    <xf numFmtId="0" fontId="18" fillId="0" borderId="0" xfId="0" applyFont="1"/>
    <xf numFmtId="0" fontId="15" fillId="0" borderId="0" xfId="0" applyFont="1" applyAlignment="1">
      <alignment horizontal="center"/>
    </xf>
    <xf numFmtId="0" fontId="26" fillId="0" borderId="0" xfId="0" applyFont="1"/>
    <xf numFmtId="43" fontId="7" fillId="0" borderId="0" xfId="1" applyFont="1" applyFill="1"/>
    <xf numFmtId="43" fontId="8" fillId="0" borderId="0" xfId="1" applyFont="1" applyFill="1"/>
    <xf numFmtId="164" fontId="21" fillId="5" borderId="1" xfId="0" applyNumberFormat="1" applyFont="1" applyFill="1" applyBorder="1" applyAlignment="1">
      <alignment vertical="center"/>
    </xf>
    <xf numFmtId="165" fontId="17" fillId="0" borderId="1" xfId="2" applyNumberFormat="1" applyFont="1" applyFill="1" applyBorder="1" applyAlignment="1">
      <alignment horizontal="center" vertical="center"/>
    </xf>
    <xf numFmtId="165" fontId="16" fillId="0" borderId="1" xfId="2" applyNumberFormat="1" applyFont="1" applyFill="1" applyBorder="1" applyAlignment="1">
      <alignment horizontal="center" vertical="center"/>
    </xf>
    <xf numFmtId="0" fontId="15" fillId="0" borderId="3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164" fontId="21" fillId="0" borderId="3" xfId="0" applyNumberFormat="1" applyFont="1" applyBorder="1" applyAlignment="1">
      <alignment vertical="center"/>
    </xf>
    <xf numFmtId="0" fontId="22" fillId="0" borderId="3" xfId="0" applyFont="1" applyBorder="1" applyAlignment="1">
      <alignment vertical="center"/>
    </xf>
    <xf numFmtId="164" fontId="22" fillId="0" borderId="3" xfId="0" applyNumberFormat="1" applyFont="1" applyBorder="1" applyAlignment="1">
      <alignment vertical="center"/>
    </xf>
    <xf numFmtId="165" fontId="17" fillId="0" borderId="3" xfId="2" applyNumberFormat="1" applyFont="1" applyFill="1" applyBorder="1" applyAlignment="1">
      <alignment horizontal="center" vertical="center"/>
    </xf>
    <xf numFmtId="43" fontId="22" fillId="0" borderId="3" xfId="1" applyFont="1" applyFill="1" applyBorder="1" applyAlignment="1">
      <alignment vertical="center"/>
    </xf>
    <xf numFmtId="0" fontId="21" fillId="0" borderId="3" xfId="0" applyFont="1" applyBorder="1" applyAlignment="1">
      <alignment vertical="center"/>
    </xf>
    <xf numFmtId="0" fontId="9" fillId="0" borderId="3" xfId="0" applyFont="1" applyBorder="1" applyAlignment="1">
      <alignment vertical="center"/>
    </xf>
    <xf numFmtId="10" fontId="17" fillId="4" borderId="1" xfId="2" applyNumberFormat="1" applyFont="1" applyFill="1" applyBorder="1" applyAlignment="1">
      <alignment horizontal="center" vertical="center"/>
    </xf>
    <xf numFmtId="10" fontId="17" fillId="3" borderId="1" xfId="2" applyNumberFormat="1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164" fontId="16" fillId="0" borderId="1" xfId="0" applyNumberFormat="1" applyFont="1" applyBorder="1" applyAlignment="1">
      <alignment vertical="center"/>
    </xf>
    <xf numFmtId="164" fontId="17" fillId="0" borderId="1" xfId="0" applyNumberFormat="1" applyFont="1" applyBorder="1" applyAlignment="1">
      <alignment vertical="center"/>
    </xf>
    <xf numFmtId="164" fontId="27" fillId="0" borderId="1" xfId="0" applyNumberFormat="1" applyFont="1" applyBorder="1" applyAlignment="1">
      <alignment horizontal="center" vertical="center"/>
    </xf>
    <xf numFmtId="0" fontId="16" fillId="0" borderId="0" xfId="0" applyFont="1"/>
    <xf numFmtId="43" fontId="17" fillId="0" borderId="1" xfId="0" applyNumberFormat="1" applyFont="1" applyBorder="1" applyAlignment="1">
      <alignment vertical="center"/>
    </xf>
    <xf numFmtId="43" fontId="27" fillId="0" borderId="1" xfId="0" applyNumberFormat="1" applyFont="1" applyBorder="1" applyAlignment="1">
      <alignment horizontal="center" vertical="center"/>
    </xf>
    <xf numFmtId="164" fontId="28" fillId="0" borderId="1" xfId="1" applyNumberFormat="1" applyFont="1" applyFill="1" applyBorder="1" applyAlignment="1">
      <alignment horizontal="center" vertical="center"/>
    </xf>
    <xf numFmtId="43" fontId="28" fillId="0" borderId="1" xfId="1" applyFont="1" applyFill="1" applyBorder="1" applyAlignment="1">
      <alignment horizontal="center" vertical="center"/>
    </xf>
    <xf numFmtId="165" fontId="16" fillId="0" borderId="0" xfId="0" applyNumberFormat="1" applyFont="1"/>
    <xf numFmtId="165" fontId="19" fillId="0" borderId="0" xfId="0" applyNumberFormat="1" applyFont="1"/>
    <xf numFmtId="164" fontId="21" fillId="5" borderId="14" xfId="0" applyNumberFormat="1" applyFont="1" applyFill="1" applyBorder="1" applyAlignment="1">
      <alignment vertical="center"/>
    </xf>
    <xf numFmtId="0" fontId="9" fillId="3" borderId="14" xfId="0" applyFont="1" applyFill="1" applyBorder="1" applyAlignment="1">
      <alignment horizontal="center" vertical="center"/>
    </xf>
    <xf numFmtId="165" fontId="17" fillId="3" borderId="14" xfId="2" applyNumberFormat="1" applyFont="1" applyFill="1" applyBorder="1" applyAlignment="1">
      <alignment horizontal="center" vertical="center"/>
    </xf>
    <xf numFmtId="0" fontId="16" fillId="0" borderId="14" xfId="0" applyFont="1" applyBorder="1" applyAlignment="1">
      <alignment vertical="center"/>
    </xf>
    <xf numFmtId="10" fontId="22" fillId="3" borderId="14" xfId="2" applyNumberFormat="1" applyFont="1" applyFill="1" applyBorder="1" applyAlignment="1">
      <alignment horizontal="center" vertical="center"/>
    </xf>
    <xf numFmtId="0" fontId="21" fillId="0" borderId="14" xfId="0" applyFont="1" applyBorder="1" applyAlignment="1">
      <alignment vertical="center"/>
    </xf>
    <xf numFmtId="43" fontId="22" fillId="3" borderId="14" xfId="1" applyFont="1" applyFill="1" applyBorder="1" applyAlignment="1">
      <alignment vertical="center"/>
    </xf>
    <xf numFmtId="10" fontId="17" fillId="3" borderId="14" xfId="2" applyNumberFormat="1" applyFont="1" applyFill="1" applyBorder="1" applyAlignment="1">
      <alignment horizontal="center" vertical="center"/>
    </xf>
    <xf numFmtId="9" fontId="18" fillId="0" borderId="14" xfId="2" applyFont="1" applyFill="1" applyBorder="1"/>
    <xf numFmtId="165" fontId="22" fillId="3" borderId="14" xfId="2" applyNumberFormat="1" applyFont="1" applyFill="1" applyBorder="1" applyAlignment="1">
      <alignment horizontal="center" vertical="center"/>
    </xf>
    <xf numFmtId="43" fontId="21" fillId="3" borderId="14" xfId="1" applyFont="1" applyFill="1" applyBorder="1" applyAlignment="1">
      <alignment vertical="center"/>
    </xf>
    <xf numFmtId="164" fontId="20" fillId="2" borderId="0" xfId="1" applyNumberFormat="1" applyFont="1" applyFill="1"/>
    <xf numFmtId="49" fontId="4" fillId="0" borderId="1" xfId="0" applyNumberFormat="1" applyFont="1" applyBorder="1" applyAlignment="1">
      <alignment horizontal="center" vertical="center"/>
    </xf>
    <xf numFmtId="0" fontId="41" fillId="0" borderId="5" xfId="0" applyFont="1" applyBorder="1" applyAlignment="1">
      <alignment horizontal="center"/>
    </xf>
    <xf numFmtId="0" fontId="42" fillId="0" borderId="0" xfId="0" applyFont="1"/>
    <xf numFmtId="10" fontId="20" fillId="0" borderId="1" xfId="2" applyNumberFormat="1" applyFont="1" applyFill="1" applyBorder="1" applyAlignment="1">
      <alignment horizontal="center" vertical="center"/>
    </xf>
    <xf numFmtId="164" fontId="2" fillId="2" borderId="0" xfId="0" applyNumberFormat="1" applyFont="1" applyFill="1"/>
    <xf numFmtId="165" fontId="16" fillId="0" borderId="3" xfId="2" applyNumberFormat="1" applyFont="1" applyFill="1" applyBorder="1" applyAlignment="1">
      <alignment horizontal="center" vertical="center"/>
    </xf>
    <xf numFmtId="0" fontId="43" fillId="2" borderId="0" xfId="0" applyFont="1" applyFill="1" applyAlignment="1">
      <alignment horizontal="center"/>
    </xf>
    <xf numFmtId="165" fontId="16" fillId="3" borderId="14" xfId="2" applyNumberFormat="1" applyFont="1" applyFill="1" applyBorder="1" applyAlignment="1">
      <alignment horizontal="center" vertical="center"/>
    </xf>
    <xf numFmtId="0" fontId="7" fillId="2" borderId="0" xfId="0" applyFont="1" applyFill="1" applyAlignment="1">
      <alignment horizontal="center"/>
    </xf>
    <xf numFmtId="0" fontId="43" fillId="2" borderId="0" xfId="0" applyFont="1" applyFill="1"/>
    <xf numFmtId="165" fontId="16" fillId="2" borderId="1" xfId="2" applyNumberFormat="1" applyFont="1" applyFill="1" applyBorder="1" applyAlignment="1">
      <alignment horizontal="center" vertical="center"/>
    </xf>
    <xf numFmtId="0" fontId="43" fillId="0" borderId="0" xfId="0" applyFont="1"/>
    <xf numFmtId="165" fontId="40" fillId="2" borderId="0" xfId="2" applyNumberFormat="1" applyFont="1" applyFill="1" applyAlignment="1">
      <alignment horizontal="center"/>
    </xf>
    <xf numFmtId="165" fontId="16" fillId="2" borderId="0" xfId="2" applyNumberFormat="1" applyFont="1" applyFill="1"/>
    <xf numFmtId="165" fontId="45" fillId="2" borderId="0" xfId="2" applyNumberFormat="1" applyFont="1" applyFill="1"/>
    <xf numFmtId="165" fontId="46" fillId="0" borderId="1" xfId="2" applyNumberFormat="1" applyFont="1" applyFill="1" applyBorder="1" applyAlignment="1">
      <alignment horizontal="center" vertical="center"/>
    </xf>
    <xf numFmtId="165" fontId="46" fillId="0" borderId="3" xfId="2" applyNumberFormat="1" applyFont="1" applyFill="1" applyBorder="1" applyAlignment="1">
      <alignment horizontal="center" vertical="center"/>
    </xf>
    <xf numFmtId="165" fontId="46" fillId="5" borderId="1" xfId="2" applyNumberFormat="1" applyFont="1" applyFill="1" applyBorder="1" applyAlignment="1">
      <alignment horizontal="center" vertical="center"/>
    </xf>
    <xf numFmtId="165" fontId="47" fillId="2" borderId="1" xfId="2" applyNumberFormat="1" applyFont="1" applyFill="1" applyBorder="1" applyAlignment="1">
      <alignment horizontal="center" vertical="center"/>
    </xf>
    <xf numFmtId="165" fontId="47" fillId="4" borderId="1" xfId="2" applyNumberFormat="1" applyFont="1" applyFill="1" applyBorder="1" applyAlignment="1">
      <alignment horizontal="center" vertical="center"/>
    </xf>
    <xf numFmtId="165" fontId="48" fillId="2" borderId="0" xfId="2" applyNumberFormat="1" applyFont="1" applyFill="1" applyAlignment="1">
      <alignment horizontal="center"/>
    </xf>
    <xf numFmtId="165" fontId="47" fillId="5" borderId="14" xfId="2" applyNumberFormat="1" applyFont="1" applyFill="1" applyBorder="1" applyAlignment="1">
      <alignment horizontal="center" vertical="center"/>
    </xf>
    <xf numFmtId="10" fontId="19" fillId="0" borderId="1" xfId="2" applyNumberFormat="1" applyFont="1" applyFill="1" applyBorder="1" applyAlignment="1">
      <alignment horizontal="center" vertical="center"/>
    </xf>
    <xf numFmtId="10" fontId="16" fillId="4" borderId="1" xfId="2" applyNumberFormat="1" applyFont="1" applyFill="1" applyBorder="1" applyAlignment="1">
      <alignment horizontal="center" vertical="center"/>
    </xf>
    <xf numFmtId="10" fontId="21" fillId="3" borderId="14" xfId="2" applyNumberFormat="1" applyFont="1" applyFill="1" applyBorder="1" applyAlignment="1">
      <alignment horizontal="center" vertical="center"/>
    </xf>
    <xf numFmtId="164" fontId="20" fillId="0" borderId="1" xfId="1" applyNumberFormat="1" applyFont="1" applyFill="1" applyBorder="1"/>
    <xf numFmtId="165" fontId="54" fillId="2" borderId="1" xfId="2" applyNumberFormat="1" applyFont="1" applyFill="1" applyBorder="1" applyAlignment="1">
      <alignment horizontal="center" vertical="center"/>
    </xf>
    <xf numFmtId="0" fontId="29" fillId="6" borderId="0" xfId="0" applyFont="1" applyFill="1"/>
    <xf numFmtId="0" fontId="11" fillId="6" borderId="0" xfId="0" applyFont="1" applyFill="1" applyAlignment="1">
      <alignment horizontal="center"/>
    </xf>
    <xf numFmtId="0" fontId="31" fillId="6" borderId="0" xfId="0" applyFont="1" applyFill="1" applyAlignment="1">
      <alignment vertical="center"/>
    </xf>
    <xf numFmtId="0" fontId="58" fillId="6" borderId="0" xfId="0" applyFont="1" applyFill="1" applyAlignment="1">
      <alignment vertical="center"/>
    </xf>
    <xf numFmtId="0" fontId="37" fillId="6" borderId="6" xfId="0" applyFont="1" applyFill="1" applyBorder="1"/>
    <xf numFmtId="43" fontId="40" fillId="6" borderId="6" xfId="1" applyFont="1" applyFill="1" applyBorder="1" applyAlignment="1">
      <alignment horizontal="center" vertical="center" wrapText="1"/>
    </xf>
    <xf numFmtId="0" fontId="37" fillId="6" borderId="0" xfId="0" applyFont="1" applyFill="1"/>
    <xf numFmtId="43" fontId="47" fillId="6" borderId="6" xfId="1" applyFont="1" applyFill="1" applyBorder="1" applyAlignment="1">
      <alignment horizontal="center" vertical="center" wrapText="1"/>
    </xf>
    <xf numFmtId="43" fontId="56" fillId="6" borderId="6" xfId="1" applyFont="1" applyFill="1" applyBorder="1" applyAlignment="1">
      <alignment horizontal="center" vertical="center" wrapText="1"/>
    </xf>
    <xf numFmtId="43" fontId="40" fillId="6" borderId="7" xfId="1" applyFont="1" applyFill="1" applyBorder="1" applyAlignment="1">
      <alignment horizontal="center" vertical="center" wrapText="1"/>
    </xf>
    <xf numFmtId="0" fontId="52" fillId="6" borderId="0" xfId="0" applyFont="1" applyFill="1"/>
    <xf numFmtId="165" fontId="52" fillId="6" borderId="0" xfId="2" applyNumberFormat="1" applyFont="1" applyFill="1"/>
    <xf numFmtId="0" fontId="53" fillId="6" borderId="0" xfId="0" applyFont="1" applyFill="1"/>
    <xf numFmtId="0" fontId="52" fillId="6" borderId="0" xfId="0" applyFont="1" applyFill="1" applyAlignment="1">
      <alignment horizontal="center"/>
    </xf>
    <xf numFmtId="43" fontId="52" fillId="6" borderId="0" xfId="1" applyFont="1" applyFill="1"/>
    <xf numFmtId="0" fontId="49" fillId="6" borderId="0" xfId="0" applyFont="1" applyFill="1" applyAlignment="1">
      <alignment horizontal="center"/>
    </xf>
    <xf numFmtId="0" fontId="50" fillId="6" borderId="0" xfId="0" applyFont="1" applyFill="1"/>
    <xf numFmtId="43" fontId="37" fillId="6" borderId="0" xfId="1" applyFont="1" applyFill="1"/>
    <xf numFmtId="0" fontId="51" fillId="6" borderId="0" xfId="0" applyFont="1" applyFill="1"/>
    <xf numFmtId="0" fontId="36" fillId="6" borderId="0" xfId="0" applyFont="1" applyFill="1"/>
    <xf numFmtId="43" fontId="59" fillId="6" borderId="6" xfId="1" applyFont="1" applyFill="1" applyBorder="1" applyAlignment="1">
      <alignment horizontal="center" vertical="center" wrapText="1"/>
    </xf>
    <xf numFmtId="0" fontId="58" fillId="6" borderId="0" xfId="0" applyFont="1" applyFill="1"/>
    <xf numFmtId="43" fontId="4" fillId="6" borderId="7" xfId="1" applyFont="1" applyFill="1" applyBorder="1" applyAlignment="1">
      <alignment horizontal="center" vertical="center" wrapText="1"/>
    </xf>
    <xf numFmtId="0" fontId="5" fillId="6" borderId="0" xfId="0" applyFont="1" applyFill="1" applyAlignment="1">
      <alignment horizontal="center" vertical="center"/>
    </xf>
    <xf numFmtId="166" fontId="57" fillId="6" borderId="10" xfId="0" applyNumberFormat="1" applyFont="1" applyFill="1" applyBorder="1" applyAlignment="1">
      <alignment vertical="center"/>
    </xf>
    <xf numFmtId="0" fontId="11" fillId="0" borderId="0" xfId="0" applyFont="1" applyAlignment="1">
      <alignment horizontal="center"/>
    </xf>
    <xf numFmtId="0" fontId="35" fillId="0" borderId="0" xfId="0" applyFont="1" applyAlignment="1">
      <alignment horizontal="center"/>
    </xf>
    <xf numFmtId="0" fontId="39" fillId="0" borderId="0" xfId="0" applyFont="1" applyAlignment="1">
      <alignment horizontal="center" vertical="center"/>
    </xf>
    <xf numFmtId="0" fontId="35" fillId="0" borderId="5" xfId="0" applyFont="1" applyBorder="1" applyAlignment="1">
      <alignment horizontal="center"/>
    </xf>
    <xf numFmtId="0" fontId="32" fillId="0" borderId="0" xfId="0" applyFont="1" applyAlignment="1">
      <alignment horizontal="center"/>
    </xf>
    <xf numFmtId="0" fontId="3" fillId="0" borderId="0" xfId="0" applyFont="1"/>
    <xf numFmtId="0" fontId="33" fillId="0" borderId="0" xfId="0" applyFont="1" applyAlignment="1">
      <alignment horizontal="center"/>
    </xf>
    <xf numFmtId="0" fontId="34" fillId="0" borderId="0" xfId="0" applyFont="1" applyAlignment="1">
      <alignment horizontal="center" vertical="center"/>
    </xf>
    <xf numFmtId="0" fontId="31" fillId="4" borderId="8" xfId="0" applyFont="1" applyFill="1" applyBorder="1" applyAlignment="1">
      <alignment vertical="center"/>
    </xf>
    <xf numFmtId="0" fontId="29" fillId="4" borderId="16" xfId="0" applyFont="1" applyFill="1" applyBorder="1"/>
    <xf numFmtId="0" fontId="30" fillId="4" borderId="16" xfId="0" applyFont="1" applyFill="1" applyBorder="1"/>
    <xf numFmtId="165" fontId="44" fillId="4" borderId="16" xfId="2" applyNumberFormat="1" applyFont="1" applyFill="1" applyBorder="1"/>
    <xf numFmtId="0" fontId="14" fillId="4" borderId="16" xfId="0" applyFont="1" applyFill="1" applyBorder="1" applyAlignment="1">
      <alignment horizontal="center"/>
    </xf>
    <xf numFmtId="0" fontId="14" fillId="4" borderId="16" xfId="0" applyFont="1" applyFill="1" applyBorder="1"/>
    <xf numFmtId="0" fontId="30" fillId="4" borderId="16" xfId="0" applyFont="1" applyFill="1" applyBorder="1" applyAlignment="1">
      <alignment horizontal="center"/>
    </xf>
    <xf numFmtId="43" fontId="30" fillId="4" borderId="16" xfId="1" applyFont="1" applyFill="1" applyBorder="1"/>
    <xf numFmtId="164" fontId="14" fillId="4" borderId="16" xfId="1" applyNumberFormat="1" applyFont="1" applyFill="1" applyBorder="1"/>
    <xf numFmtId="43" fontId="14" fillId="4" borderId="16" xfId="1" applyFont="1" applyFill="1" applyBorder="1"/>
    <xf numFmtId="0" fontId="14" fillId="4" borderId="19" xfId="0" applyFont="1" applyFill="1" applyBorder="1"/>
    <xf numFmtId="0" fontId="30" fillId="4" borderId="0" xfId="0" applyFont="1" applyFill="1" applyAlignment="1">
      <alignment horizontal="center"/>
    </xf>
    <xf numFmtId="0" fontId="11" fillId="4" borderId="0" xfId="0" applyFont="1" applyFill="1" applyAlignment="1">
      <alignment horizontal="center"/>
    </xf>
    <xf numFmtId="166" fontId="38" fillId="4" borderId="0" xfId="0" applyNumberFormat="1" applyFont="1" applyFill="1" applyAlignment="1">
      <alignment horizontal="center" vertical="center"/>
    </xf>
    <xf numFmtId="0" fontId="37" fillId="4" borderId="0" xfId="0" applyFont="1" applyFill="1" applyAlignment="1">
      <alignment horizontal="center"/>
    </xf>
    <xf numFmtId="0" fontId="31" fillId="4" borderId="0" xfId="0" applyFont="1" applyFill="1" applyAlignment="1">
      <alignment vertical="center"/>
    </xf>
    <xf numFmtId="0" fontId="58" fillId="4" borderId="0" xfId="0" applyFont="1" applyFill="1" applyAlignment="1">
      <alignment vertical="center"/>
    </xf>
    <xf numFmtId="0" fontId="39" fillId="4" borderId="0" xfId="0" applyFont="1" applyFill="1" applyAlignment="1">
      <alignment vertical="center"/>
    </xf>
    <xf numFmtId="0" fontId="37" fillId="6" borderId="17" xfId="0" applyFont="1" applyFill="1" applyBorder="1"/>
    <xf numFmtId="0" fontId="43" fillId="6" borderId="17" xfId="0" applyFont="1" applyFill="1" applyBorder="1"/>
    <xf numFmtId="0" fontId="37" fillId="6" borderId="12" xfId="0" applyFont="1" applyFill="1" applyBorder="1"/>
    <xf numFmtId="0" fontId="61" fillId="0" borderId="0" xfId="0" applyFont="1" applyAlignment="1">
      <alignment horizontal="center"/>
    </xf>
    <xf numFmtId="0" fontId="61" fillId="6" borderId="0" xfId="0" applyFont="1" applyFill="1" applyAlignment="1">
      <alignment horizontal="center"/>
    </xf>
    <xf numFmtId="0" fontId="61" fillId="4" borderId="0" xfId="0" applyFont="1" applyFill="1" applyAlignment="1">
      <alignment horizontal="center"/>
    </xf>
    <xf numFmtId="0" fontId="62" fillId="4" borderId="20" xfId="0" applyFont="1" applyFill="1" applyBorder="1" applyAlignment="1">
      <alignment horizontal="center"/>
    </xf>
    <xf numFmtId="0" fontId="64" fillId="6" borderId="0" xfId="0" applyFont="1" applyFill="1" applyAlignment="1">
      <alignment horizontal="center"/>
    </xf>
    <xf numFmtId="0" fontId="63" fillId="6" borderId="0" xfId="0" applyFont="1" applyFill="1" applyAlignment="1">
      <alignment horizontal="center"/>
    </xf>
    <xf numFmtId="164" fontId="63" fillId="6" borderId="0" xfId="1" applyNumberFormat="1" applyFont="1" applyFill="1" applyAlignment="1">
      <alignment horizontal="center"/>
    </xf>
    <xf numFmtId="0" fontId="30" fillId="6" borderId="16" xfId="0" applyFont="1" applyFill="1" applyBorder="1" applyAlignment="1">
      <alignment horizontal="center" vertical="center"/>
    </xf>
    <xf numFmtId="0" fontId="30" fillId="6" borderId="17" xfId="0" applyFont="1" applyFill="1" applyBorder="1" applyAlignment="1">
      <alignment horizontal="center" vertical="center"/>
    </xf>
    <xf numFmtId="0" fontId="4" fillId="6" borderId="9" xfId="0" applyFont="1" applyFill="1" applyBorder="1" applyAlignment="1">
      <alignment horizontal="center" vertical="center"/>
    </xf>
    <xf numFmtId="0" fontId="4" fillId="6" borderId="11" xfId="0" applyFont="1" applyFill="1" applyBorder="1" applyAlignment="1">
      <alignment horizontal="center" vertical="center"/>
    </xf>
    <xf numFmtId="0" fontId="4" fillId="6" borderId="10" xfId="0" applyFont="1" applyFill="1" applyBorder="1" applyAlignment="1">
      <alignment horizontal="center" vertical="center"/>
    </xf>
    <xf numFmtId="0" fontId="30" fillId="6" borderId="0" xfId="0" applyFont="1" applyFill="1" applyAlignment="1">
      <alignment horizontal="center" vertical="center"/>
    </xf>
    <xf numFmtId="0" fontId="55" fillId="6" borderId="9" xfId="0" applyFont="1" applyFill="1" applyBorder="1" applyAlignment="1">
      <alignment horizontal="center" vertical="center" wrapText="1"/>
    </xf>
    <xf numFmtId="0" fontId="55" fillId="6" borderId="10" xfId="0" applyFont="1" applyFill="1" applyBorder="1" applyAlignment="1">
      <alignment horizontal="center" vertical="center" wrapText="1"/>
    </xf>
    <xf numFmtId="0" fontId="55" fillId="6" borderId="11" xfId="0" applyFont="1" applyFill="1" applyBorder="1" applyAlignment="1">
      <alignment horizontal="center" vertical="center" wrapText="1"/>
    </xf>
    <xf numFmtId="166" fontId="57" fillId="6" borderId="9" xfId="0" applyNumberFormat="1" applyFont="1" applyFill="1" applyBorder="1" applyAlignment="1">
      <alignment horizontal="center" vertical="center"/>
    </xf>
    <xf numFmtId="166" fontId="57" fillId="6" borderId="10" xfId="0" applyNumberFormat="1" applyFont="1" applyFill="1" applyBorder="1" applyAlignment="1">
      <alignment horizontal="center" vertical="center"/>
    </xf>
    <xf numFmtId="166" fontId="57" fillId="6" borderId="11" xfId="0" applyNumberFormat="1" applyFont="1" applyFill="1" applyBorder="1" applyAlignment="1">
      <alignment horizontal="center" vertical="center"/>
    </xf>
    <xf numFmtId="0" fontId="5" fillId="6" borderId="9" xfId="0" applyFont="1" applyFill="1" applyBorder="1" applyAlignment="1">
      <alignment horizontal="center" vertical="center"/>
    </xf>
    <xf numFmtId="0" fontId="5" fillId="6" borderId="11" xfId="0" applyFont="1" applyFill="1" applyBorder="1" applyAlignment="1">
      <alignment horizontal="center" vertical="center"/>
    </xf>
    <xf numFmtId="0" fontId="5" fillId="6" borderId="10" xfId="0" applyFont="1" applyFill="1" applyBorder="1" applyAlignment="1">
      <alignment horizontal="center" vertical="center"/>
    </xf>
    <xf numFmtId="0" fontId="40" fillId="6" borderId="9" xfId="0" applyFont="1" applyFill="1" applyBorder="1" applyAlignment="1">
      <alignment horizontal="center" vertical="center"/>
    </xf>
    <xf numFmtId="0" fontId="40" fillId="6" borderId="11" xfId="0" applyFont="1" applyFill="1" applyBorder="1" applyAlignment="1">
      <alignment horizontal="center" vertical="center"/>
    </xf>
    <xf numFmtId="0" fontId="12" fillId="3" borderId="15" xfId="0" applyFont="1" applyFill="1" applyBorder="1" applyAlignment="1">
      <alignment horizontal="center" vertical="center" textRotation="255" wrapText="1"/>
    </xf>
    <xf numFmtId="0" fontId="12" fillId="3" borderId="4" xfId="0" applyFont="1" applyFill="1" applyBorder="1" applyAlignment="1">
      <alignment horizontal="center" vertical="top" textRotation="255"/>
    </xf>
    <xf numFmtId="0" fontId="12" fillId="3" borderId="4" xfId="0" applyFont="1" applyFill="1" applyBorder="1" applyAlignment="1">
      <alignment horizontal="center" vertical="center" textRotation="255"/>
    </xf>
    <xf numFmtId="0" fontId="12" fillId="3" borderId="4" xfId="0" quotePrefix="1" applyFont="1" applyFill="1" applyBorder="1" applyAlignment="1">
      <alignment horizontal="center" vertical="top" textRotation="255"/>
    </xf>
    <xf numFmtId="0" fontId="12" fillId="3" borderId="1" xfId="0" applyFont="1" applyFill="1" applyBorder="1" applyAlignment="1">
      <alignment horizontal="center" vertical="center" textRotation="255"/>
    </xf>
    <xf numFmtId="0" fontId="5" fillId="4" borderId="7" xfId="0" applyFont="1" applyFill="1" applyBorder="1" applyAlignment="1">
      <alignment horizontal="center" vertical="center"/>
    </xf>
    <xf numFmtId="0" fontId="47" fillId="4" borderId="7" xfId="0" applyFont="1" applyFill="1" applyBorder="1" applyAlignment="1">
      <alignment horizontal="center" vertical="center" wrapText="1"/>
    </xf>
    <xf numFmtId="0" fontId="30" fillId="4" borderId="18" xfId="0" applyFont="1" applyFill="1" applyBorder="1" applyAlignment="1">
      <alignment horizontal="center" vertical="center"/>
    </xf>
    <xf numFmtId="0" fontId="30" fillId="4" borderId="16" xfId="0" applyFont="1" applyFill="1" applyBorder="1" applyAlignment="1">
      <alignment horizontal="center" vertical="center"/>
    </xf>
    <xf numFmtId="0" fontId="30" fillId="4" borderId="8" xfId="0" applyFont="1" applyFill="1" applyBorder="1" applyAlignment="1">
      <alignment horizontal="center" vertical="center"/>
    </xf>
    <xf numFmtId="0" fontId="30" fillId="4" borderId="0" xfId="0" applyFont="1" applyFill="1" applyAlignment="1">
      <alignment horizontal="center" vertical="center"/>
    </xf>
    <xf numFmtId="0" fontId="5" fillId="4" borderId="6" xfId="0" applyFont="1" applyFill="1" applyBorder="1" applyAlignment="1">
      <alignment horizontal="center" vertical="center"/>
    </xf>
    <xf numFmtId="0" fontId="60" fillId="4" borderId="7" xfId="0" applyFont="1" applyFill="1" applyBorder="1" applyAlignment="1">
      <alignment horizontal="center" vertical="center"/>
    </xf>
    <xf numFmtId="0" fontId="55" fillId="4" borderId="9" xfId="0" applyFont="1" applyFill="1" applyBorder="1" applyAlignment="1">
      <alignment horizontal="center" vertical="center" wrapText="1"/>
    </xf>
    <xf numFmtId="0" fontId="55" fillId="4" borderId="10" xfId="0" applyFont="1" applyFill="1" applyBorder="1" applyAlignment="1">
      <alignment horizontal="center" vertical="center" wrapText="1"/>
    </xf>
    <xf numFmtId="0" fontId="55" fillId="4" borderId="11" xfId="0" applyFont="1" applyFill="1" applyBorder="1" applyAlignment="1">
      <alignment horizontal="center" vertical="center" wrapText="1"/>
    </xf>
    <xf numFmtId="166" fontId="57" fillId="4" borderId="9" xfId="0" applyNumberFormat="1" applyFont="1" applyFill="1" applyBorder="1" applyAlignment="1">
      <alignment horizontal="center" vertical="center"/>
    </xf>
    <xf numFmtId="166" fontId="57" fillId="4" borderId="10" xfId="0" applyNumberFormat="1" applyFont="1" applyFill="1" applyBorder="1" applyAlignment="1">
      <alignment horizontal="center" vertical="center"/>
    </xf>
    <xf numFmtId="166" fontId="57" fillId="4" borderId="11" xfId="0" applyNumberFormat="1" applyFont="1" applyFill="1" applyBorder="1" applyAlignment="1">
      <alignment horizontal="center" vertical="center"/>
    </xf>
    <xf numFmtId="0" fontId="60" fillId="4" borderId="12" xfId="0" applyFont="1" applyFill="1" applyBorder="1" applyAlignment="1">
      <alignment horizontal="center" vertical="center"/>
    </xf>
    <xf numFmtId="0" fontId="60" fillId="4" borderId="13" xfId="0" applyFont="1" applyFill="1" applyBorder="1" applyAlignment="1">
      <alignment horizontal="center" vertical="center"/>
    </xf>
    <xf numFmtId="0" fontId="60" fillId="4" borderId="7" xfId="0" applyFont="1" applyFill="1" applyBorder="1" applyAlignment="1">
      <alignment horizontal="center" vertical="center" wrapText="1"/>
    </xf>
    <xf numFmtId="0" fontId="40" fillId="4" borderId="12" xfId="0" applyFont="1" applyFill="1" applyBorder="1" applyAlignment="1">
      <alignment horizontal="center" vertical="center"/>
    </xf>
    <xf numFmtId="0" fontId="40" fillId="4" borderId="13" xfId="0" applyFont="1" applyFill="1" applyBorder="1" applyAlignment="1">
      <alignment horizontal="center" vertical="center"/>
    </xf>
    <xf numFmtId="0" fontId="11" fillId="4" borderId="16" xfId="0" applyFont="1" applyFill="1" applyBorder="1" applyAlignment="1">
      <alignment horizontal="center" vertical="center"/>
    </xf>
    <xf numFmtId="0" fontId="11" fillId="4" borderId="17" xfId="0" applyFont="1" applyFill="1" applyBorder="1" applyAlignment="1">
      <alignment horizontal="center" vertical="center"/>
    </xf>
  </cellXfs>
  <cellStyles count="3">
    <cellStyle name="Normal" xfId="0" builtinId="0"/>
    <cellStyle name="Porcentagem" xfId="2" builtinId="5"/>
    <cellStyle name="Vírgula" xfId="1" builtinId="3"/>
  </cellStyles>
  <dxfs count="184">
    <dxf>
      <font>
        <b val="0"/>
        <i val="0"/>
        <color rgb="FFFF9900"/>
      </font>
    </dxf>
    <dxf>
      <font>
        <b val="0"/>
        <i val="0"/>
        <color rgb="FFFF0000"/>
      </font>
    </dxf>
    <dxf>
      <font>
        <b val="0"/>
        <i val="0"/>
        <color rgb="FFFF9900"/>
      </font>
    </dxf>
    <dxf>
      <font>
        <b val="0"/>
        <i val="0"/>
        <color rgb="FFFF0000"/>
      </font>
    </dxf>
    <dxf>
      <font>
        <b val="0"/>
        <i val="0"/>
        <color rgb="FFFF9900"/>
      </font>
    </dxf>
    <dxf>
      <font>
        <b val="0"/>
        <i val="0"/>
        <color rgb="FFFF0000"/>
      </font>
    </dxf>
    <dxf>
      <font>
        <b val="0"/>
        <i val="0"/>
        <color rgb="FFFF9900"/>
      </font>
    </dxf>
    <dxf>
      <font>
        <b val="0"/>
        <i val="0"/>
        <color rgb="FFFF0000"/>
      </font>
    </dxf>
    <dxf>
      <font>
        <b val="0"/>
        <i val="0"/>
        <color rgb="FFFF9900"/>
      </font>
    </dxf>
    <dxf>
      <font>
        <b val="0"/>
        <i val="0"/>
        <color rgb="FFFF0000"/>
      </font>
    </dxf>
    <dxf>
      <font>
        <b val="0"/>
        <i val="0"/>
        <color rgb="FFFF9900"/>
      </font>
    </dxf>
    <dxf>
      <font>
        <b val="0"/>
        <i val="0"/>
        <color rgb="FFFF0000"/>
      </font>
    </dxf>
    <dxf>
      <font>
        <b val="0"/>
        <i val="0"/>
        <color rgb="FFFF9900"/>
      </font>
    </dxf>
    <dxf>
      <font>
        <b val="0"/>
        <i val="0"/>
        <color rgb="FFFF0000"/>
      </font>
    </dxf>
    <dxf>
      <font>
        <b val="0"/>
        <i val="0"/>
        <color rgb="FFFF9900"/>
      </font>
    </dxf>
    <dxf>
      <font>
        <b val="0"/>
        <i val="0"/>
        <color rgb="FFFF0000"/>
      </font>
    </dxf>
    <dxf>
      <font>
        <b val="0"/>
        <i val="0"/>
        <color rgb="FFFF9900"/>
      </font>
    </dxf>
    <dxf>
      <font>
        <b val="0"/>
        <i val="0"/>
        <color rgb="FFFF0000"/>
      </font>
    </dxf>
    <dxf>
      <font>
        <b val="0"/>
        <i val="0"/>
        <color rgb="FFFF9900"/>
      </font>
    </dxf>
    <dxf>
      <font>
        <b val="0"/>
        <i val="0"/>
        <color rgb="FFFF0000"/>
      </font>
    </dxf>
    <dxf>
      <font>
        <b val="0"/>
        <i val="0"/>
        <color rgb="FFFF9900"/>
      </font>
    </dxf>
    <dxf>
      <font>
        <b val="0"/>
        <i val="0"/>
        <color rgb="FFFF0000"/>
      </font>
    </dxf>
    <dxf>
      <font>
        <b val="0"/>
        <i val="0"/>
        <color rgb="FFFF9900"/>
      </font>
    </dxf>
    <dxf>
      <font>
        <b val="0"/>
        <i val="0"/>
        <color rgb="FFFF0000"/>
      </font>
    </dxf>
    <dxf>
      <font>
        <b val="0"/>
        <i val="0"/>
        <color rgb="FFFF9900"/>
      </font>
    </dxf>
    <dxf>
      <font>
        <b val="0"/>
        <i val="0"/>
        <color rgb="FFFF0000"/>
      </font>
    </dxf>
    <dxf>
      <font>
        <b val="0"/>
        <i val="0"/>
        <color rgb="FFFF9900"/>
      </font>
    </dxf>
    <dxf>
      <font>
        <b val="0"/>
        <i val="0"/>
        <color rgb="FFFF0000"/>
      </font>
    </dxf>
    <dxf>
      <font>
        <b val="0"/>
        <i val="0"/>
        <color rgb="FFFF9900"/>
      </font>
    </dxf>
    <dxf>
      <font>
        <b val="0"/>
        <i val="0"/>
        <color rgb="FFFF0000"/>
      </font>
    </dxf>
    <dxf>
      <font>
        <b/>
        <i val="0"/>
        <color rgb="FFFF0000"/>
      </font>
    </dxf>
    <dxf>
      <font>
        <b/>
        <i val="0"/>
        <color rgb="FFFF66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66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66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66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6600"/>
      </font>
    </dxf>
    <dxf>
      <font>
        <b/>
        <i val="0"/>
        <color rgb="FF008000"/>
      </font>
    </dxf>
    <dxf>
      <font>
        <b val="0"/>
        <i val="0"/>
        <color rgb="FFFF0000"/>
      </font>
    </dxf>
    <dxf>
      <font>
        <b val="0"/>
        <i val="0"/>
        <color rgb="FFFF6600"/>
      </font>
    </dxf>
    <dxf>
      <font>
        <b/>
        <i val="0"/>
        <color rgb="FF008000"/>
      </font>
    </dxf>
    <dxf>
      <font>
        <b val="0"/>
        <i val="0"/>
        <color rgb="FFFF9900"/>
      </font>
    </dxf>
    <dxf>
      <font>
        <b val="0"/>
        <i val="0"/>
        <color rgb="FFFF9900"/>
      </font>
    </dxf>
    <dxf>
      <font>
        <b val="0"/>
        <i val="0"/>
        <color rgb="FFFF0000"/>
      </font>
    </dxf>
    <dxf>
      <font>
        <b val="0"/>
        <i val="0"/>
        <color rgb="FFFF9900"/>
      </font>
    </dxf>
    <dxf>
      <font>
        <b val="0"/>
        <i val="0"/>
        <color rgb="FFFF0000"/>
      </font>
    </dxf>
    <dxf>
      <font>
        <b val="0"/>
        <i val="0"/>
        <color rgb="FFFF9900"/>
      </font>
    </dxf>
    <dxf>
      <font>
        <b val="0"/>
        <i val="0"/>
        <color rgb="FFFF0000"/>
      </font>
    </dxf>
    <dxf>
      <font>
        <b val="0"/>
        <i val="0"/>
        <color rgb="FFFF9900"/>
      </font>
    </dxf>
    <dxf>
      <font>
        <b val="0"/>
        <i val="0"/>
        <color rgb="FFFF0000"/>
      </font>
    </dxf>
    <dxf>
      <font>
        <b val="0"/>
        <i val="0"/>
        <color rgb="FFFF9900"/>
      </font>
    </dxf>
    <dxf>
      <font>
        <b val="0"/>
        <i val="0"/>
        <color rgb="FFFF0000"/>
      </font>
    </dxf>
    <dxf>
      <font>
        <b val="0"/>
        <i val="0"/>
        <color rgb="FFFF9900"/>
      </font>
    </dxf>
    <dxf>
      <font>
        <b val="0"/>
        <i val="0"/>
        <color rgb="FFFF0000"/>
      </font>
    </dxf>
    <dxf>
      <font>
        <b val="0"/>
        <i val="0"/>
        <color rgb="FFFF9900"/>
      </font>
    </dxf>
    <dxf>
      <font>
        <b val="0"/>
        <i val="0"/>
        <color rgb="FFFF0000"/>
      </font>
    </dxf>
    <dxf>
      <font>
        <b val="0"/>
        <i val="0"/>
        <color rgb="FFFF9900"/>
      </font>
    </dxf>
    <dxf>
      <font>
        <b val="0"/>
        <i val="0"/>
        <color rgb="FFFF0000"/>
      </font>
    </dxf>
    <dxf>
      <font>
        <b val="0"/>
        <i val="0"/>
        <color rgb="FFFF9900"/>
      </font>
    </dxf>
    <dxf>
      <font>
        <b val="0"/>
        <i val="0"/>
        <color rgb="FFFF0000"/>
      </font>
    </dxf>
    <dxf>
      <font>
        <b val="0"/>
        <i val="0"/>
        <color rgb="FFFF9900"/>
      </font>
    </dxf>
    <dxf>
      <font>
        <b val="0"/>
        <i val="0"/>
        <color rgb="FFFF0000"/>
      </font>
    </dxf>
    <dxf>
      <font>
        <b val="0"/>
        <i val="0"/>
        <color rgb="FFFF9900"/>
      </font>
    </dxf>
    <dxf>
      <font>
        <b val="0"/>
        <i val="0"/>
        <color rgb="FFFF0000"/>
      </font>
    </dxf>
    <dxf>
      <font>
        <b val="0"/>
        <i val="0"/>
        <color rgb="FFFF9900"/>
      </font>
    </dxf>
    <dxf>
      <font>
        <b val="0"/>
        <i val="0"/>
        <color rgb="FFFF0000"/>
      </font>
    </dxf>
    <dxf>
      <font>
        <b val="0"/>
        <i val="0"/>
        <color rgb="FFFF9900"/>
      </font>
    </dxf>
    <dxf>
      <font>
        <b val="0"/>
        <i val="0"/>
        <color rgb="FFFF0000"/>
      </font>
    </dxf>
    <dxf>
      <font>
        <b val="0"/>
        <i val="0"/>
        <color rgb="FFFF0000"/>
      </font>
    </dxf>
    <dxf>
      <font>
        <b/>
        <i val="0"/>
        <color rgb="FFFF0000"/>
      </font>
    </dxf>
    <dxf>
      <font>
        <b/>
        <i val="0"/>
        <color rgb="FFFF66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66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66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6600"/>
      </font>
    </dxf>
    <dxf>
      <font>
        <b/>
        <i val="0"/>
        <color rgb="FF008000"/>
      </font>
    </dxf>
    <dxf>
      <font>
        <b val="0"/>
        <i val="0"/>
        <color rgb="FFFF0000"/>
      </font>
    </dxf>
    <dxf>
      <font>
        <b val="0"/>
        <i val="0"/>
        <color rgb="FFFF6600"/>
      </font>
    </dxf>
    <dxf>
      <font>
        <b/>
        <i val="0"/>
        <color rgb="FF008000"/>
      </font>
    </dxf>
    <dxf>
      <font>
        <b val="0"/>
        <i val="0"/>
        <color rgb="FFFF99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6600"/>
      </font>
    </dxf>
    <dxf>
      <font>
        <b/>
        <i val="0"/>
        <color rgb="FF008000"/>
      </font>
    </dxf>
    <dxf>
      <font>
        <b/>
        <i val="0"/>
        <color rgb="FF00B050"/>
      </font>
    </dxf>
    <dxf>
      <font>
        <b val="0"/>
        <i val="0"/>
        <color rgb="FFFF9900"/>
      </font>
    </dxf>
    <dxf>
      <font>
        <b val="0"/>
        <i val="0"/>
        <color rgb="FFFF0000"/>
      </font>
    </dxf>
    <dxf>
      <font>
        <b/>
        <i val="0"/>
        <color rgb="FFFF0000"/>
      </font>
    </dxf>
    <dxf>
      <font>
        <b/>
        <i val="0"/>
        <color rgb="FFFF66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66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6600"/>
      </font>
    </dxf>
    <dxf>
      <font>
        <b/>
        <i val="0"/>
        <color rgb="FF008000"/>
      </font>
    </dxf>
    <dxf>
      <font>
        <b val="0"/>
        <i val="0"/>
        <color rgb="FFFF0000"/>
      </font>
    </dxf>
    <dxf>
      <font>
        <b/>
        <i val="0"/>
        <color rgb="FF00B050"/>
      </font>
    </dxf>
    <dxf>
      <font>
        <b val="0"/>
        <i val="0"/>
        <color rgb="FFFF9900"/>
      </font>
    </dxf>
    <dxf>
      <font>
        <b val="0"/>
        <i val="0"/>
        <color rgb="FFFF0000"/>
      </font>
    </dxf>
    <dxf>
      <font>
        <b val="0"/>
        <i val="0"/>
        <color rgb="FFFF66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66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FF66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FF66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FF6600"/>
      </font>
    </dxf>
    <dxf>
      <font>
        <b/>
        <i val="0"/>
        <color rgb="FFFF0000"/>
      </font>
    </dxf>
    <dxf>
      <font>
        <b val="0"/>
        <i val="0"/>
        <color rgb="FF008000"/>
      </font>
    </dxf>
    <dxf>
      <font>
        <b val="0"/>
        <i val="0"/>
        <color rgb="FFFF6600"/>
      </font>
    </dxf>
    <dxf>
      <font>
        <b val="0"/>
        <i val="0"/>
        <color rgb="FFFF0000"/>
      </font>
    </dxf>
    <dxf>
      <font>
        <b/>
        <i val="0"/>
        <color rgb="FF008000"/>
      </font>
    </dxf>
    <dxf>
      <font>
        <b/>
        <i val="0"/>
        <color rgb="FFFF66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FF6600"/>
      </font>
    </dxf>
    <dxf>
      <font>
        <b/>
        <i val="0"/>
        <color rgb="FFFF0000"/>
      </font>
    </dxf>
    <dxf>
      <font>
        <b val="0"/>
        <i val="0"/>
        <color rgb="FFFF9900"/>
      </font>
    </dxf>
    <dxf>
      <font>
        <b val="0"/>
        <i val="0"/>
        <color rgb="FFFF0000"/>
      </font>
    </dxf>
    <dxf>
      <font>
        <b/>
        <i val="0"/>
        <color rgb="FF00B050"/>
      </font>
    </dxf>
    <dxf>
      <font>
        <b val="0"/>
        <i val="0"/>
        <color rgb="FFFF9900"/>
      </font>
    </dxf>
    <dxf>
      <font>
        <b val="0"/>
        <i val="0"/>
        <color rgb="FFFF0000"/>
      </font>
    </dxf>
    <dxf>
      <font>
        <b/>
        <i val="0"/>
        <color rgb="FF00B050"/>
      </font>
    </dxf>
    <dxf>
      <font>
        <b val="0"/>
        <i val="0"/>
        <color rgb="FFFF9900"/>
      </font>
    </dxf>
    <dxf>
      <font>
        <b val="0"/>
        <i val="0"/>
        <color rgb="FFFF0000"/>
      </font>
    </dxf>
    <dxf>
      <font>
        <b/>
        <i val="0"/>
        <color rgb="FF00B050"/>
      </font>
    </dxf>
    <dxf>
      <font>
        <b val="0"/>
        <i val="0"/>
        <color rgb="FFFF9900"/>
      </font>
    </dxf>
    <dxf>
      <font>
        <b val="0"/>
        <i val="0"/>
        <color rgb="FFFF0000"/>
      </font>
    </dxf>
    <dxf>
      <font>
        <b/>
        <i val="0"/>
        <color rgb="FF00B050"/>
      </font>
    </dxf>
    <dxf>
      <font>
        <b val="0"/>
        <i val="0"/>
        <color rgb="FFFF9900"/>
      </font>
    </dxf>
    <dxf>
      <font>
        <b val="0"/>
        <i val="0"/>
        <color rgb="FFFF0000"/>
      </font>
    </dxf>
    <dxf>
      <font>
        <b/>
        <i val="0"/>
        <color rgb="FF00B050"/>
      </font>
    </dxf>
    <dxf>
      <font>
        <b val="0"/>
        <i val="0"/>
        <color rgb="FFFF9900"/>
      </font>
    </dxf>
    <dxf>
      <font>
        <b val="0"/>
        <i val="0"/>
        <color rgb="FFFF0000"/>
      </font>
    </dxf>
    <dxf>
      <font>
        <b val="0"/>
        <i val="0"/>
        <color rgb="FFFF9900"/>
      </font>
    </dxf>
    <dxf>
      <font>
        <b val="0"/>
        <i val="0"/>
        <color rgb="FFFF9900"/>
      </font>
    </dxf>
    <dxf>
      <font>
        <b val="0"/>
        <i val="0"/>
        <color rgb="FFFF0000"/>
      </font>
    </dxf>
    <dxf>
      <font>
        <b/>
        <i val="0"/>
        <color rgb="FFFF0000"/>
      </font>
    </dxf>
    <dxf>
      <font>
        <b/>
        <i val="0"/>
        <color rgb="FFFF6600"/>
      </font>
    </dxf>
    <dxf>
      <font>
        <b/>
        <i val="0"/>
        <color rgb="FF008000"/>
      </font>
    </dxf>
    <dxf>
      <font>
        <b val="0"/>
        <i val="0"/>
        <color rgb="FFFF9900"/>
      </font>
    </dxf>
    <dxf>
      <font>
        <b val="0"/>
        <i val="0"/>
        <color rgb="FFFF0000"/>
      </font>
    </dxf>
    <dxf>
      <font>
        <b/>
        <i val="0"/>
        <color rgb="FF00B050"/>
      </font>
    </dxf>
    <dxf>
      <font>
        <b val="0"/>
        <i val="0"/>
        <color rgb="FFFF9900"/>
      </font>
    </dxf>
    <dxf>
      <font>
        <b val="0"/>
        <i val="0"/>
        <color rgb="FFFF0000"/>
      </font>
    </dxf>
    <dxf>
      <font>
        <b val="0"/>
        <i val="0"/>
        <color rgb="FFFF0000"/>
      </font>
    </dxf>
    <dxf>
      <font>
        <b val="0"/>
        <i val="0"/>
        <color rgb="FFFF66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6600"/>
      </font>
    </dxf>
    <dxf>
      <font>
        <b/>
        <i val="0"/>
        <color rgb="FFFF0000"/>
      </font>
    </dxf>
    <dxf>
      <font>
        <b val="0"/>
        <i val="0"/>
        <color rgb="FF008000"/>
      </font>
    </dxf>
    <dxf>
      <font>
        <b val="0"/>
        <i val="0"/>
        <color rgb="FFFF6600"/>
      </font>
    </dxf>
    <dxf>
      <font>
        <b val="0"/>
        <i val="0"/>
        <color rgb="FFFF0000"/>
      </font>
    </dxf>
    <dxf>
      <font>
        <b val="0"/>
        <i val="0"/>
        <color rgb="FF008000"/>
      </font>
    </dxf>
    <dxf>
      <font>
        <b val="0"/>
        <i val="0"/>
        <color rgb="FFFF6600"/>
      </font>
    </dxf>
    <dxf>
      <font>
        <b val="0"/>
        <i val="0"/>
        <color rgb="FFFF0000"/>
      </font>
    </dxf>
    <dxf>
      <font>
        <b val="0"/>
        <i val="0"/>
        <color rgb="FF008000"/>
      </font>
    </dxf>
    <dxf>
      <font>
        <b val="0"/>
        <i val="0"/>
        <color rgb="FFFF6600"/>
      </font>
    </dxf>
    <dxf>
      <font>
        <b val="0"/>
        <i val="0"/>
        <color rgb="FFFF0000"/>
      </font>
    </dxf>
    <dxf>
      <font>
        <b val="0"/>
        <i val="0"/>
        <color rgb="FF008000"/>
      </font>
    </dxf>
    <dxf>
      <font>
        <b val="0"/>
        <i val="0"/>
        <color rgb="FFFF6600"/>
      </font>
    </dxf>
    <dxf>
      <font>
        <b val="0"/>
        <i val="0"/>
        <color rgb="FFFF0000"/>
      </font>
    </dxf>
    <dxf>
      <font>
        <b/>
        <i val="0"/>
        <color rgb="FF008000"/>
      </font>
    </dxf>
    <dxf>
      <font>
        <b/>
        <i val="0"/>
        <color rgb="FFFF6600"/>
      </font>
    </dxf>
    <dxf>
      <font>
        <b/>
        <i val="0"/>
        <color rgb="FFFF0000"/>
      </font>
    </dxf>
  </dxfs>
  <tableStyles count="0" defaultTableStyle="TableStyleMedium9" defaultPivotStyle="PivotStyleLight16"/>
  <colors>
    <mruColors>
      <color rgb="FFFFFF2D"/>
      <color rgb="FF7A0B0B"/>
      <color rgb="FFF0F030"/>
      <color rgb="FF99CCFF"/>
      <color rgb="FFFF9900"/>
      <color rgb="FFFFAA2D"/>
      <color rgb="FFD9D9D9"/>
      <color rgb="FFC00000"/>
      <color rgb="FF0082D2"/>
      <color rgb="FFFCD8D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Ápice">
      <a:dk1>
        <a:sysClr val="windowText" lastClr="000000"/>
      </a:dk1>
      <a:lt1>
        <a:sysClr val="window" lastClr="FFFFFF"/>
      </a:lt1>
      <a:dk2>
        <a:srgbClr val="69676D"/>
      </a:dk2>
      <a:lt2>
        <a:srgbClr val="C9C2D1"/>
      </a:lt2>
      <a:accent1>
        <a:srgbClr val="CEB966"/>
      </a:accent1>
      <a:accent2>
        <a:srgbClr val="9CB084"/>
      </a:accent2>
      <a:accent3>
        <a:srgbClr val="6BB1C9"/>
      </a:accent3>
      <a:accent4>
        <a:srgbClr val="6585CF"/>
      </a:accent4>
      <a:accent5>
        <a:srgbClr val="7E6BC9"/>
      </a:accent5>
      <a:accent6>
        <a:srgbClr val="A379BB"/>
      </a:accent6>
      <a:hlink>
        <a:srgbClr val="410082"/>
      </a:hlink>
      <a:folHlink>
        <a:srgbClr val="932968"/>
      </a:folHlink>
    </a:clrScheme>
    <a:fontScheme name="Escritório 2">
      <a:majorFont>
        <a:latin typeface="Calibri"/>
        <a:ea typeface=""/>
        <a:cs typeface=""/>
        <a:font script="Jpan" typeface="HGｺﾞｼｯｸM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</a:majorFont>
      <a:minorFont>
        <a:latin typeface="Cambria"/>
        <a:ea typeface=""/>
        <a:cs typeface=""/>
        <a:font script="Jpan" typeface="HG明朝B"/>
        <a:font script="Hang" typeface="맑은 고딕"/>
        <a:font script="Hans" typeface="黑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C29"/>
  <sheetViews>
    <sheetView showGridLines="0" tabSelected="1" zoomScale="80" zoomScaleNormal="80" workbookViewId="0">
      <pane xSplit="2" ySplit="7" topLeftCell="C8" activePane="bottomRight" state="frozen"/>
      <selection sqref="A1:XFD1048576"/>
      <selection pane="topRight" sqref="A1:XFD1048576"/>
      <selection pane="bottomLeft" sqref="A1:XFD1048576"/>
      <selection pane="bottomRight" activeCell="G25" sqref="G25"/>
    </sheetView>
  </sheetViews>
  <sheetFormatPr defaultColWidth="9" defaultRowHeight="14" x14ac:dyDescent="0.3"/>
  <cols>
    <col min="1" max="1" width="8.75" style="7" hidden="1" customWidth="1"/>
    <col min="2" max="2" width="19.4140625" style="1" customWidth="1"/>
    <col min="3" max="3" width="1.1640625" customWidth="1"/>
    <col min="4" max="4" width="10.58203125" style="1" customWidth="1"/>
    <col min="5" max="5" width="7.33203125" style="5" customWidth="1"/>
    <col min="6" max="6" width="1.1640625" customWidth="1"/>
    <col min="7" max="7" width="10.33203125" style="1" bestFit="1" customWidth="1"/>
    <col min="8" max="8" width="10.9140625" style="1" bestFit="1" customWidth="1"/>
    <col min="9" max="9" width="10.33203125" style="1" bestFit="1" customWidth="1"/>
    <col min="10" max="10" width="7" style="3" bestFit="1" customWidth="1"/>
    <col min="11" max="11" width="0.6640625" style="11" customWidth="1"/>
    <col min="12" max="12" width="5.9140625" style="4" bestFit="1" customWidth="1"/>
    <col min="13" max="13" width="6.83203125" style="4" customWidth="1"/>
    <col min="14" max="14" width="6.83203125" style="1" customWidth="1"/>
    <col min="15" max="15" width="0.6640625" style="11" customWidth="1"/>
    <col min="16" max="16" width="9.1640625" style="1" bestFit="1" customWidth="1"/>
    <col min="17" max="17" width="8.6640625" style="1" bestFit="1" customWidth="1"/>
    <col min="18" max="18" width="7.75" style="1" customWidth="1"/>
    <col min="19" max="19" width="8.6640625" style="1" customWidth="1"/>
    <col min="20" max="20" width="6.1640625" style="1" customWidth="1"/>
    <col min="21" max="21" width="0.6640625" style="1" customWidth="1"/>
    <col min="22" max="22" width="8.08203125" style="18" bestFit="1" customWidth="1"/>
    <col min="23" max="23" width="7.83203125" style="18" bestFit="1" customWidth="1"/>
    <col min="24" max="24" width="6.5" style="19" customWidth="1"/>
    <col min="25" max="25" width="6.6640625" style="18" customWidth="1"/>
    <col min="26" max="26" width="0.58203125" style="13" customWidth="1"/>
    <col min="27" max="27" width="7.83203125" style="1" bestFit="1" customWidth="1"/>
    <col min="28" max="28" width="7.6640625" style="1" customWidth="1"/>
    <col min="29" max="29" width="7.1640625" style="1" customWidth="1"/>
    <col min="30" max="16384" width="9" style="11"/>
  </cols>
  <sheetData>
    <row r="1" spans="1:29" s="1" customFormat="1" ht="14.5" thickBot="1" x14ac:dyDescent="0.35">
      <c r="A1" s="158"/>
      <c r="B1" s="198"/>
      <c r="C1" s="132"/>
      <c r="D1" s="142"/>
      <c r="E1" s="143"/>
      <c r="F1" s="144"/>
      <c r="G1" s="142"/>
      <c r="H1" s="142"/>
      <c r="I1" s="142"/>
      <c r="J1" s="145"/>
      <c r="K1" s="142"/>
      <c r="L1" s="146"/>
      <c r="M1" s="146"/>
      <c r="N1" s="142"/>
      <c r="O1" s="142"/>
      <c r="P1" s="142"/>
      <c r="Q1" s="142"/>
      <c r="R1" s="142"/>
      <c r="S1" s="142"/>
      <c r="T1" s="142"/>
      <c r="U1" s="142"/>
      <c r="V1" s="147"/>
      <c r="W1" s="148"/>
      <c r="X1" s="149"/>
      <c r="Y1" s="138"/>
      <c r="Z1" s="138"/>
      <c r="AA1" s="150"/>
      <c r="AB1" s="150"/>
      <c r="AC1" s="150"/>
    </row>
    <row r="2" spans="1:29" s="2" customFormat="1" ht="33.75" customHeight="1" thickBot="1" x14ac:dyDescent="0.4">
      <c r="A2" s="158"/>
      <c r="B2" s="198"/>
      <c r="C2" s="151"/>
      <c r="D2" s="199" t="s">
        <v>82</v>
      </c>
      <c r="E2" s="200"/>
      <c r="F2" s="200"/>
      <c r="G2" s="200"/>
      <c r="H2" s="200"/>
      <c r="I2" s="200"/>
      <c r="J2" s="200"/>
      <c r="K2" s="200"/>
      <c r="L2" s="200"/>
      <c r="M2" s="200"/>
      <c r="N2" s="200"/>
      <c r="O2" s="200"/>
      <c r="P2" s="200"/>
      <c r="Q2" s="200"/>
      <c r="R2" s="200"/>
      <c r="S2" s="200"/>
      <c r="T2" s="200"/>
      <c r="U2" s="200"/>
      <c r="V2" s="200"/>
      <c r="W2" s="200"/>
      <c r="X2" s="200"/>
      <c r="Y2" s="200"/>
      <c r="Z2" s="200"/>
      <c r="AA2" s="200"/>
      <c r="AB2" s="200"/>
      <c r="AC2" s="201"/>
    </row>
    <row r="3" spans="1:29" s="186" customFormat="1" ht="12.75" customHeight="1" thickBot="1" x14ac:dyDescent="0.3">
      <c r="B3" s="198"/>
      <c r="C3" s="187"/>
      <c r="D3" s="193"/>
      <c r="E3" s="193"/>
      <c r="F3" s="187"/>
      <c r="G3" s="187">
        <v>12</v>
      </c>
      <c r="H3" s="187"/>
      <c r="I3" s="187"/>
      <c r="J3" s="187"/>
      <c r="K3" s="187"/>
      <c r="L3" s="187">
        <v>35</v>
      </c>
      <c r="M3" s="190"/>
      <c r="N3" s="190"/>
      <c r="O3" s="190"/>
      <c r="P3" s="190"/>
      <c r="Q3" s="190"/>
      <c r="R3" s="190"/>
      <c r="S3" s="190"/>
      <c r="T3" s="190"/>
      <c r="U3" s="190"/>
      <c r="V3" s="190"/>
      <c r="W3" s="191"/>
      <c r="X3" s="192"/>
      <c r="Y3" s="191"/>
      <c r="Z3" s="191"/>
      <c r="AA3" s="190"/>
      <c r="AB3" s="190"/>
      <c r="AC3" s="190"/>
    </row>
    <row r="4" spans="1:29" s="8" customFormat="1" ht="20.25" customHeight="1" thickBot="1" x14ac:dyDescent="0.3">
      <c r="A4" s="157"/>
      <c r="B4" s="198"/>
      <c r="C4" s="133"/>
      <c r="D4" s="194"/>
      <c r="E4" s="194"/>
      <c r="F4" s="133"/>
      <c r="G4" s="202" t="s">
        <v>35</v>
      </c>
      <c r="H4" s="203"/>
      <c r="I4" s="203"/>
      <c r="J4" s="203"/>
      <c r="K4" s="203"/>
      <c r="L4" s="203"/>
      <c r="M4" s="203"/>
      <c r="N4" s="203"/>
      <c r="O4" s="203"/>
      <c r="P4" s="203"/>
      <c r="Q4" s="203"/>
      <c r="R4" s="203"/>
      <c r="S4" s="203"/>
      <c r="T4" s="204"/>
      <c r="U4" s="156"/>
      <c r="V4" s="203" t="s">
        <v>6</v>
      </c>
      <c r="W4" s="203"/>
      <c r="X4" s="203"/>
      <c r="Y4" s="203"/>
      <c r="Z4" s="203"/>
      <c r="AA4" s="203"/>
      <c r="AB4" s="203"/>
      <c r="AC4" s="204"/>
    </row>
    <row r="5" spans="1:29" s="57" customFormat="1" ht="25.5" customHeight="1" thickBot="1" x14ac:dyDescent="0.35">
      <c r="A5" s="159"/>
      <c r="B5" s="198"/>
      <c r="C5" s="134"/>
      <c r="D5" s="205" t="s">
        <v>5</v>
      </c>
      <c r="E5" s="206"/>
      <c r="F5" s="135"/>
      <c r="G5" s="205" t="s">
        <v>36</v>
      </c>
      <c r="H5" s="207"/>
      <c r="I5" s="207"/>
      <c r="J5" s="206"/>
      <c r="K5" s="135"/>
      <c r="L5" s="205" t="s">
        <v>47</v>
      </c>
      <c r="M5" s="207"/>
      <c r="N5" s="206"/>
      <c r="O5" s="135"/>
      <c r="P5" s="205" t="s">
        <v>45</v>
      </c>
      <c r="Q5" s="207"/>
      <c r="R5" s="207"/>
      <c r="S5" s="207"/>
      <c r="T5" s="206"/>
      <c r="U5" s="155"/>
      <c r="V5" s="208" t="s">
        <v>36</v>
      </c>
      <c r="W5" s="209"/>
      <c r="X5" s="195" t="s">
        <v>47</v>
      </c>
      <c r="Y5" s="196"/>
      <c r="Z5" s="135"/>
      <c r="AA5" s="195" t="s">
        <v>45</v>
      </c>
      <c r="AB5" s="197"/>
      <c r="AC5" s="196"/>
    </row>
    <row r="6" spans="1:29" s="58" customFormat="1" ht="33" customHeight="1" thickBot="1" x14ac:dyDescent="0.35">
      <c r="A6" s="160"/>
      <c r="B6" s="152" t="s">
        <v>0</v>
      </c>
      <c r="C6" s="153"/>
      <c r="D6" s="137" t="s">
        <v>2</v>
      </c>
      <c r="E6" s="137" t="s">
        <v>13</v>
      </c>
      <c r="F6" s="153"/>
      <c r="G6" s="137" t="s">
        <v>1</v>
      </c>
      <c r="H6" s="140" t="s">
        <v>37</v>
      </c>
      <c r="I6" s="137" t="s">
        <v>2</v>
      </c>
      <c r="J6" s="137" t="s">
        <v>3</v>
      </c>
      <c r="K6" s="153"/>
      <c r="L6" s="137" t="s">
        <v>1</v>
      </c>
      <c r="M6" s="137" t="s">
        <v>2</v>
      </c>
      <c r="N6" s="137" t="s">
        <v>3</v>
      </c>
      <c r="O6" s="153"/>
      <c r="P6" s="137" t="s">
        <v>1</v>
      </c>
      <c r="Q6" s="137" t="s">
        <v>2</v>
      </c>
      <c r="R6" s="137" t="s">
        <v>11</v>
      </c>
      <c r="S6" s="137" t="s">
        <v>43</v>
      </c>
      <c r="T6" s="137" t="s">
        <v>3</v>
      </c>
      <c r="U6" s="137"/>
      <c r="V6" s="137" t="s">
        <v>46</v>
      </c>
      <c r="W6" s="137" t="s">
        <v>2</v>
      </c>
      <c r="X6" s="137" t="s">
        <v>2</v>
      </c>
      <c r="Y6" s="154" t="s">
        <v>3</v>
      </c>
      <c r="Z6" s="153"/>
      <c r="AA6" s="137" t="s">
        <v>1</v>
      </c>
      <c r="AB6" s="137" t="s">
        <v>2</v>
      </c>
      <c r="AC6" s="137" t="s">
        <v>3</v>
      </c>
    </row>
    <row r="7" spans="1:29" ht="6" customHeight="1" x14ac:dyDescent="0.25">
      <c r="C7" s="22"/>
      <c r="D7" s="12"/>
      <c r="E7" s="23"/>
      <c r="F7" s="12"/>
      <c r="G7" s="22"/>
      <c r="H7" s="60"/>
      <c r="I7" s="12"/>
      <c r="J7" s="21"/>
      <c r="L7" s="24"/>
      <c r="M7" s="67"/>
      <c r="N7" s="22"/>
      <c r="P7" s="12"/>
      <c r="Q7" s="12"/>
      <c r="R7" s="12"/>
      <c r="S7" s="12"/>
      <c r="T7" s="22"/>
      <c r="U7" s="22"/>
      <c r="X7" s="66"/>
      <c r="AA7" s="12"/>
      <c r="AB7" s="12"/>
      <c r="AC7" s="22"/>
    </row>
    <row r="8" spans="1:29" s="14" customFormat="1" ht="14.25" customHeight="1" x14ac:dyDescent="0.3">
      <c r="A8" s="64" t="s">
        <v>4</v>
      </c>
      <c r="B8" s="105" t="s">
        <v>60</v>
      </c>
      <c r="C8" s="64"/>
      <c r="D8" s="83">
        <v>27394204.209999993</v>
      </c>
      <c r="E8" s="120">
        <v>3.1299967738653218</v>
      </c>
      <c r="F8" s="64"/>
      <c r="G8" s="84">
        <v>8752150.9410919026</v>
      </c>
      <c r="H8" s="84">
        <v>1842558.0928614531</v>
      </c>
      <c r="I8" s="85">
        <v>1691848.4399999978</v>
      </c>
      <c r="J8" s="70">
        <v>0.91820629512559548</v>
      </c>
      <c r="K8" s="86"/>
      <c r="L8" s="87">
        <v>2.9</v>
      </c>
      <c r="M8" s="88">
        <v>-1.7734529282067795</v>
      </c>
      <c r="N8" s="70">
        <v>-0.61153549248509642</v>
      </c>
      <c r="O8" s="86"/>
      <c r="P8" s="84">
        <v>53434.18469298214</v>
      </c>
      <c r="Q8" s="84">
        <v>-30004.135700000679</v>
      </c>
      <c r="R8" s="83">
        <v>240</v>
      </c>
      <c r="S8" s="85">
        <v>-29764.135700000679</v>
      </c>
      <c r="T8" s="70">
        <v>-0.55702423216555219</v>
      </c>
      <c r="U8" s="69"/>
      <c r="V8" s="83">
        <v>460639.52321536327</v>
      </c>
      <c r="W8" s="89">
        <v>467308.47000000015</v>
      </c>
      <c r="X8" s="90">
        <v>-2.1369079828577209</v>
      </c>
      <c r="Y8" s="70">
        <v>-0.73686482167507616</v>
      </c>
      <c r="Z8" s="91"/>
      <c r="AA8" s="85">
        <v>13358.546173245535</v>
      </c>
      <c r="AB8" s="85">
        <v>-9985.9520000002813</v>
      </c>
      <c r="AC8" s="70">
        <v>-0.74753284305743706</v>
      </c>
    </row>
    <row r="9" spans="1:29" s="14" customFormat="1" ht="14.25" customHeight="1" x14ac:dyDescent="0.3">
      <c r="A9" s="64" t="s">
        <v>24</v>
      </c>
      <c r="B9" s="82" t="s">
        <v>48</v>
      </c>
      <c r="C9" s="28"/>
      <c r="D9" s="83">
        <v>1549750.9199999997</v>
      </c>
      <c r="E9" s="120">
        <v>0.88144940103759695</v>
      </c>
      <c r="F9" s="28"/>
      <c r="G9" s="84">
        <v>1758184.7785882123</v>
      </c>
      <c r="H9" s="84">
        <v>370144.16391330789</v>
      </c>
      <c r="I9" s="85">
        <v>383900.81999999919</v>
      </c>
      <c r="J9" s="70">
        <v>1.0371656706437042</v>
      </c>
      <c r="K9" s="86"/>
      <c r="L9" s="87">
        <v>3.55</v>
      </c>
      <c r="M9" s="88">
        <v>-2.519515066417469</v>
      </c>
      <c r="N9" s="70">
        <v>-0.70972255392041383</v>
      </c>
      <c r="O9" s="86"/>
      <c r="P9" s="84">
        <v>13140.117818922428</v>
      </c>
      <c r="Q9" s="84">
        <v>-9672.4390000001877</v>
      </c>
      <c r="R9" s="83">
        <v>430</v>
      </c>
      <c r="S9" s="85">
        <v>-9242.4390000001877</v>
      </c>
      <c r="T9" s="70">
        <v>-0.70337565670001923</v>
      </c>
      <c r="U9" s="69"/>
      <c r="V9" s="83">
        <v>92536.040978326972</v>
      </c>
      <c r="W9" s="89">
        <v>79170.060000000041</v>
      </c>
      <c r="X9" s="90">
        <v>-3.0967009498286533</v>
      </c>
      <c r="Y9" s="70">
        <v>-0.8723101267122968</v>
      </c>
      <c r="Z9" s="91"/>
      <c r="AA9" s="85">
        <v>3285.0294547306071</v>
      </c>
      <c r="AB9" s="85">
        <v>-2451.6599999999157</v>
      </c>
      <c r="AC9" s="70">
        <v>-0.7463129429385793</v>
      </c>
    </row>
    <row r="10" spans="1:29" s="14" customFormat="1" ht="14.25" customHeight="1" x14ac:dyDescent="0.3">
      <c r="A10" s="64" t="s">
        <v>14</v>
      </c>
      <c r="B10" s="82" t="s">
        <v>61</v>
      </c>
      <c r="C10" s="28"/>
      <c r="D10" s="83">
        <v>14004402.180000002</v>
      </c>
      <c r="E10" s="120">
        <v>0.75610522547816461</v>
      </c>
      <c r="F10" s="28"/>
      <c r="G10" s="84">
        <v>18521763.516636919</v>
      </c>
      <c r="H10" s="84">
        <v>3899318.6350814565</v>
      </c>
      <c r="I10" s="85">
        <v>4293651.3999999594</v>
      </c>
      <c r="J10" s="70">
        <v>1.1011286334414334</v>
      </c>
      <c r="K10" s="86"/>
      <c r="L10" s="87">
        <v>3.7</v>
      </c>
      <c r="M10" s="88">
        <v>1.7036350459179797</v>
      </c>
      <c r="N10" s="70">
        <v>0.46044190430215665</v>
      </c>
      <c r="O10" s="86"/>
      <c r="P10" s="84">
        <v>144274.78949801388</v>
      </c>
      <c r="Q10" s="84">
        <v>73148.149999947287</v>
      </c>
      <c r="R10" s="83">
        <v>0</v>
      </c>
      <c r="S10" s="85">
        <v>73148.149999947287</v>
      </c>
      <c r="T10" s="70">
        <v>0.5070057648634051</v>
      </c>
      <c r="U10" s="69"/>
      <c r="V10" s="83">
        <v>974829.65877036413</v>
      </c>
      <c r="W10" s="89">
        <v>1066311.2599999998</v>
      </c>
      <c r="X10" s="90">
        <v>-4.5309010991780339</v>
      </c>
      <c r="Y10" s="70">
        <v>-1.2245678646427118</v>
      </c>
      <c r="Z10" s="91"/>
      <c r="AA10" s="85">
        <v>36068.69737450347</v>
      </c>
      <c r="AB10" s="85">
        <v>-48313.508599999128</v>
      </c>
      <c r="AC10" s="70">
        <v>-1.3394858178091946</v>
      </c>
    </row>
    <row r="11" spans="1:29" s="14" customFormat="1" ht="14.25" customHeight="1" x14ac:dyDescent="0.3">
      <c r="A11" s="64" t="s">
        <v>18</v>
      </c>
      <c r="B11" s="82" t="s">
        <v>64</v>
      </c>
      <c r="C11" s="28"/>
      <c r="D11" s="83">
        <v>4545601.5099999988</v>
      </c>
      <c r="E11" s="120">
        <v>0.50605083376185545</v>
      </c>
      <c r="F11" s="28"/>
      <c r="G11" s="84">
        <v>8982499.7939616721</v>
      </c>
      <c r="H11" s="84">
        <v>1891052.5882024572</v>
      </c>
      <c r="I11" s="85">
        <v>1708869.7999999842</v>
      </c>
      <c r="J11" s="70">
        <v>0.90366064416238834</v>
      </c>
      <c r="K11" s="86"/>
      <c r="L11" s="87">
        <v>3.7</v>
      </c>
      <c r="M11" s="88">
        <v>-1.2232171462106374</v>
      </c>
      <c r="N11" s="70">
        <v>-0.33059922870557767</v>
      </c>
      <c r="O11" s="86"/>
      <c r="P11" s="84">
        <v>69968.945763490919</v>
      </c>
      <c r="Q11" s="84">
        <v>-20903.188400015231</v>
      </c>
      <c r="R11" s="83">
        <v>0</v>
      </c>
      <c r="S11" s="85">
        <v>-20903.188400015231</v>
      </c>
      <c r="T11" s="70">
        <v>-0.29874951197167104</v>
      </c>
      <c r="U11" s="69"/>
      <c r="V11" s="83">
        <v>472763.14705061429</v>
      </c>
      <c r="W11" s="89">
        <v>503254.37000000011</v>
      </c>
      <c r="X11" s="90">
        <v>-5.2604985824564476</v>
      </c>
      <c r="Y11" s="70">
        <v>-1.4217563736368777</v>
      </c>
      <c r="Z11" s="91"/>
      <c r="AA11" s="85">
        <v>17492.23644087273</v>
      </c>
      <c r="AB11" s="85">
        <v>-26473.689000000133</v>
      </c>
      <c r="AC11" s="70">
        <v>-1.5134536449633822</v>
      </c>
    </row>
    <row r="12" spans="1:29" s="14" customFormat="1" ht="14.25" customHeight="1" x14ac:dyDescent="0.3">
      <c r="A12" s="64" t="s">
        <v>16</v>
      </c>
      <c r="B12" s="82" t="s">
        <v>62</v>
      </c>
      <c r="C12" s="28"/>
      <c r="D12" s="83">
        <v>35470533.520000003</v>
      </c>
      <c r="E12" s="120">
        <v>1.2945800896605206</v>
      </c>
      <c r="F12" s="28"/>
      <c r="G12" s="84">
        <v>27399257.723252553</v>
      </c>
      <c r="H12" s="84">
        <v>5768264.7838426428</v>
      </c>
      <c r="I12" s="85">
        <v>4882518.1599999862</v>
      </c>
      <c r="J12" s="70">
        <v>0.84644487431927506</v>
      </c>
      <c r="K12" s="86"/>
      <c r="L12" s="87">
        <v>2.95</v>
      </c>
      <c r="M12" s="88">
        <v>-4.282357364545482</v>
      </c>
      <c r="N12" s="70">
        <v>-1.4516465642527057</v>
      </c>
      <c r="O12" s="86"/>
      <c r="P12" s="84">
        <v>170163.81112335797</v>
      </c>
      <c r="Q12" s="84">
        <v>-209086.87600002997</v>
      </c>
      <c r="R12" s="83">
        <v>0</v>
      </c>
      <c r="S12" s="85">
        <v>-209086.87600002997</v>
      </c>
      <c r="T12" s="70">
        <v>-1.228738793634889</v>
      </c>
      <c r="U12" s="69"/>
      <c r="V12" s="83">
        <v>1442066.1959606607</v>
      </c>
      <c r="W12" s="89">
        <v>1165477.5199999993</v>
      </c>
      <c r="X12" s="90">
        <v>-3.9856549270895298</v>
      </c>
      <c r="Y12" s="70">
        <v>-1.3510694668100101</v>
      </c>
      <c r="Z12" s="91"/>
      <c r="AA12" s="85">
        <v>42540.952780839492</v>
      </c>
      <c r="AB12" s="85">
        <v>-46451.912200000836</v>
      </c>
      <c r="AC12" s="70">
        <v>-1.0919339874522709</v>
      </c>
    </row>
    <row r="13" spans="1:29" s="14" customFormat="1" ht="14.25" customHeight="1" x14ac:dyDescent="0.3">
      <c r="A13" s="64" t="s">
        <v>19</v>
      </c>
      <c r="B13" s="82" t="s">
        <v>63</v>
      </c>
      <c r="C13" s="28"/>
      <c r="D13" s="83">
        <v>3267710.0100000012</v>
      </c>
      <c r="E13" s="120">
        <v>1.1110910901253281</v>
      </c>
      <c r="F13" s="28"/>
      <c r="G13" s="84">
        <v>2940992.0024031624</v>
      </c>
      <c r="H13" s="84">
        <v>619156.21103224473</v>
      </c>
      <c r="I13" s="85">
        <v>468907.02999999997</v>
      </c>
      <c r="J13" s="70">
        <v>0.75733235271636479</v>
      </c>
      <c r="K13" s="86"/>
      <c r="L13" s="87">
        <v>4.05</v>
      </c>
      <c r="M13" s="88">
        <v>-3.4404309101527746</v>
      </c>
      <c r="N13" s="70">
        <v>-0.84948911361796908</v>
      </c>
      <c r="O13" s="86"/>
      <c r="P13" s="84">
        <v>25075.826546805911</v>
      </c>
      <c r="Q13" s="84">
        <v>-16132.422399999343</v>
      </c>
      <c r="R13" s="83">
        <v>192.29000000000002</v>
      </c>
      <c r="S13" s="85">
        <v>-15940.132399999342</v>
      </c>
      <c r="T13" s="70">
        <v>-0.63567724757729882</v>
      </c>
      <c r="U13" s="69"/>
      <c r="V13" s="83">
        <v>154789.05275806118</v>
      </c>
      <c r="W13" s="89">
        <v>178566.30000000005</v>
      </c>
      <c r="X13" s="90">
        <v>-13.570208152378049</v>
      </c>
      <c r="Y13" s="70">
        <v>-3.3506686795995182</v>
      </c>
      <c r="Z13" s="92"/>
      <c r="AA13" s="85">
        <v>6268.9566367014777</v>
      </c>
      <c r="AB13" s="85">
        <v>-24231.81859999985</v>
      </c>
      <c r="AC13" s="70">
        <v>-3.865367078492004</v>
      </c>
    </row>
    <row r="14" spans="1:29" s="14" customFormat="1" ht="14.25" customHeight="1" x14ac:dyDescent="0.3">
      <c r="A14" s="64" t="s">
        <v>20</v>
      </c>
      <c r="B14" s="82" t="s">
        <v>52</v>
      </c>
      <c r="C14" s="28"/>
      <c r="D14" s="83">
        <v>1962652.18</v>
      </c>
      <c r="E14" s="120">
        <v>0.96691925291975234</v>
      </c>
      <c r="F14" s="28"/>
      <c r="G14" s="84">
        <v>2029799.4626474632</v>
      </c>
      <c r="H14" s="84">
        <v>427326.20266262384</v>
      </c>
      <c r="I14" s="85">
        <v>489010.65999999928</v>
      </c>
      <c r="J14" s="70">
        <v>1.1443498127496656</v>
      </c>
      <c r="K14" s="86"/>
      <c r="L14" s="87">
        <v>4.05</v>
      </c>
      <c r="M14" s="88">
        <v>-1.4611133426045635E-4</v>
      </c>
      <c r="N14" s="70">
        <v>-3.6076872656902806E-5</v>
      </c>
      <c r="O14" s="86"/>
      <c r="P14" s="84">
        <v>17306.711207836266</v>
      </c>
      <c r="Q14" s="84">
        <v>-0.71450000000186265</v>
      </c>
      <c r="R14" s="83">
        <v>0</v>
      </c>
      <c r="S14" s="85">
        <v>-0.71450000000186265</v>
      </c>
      <c r="T14" s="70">
        <v>-4.1284562469520253E-5</v>
      </c>
      <c r="U14" s="69"/>
      <c r="V14" s="83">
        <v>106831.55066565596</v>
      </c>
      <c r="W14" s="89">
        <v>118657.83999999994</v>
      </c>
      <c r="X14" s="90">
        <v>-6.2103608156022805</v>
      </c>
      <c r="Y14" s="70">
        <v>-1.5334224236055014</v>
      </c>
      <c r="Z14" s="91"/>
      <c r="AA14" s="85">
        <v>4326.6778019590665</v>
      </c>
      <c r="AB14" s="85">
        <v>-7369.0800000000454</v>
      </c>
      <c r="AC14" s="70">
        <v>-1.7031728123280676</v>
      </c>
    </row>
    <row r="15" spans="1:29" s="14" customFormat="1" ht="14.25" customHeight="1" x14ac:dyDescent="0.3">
      <c r="A15" s="64" t="s">
        <v>17</v>
      </c>
      <c r="B15" s="82" t="s">
        <v>72</v>
      </c>
      <c r="C15" s="28"/>
      <c r="D15" s="83">
        <v>11303898.469999999</v>
      </c>
      <c r="E15" s="120">
        <v>0.58288286797546141</v>
      </c>
      <c r="F15" s="28"/>
      <c r="G15" s="84">
        <v>19393087.515613649</v>
      </c>
      <c r="H15" s="84">
        <v>4082755.2664449788</v>
      </c>
      <c r="I15" s="85">
        <v>3681932.9299999867</v>
      </c>
      <c r="J15" s="70">
        <v>0.9018255295047346</v>
      </c>
      <c r="K15" s="86"/>
      <c r="L15" s="87">
        <v>2.9</v>
      </c>
      <c r="M15" s="88">
        <v>-7.5806788419692541</v>
      </c>
      <c r="N15" s="70">
        <v>-2.6140271868859499</v>
      </c>
      <c r="O15" s="86"/>
      <c r="P15" s="84">
        <v>118399.90272690437</v>
      </c>
      <c r="Q15" s="84">
        <v>-279115.5106000076</v>
      </c>
      <c r="R15" s="83">
        <v>402.71</v>
      </c>
      <c r="S15" s="85">
        <v>-278712.80060000758</v>
      </c>
      <c r="T15" s="70">
        <v>-2.3539951822669432</v>
      </c>
      <c r="U15" s="69"/>
      <c r="V15" s="83">
        <v>1020688.8166112447</v>
      </c>
      <c r="W15" s="89">
        <v>1061635.7100000009</v>
      </c>
      <c r="X15" s="90">
        <v>-10.134885101029557</v>
      </c>
      <c r="Y15" s="70">
        <v>-3.4947879658722609</v>
      </c>
      <c r="Z15" s="91"/>
      <c r="AA15" s="85">
        <v>29599.975681726093</v>
      </c>
      <c r="AB15" s="85">
        <v>-107595.55939999943</v>
      </c>
      <c r="AC15" s="70">
        <v>-3.6349881012376932</v>
      </c>
    </row>
    <row r="16" spans="1:29" s="14" customFormat="1" ht="13" x14ac:dyDescent="0.3">
      <c r="A16" s="64" t="s">
        <v>22</v>
      </c>
      <c r="B16" s="82" t="s">
        <v>51</v>
      </c>
      <c r="C16" s="28"/>
      <c r="D16" s="83">
        <v>14565683.069999997</v>
      </c>
      <c r="E16" s="120">
        <v>0.77043610166315213</v>
      </c>
      <c r="F16" s="28"/>
      <c r="G16" s="84">
        <v>18905763.941431139</v>
      </c>
      <c r="H16" s="84">
        <v>3980160.8297749767</v>
      </c>
      <c r="I16" s="85">
        <v>4361662.4199999869</v>
      </c>
      <c r="J16" s="70">
        <v>1.0958507976288432</v>
      </c>
      <c r="K16" s="86"/>
      <c r="L16" s="87">
        <v>2.5499999999999998</v>
      </c>
      <c r="M16" s="88">
        <v>-3.5619048504904827</v>
      </c>
      <c r="N16" s="70">
        <v>-1.3968254315648954</v>
      </c>
      <c r="O16" s="86"/>
      <c r="P16" s="84">
        <v>101494.10115926189</v>
      </c>
      <c r="Q16" s="84">
        <v>-155358.26530000012</v>
      </c>
      <c r="R16" s="83">
        <v>0</v>
      </c>
      <c r="S16" s="85">
        <v>-155358.26530000012</v>
      </c>
      <c r="T16" s="70">
        <v>-1.5307122633286441</v>
      </c>
      <c r="U16" s="69"/>
      <c r="V16" s="83">
        <v>995040.20744374418</v>
      </c>
      <c r="W16" s="89">
        <v>1261363.4599999983</v>
      </c>
      <c r="X16" s="90">
        <v>-5.8268149134433189</v>
      </c>
      <c r="Y16" s="70">
        <v>-2.2850254562522823</v>
      </c>
      <c r="Z16" s="91"/>
      <c r="AA16" s="85">
        <v>25373.525289815472</v>
      </c>
      <c r="AB16" s="85">
        <v>-73497.314200004548</v>
      </c>
      <c r="AC16" s="70">
        <v>-2.8966142213397994</v>
      </c>
    </row>
    <row r="17" spans="1:29" s="14" customFormat="1" ht="13" x14ac:dyDescent="0.3">
      <c r="A17" s="64" t="s">
        <v>68</v>
      </c>
      <c r="B17" s="82" t="s">
        <v>77</v>
      </c>
      <c r="C17" s="28"/>
      <c r="D17" s="83">
        <v>35.82</v>
      </c>
      <c r="E17" s="120"/>
      <c r="F17" s="28"/>
      <c r="G17" s="84"/>
      <c r="H17" s="84"/>
      <c r="I17" s="85">
        <v>0</v>
      </c>
      <c r="J17" s="70" t="s">
        <v>69</v>
      </c>
      <c r="K17" s="86"/>
      <c r="L17" s="87"/>
      <c r="M17" s="88">
        <v>0</v>
      </c>
      <c r="N17" s="70" t="s">
        <v>69</v>
      </c>
      <c r="O17" s="86"/>
      <c r="P17" s="84">
        <v>0</v>
      </c>
      <c r="Q17" s="84">
        <v>0</v>
      </c>
      <c r="R17" s="83">
        <v>0</v>
      </c>
      <c r="S17" s="85">
        <v>0</v>
      </c>
      <c r="T17" s="70" t="s">
        <v>69</v>
      </c>
      <c r="U17" s="69"/>
      <c r="V17" s="83">
        <v>0</v>
      </c>
      <c r="W17" s="89">
        <v>0</v>
      </c>
      <c r="X17" s="90">
        <v>0</v>
      </c>
      <c r="Y17" s="70">
        <v>0</v>
      </c>
      <c r="Z17" s="91"/>
      <c r="AA17" s="85">
        <v>0</v>
      </c>
      <c r="AB17" s="85">
        <v>0</v>
      </c>
      <c r="AC17" s="70" t="s">
        <v>69</v>
      </c>
    </row>
    <row r="18" spans="1:29" s="14" customFormat="1" ht="13" x14ac:dyDescent="0.3">
      <c r="A18" s="64" t="s">
        <v>59</v>
      </c>
      <c r="B18" s="82" t="s">
        <v>73</v>
      </c>
      <c r="C18" s="28"/>
      <c r="D18" s="83">
        <v>1919.94</v>
      </c>
      <c r="E18" s="120"/>
      <c r="F18" s="28"/>
      <c r="G18" s="84"/>
      <c r="H18" s="84"/>
      <c r="I18" s="85">
        <v>1134.0999999999999</v>
      </c>
      <c r="J18" s="70" t="s">
        <v>69</v>
      </c>
      <c r="K18" s="86"/>
      <c r="L18" s="87"/>
      <c r="M18" s="88">
        <v>2.8419010669252969</v>
      </c>
      <c r="N18" s="70" t="s">
        <v>69</v>
      </c>
      <c r="O18" s="86"/>
      <c r="P18" s="84">
        <v>0</v>
      </c>
      <c r="Q18" s="84">
        <v>32.229999999999791</v>
      </c>
      <c r="R18" s="83">
        <v>0</v>
      </c>
      <c r="S18" s="85">
        <v>32.229999999999791</v>
      </c>
      <c r="T18" s="70" t="s">
        <v>69</v>
      </c>
      <c r="U18" s="69"/>
      <c r="V18" s="83">
        <v>0</v>
      </c>
      <c r="W18" s="89">
        <v>220.58</v>
      </c>
      <c r="X18" s="90">
        <v>14.924290506845594</v>
      </c>
      <c r="Y18" s="70">
        <v>0</v>
      </c>
      <c r="Z18" s="91"/>
      <c r="AA18" s="85">
        <v>0</v>
      </c>
      <c r="AB18" s="85">
        <v>32.920000000000016</v>
      </c>
      <c r="AC18" s="70" t="s">
        <v>69</v>
      </c>
    </row>
    <row r="19" spans="1:29" s="14" customFormat="1" ht="13" hidden="1" x14ac:dyDescent="0.3">
      <c r="A19" s="64"/>
      <c r="B19" s="82"/>
      <c r="C19" s="28"/>
      <c r="D19" s="83"/>
      <c r="E19" s="120"/>
      <c r="F19" s="28"/>
      <c r="G19" s="84"/>
      <c r="H19" s="84"/>
      <c r="I19" s="85"/>
      <c r="J19" s="70"/>
      <c r="K19" s="86"/>
      <c r="L19" s="87"/>
      <c r="M19" s="88"/>
      <c r="N19" s="70"/>
      <c r="O19" s="86"/>
      <c r="P19" s="84"/>
      <c r="Q19" s="84"/>
      <c r="R19" s="83"/>
      <c r="S19" s="85"/>
      <c r="T19" s="70"/>
      <c r="U19" s="69"/>
      <c r="V19" s="83"/>
      <c r="W19" s="89"/>
      <c r="X19" s="90"/>
      <c r="Y19" s="70"/>
      <c r="Z19" s="86"/>
      <c r="AA19" s="85"/>
      <c r="AB19" s="85"/>
      <c r="AC19" s="70"/>
    </row>
    <row r="20" spans="1:29" s="14" customFormat="1" ht="13" hidden="1" x14ac:dyDescent="0.3">
      <c r="A20" s="64"/>
      <c r="B20" s="82"/>
      <c r="C20" s="28"/>
      <c r="D20" s="83"/>
      <c r="E20" s="120"/>
      <c r="F20" s="28"/>
      <c r="G20" s="84"/>
      <c r="H20" s="84"/>
      <c r="I20" s="85"/>
      <c r="J20" s="70"/>
      <c r="K20" s="86"/>
      <c r="L20" s="87"/>
      <c r="M20" s="88"/>
      <c r="N20" s="70"/>
      <c r="O20" s="86"/>
      <c r="P20" s="84"/>
      <c r="Q20" s="84"/>
      <c r="R20" s="83"/>
      <c r="S20" s="85"/>
      <c r="T20" s="70"/>
      <c r="U20" s="69"/>
      <c r="V20" s="83"/>
      <c r="W20" s="89"/>
      <c r="X20" s="90"/>
      <c r="Y20" s="70"/>
      <c r="Z20" s="86"/>
      <c r="AA20" s="85"/>
      <c r="AB20" s="85"/>
      <c r="AC20" s="70"/>
    </row>
    <row r="21" spans="1:29" s="79" customFormat="1" ht="13" hidden="1" x14ac:dyDescent="0.3">
      <c r="A21" s="71"/>
      <c r="B21" s="72"/>
      <c r="C21" s="74"/>
      <c r="D21" s="73"/>
      <c r="E21" s="121"/>
      <c r="F21" s="74"/>
      <c r="G21" s="75"/>
      <c r="H21" s="75"/>
      <c r="I21" s="75"/>
      <c r="J21" s="110"/>
      <c r="K21" s="78"/>
      <c r="L21" s="77"/>
      <c r="M21" s="77"/>
      <c r="N21" s="110"/>
      <c r="O21" s="78"/>
      <c r="P21" s="75"/>
      <c r="Q21" s="75"/>
      <c r="R21" s="73"/>
      <c r="S21" s="75"/>
      <c r="T21" s="110"/>
      <c r="U21" s="76"/>
      <c r="V21" s="73"/>
      <c r="W21" s="76"/>
      <c r="X21" s="76"/>
      <c r="Y21" s="76"/>
      <c r="Z21" s="78"/>
      <c r="AA21" s="75"/>
      <c r="AB21" s="75"/>
      <c r="AC21" s="110"/>
    </row>
    <row r="22" spans="1:29" s="14" customFormat="1" ht="13" x14ac:dyDescent="0.3">
      <c r="A22" s="26"/>
      <c r="B22" s="25" t="s">
        <v>49</v>
      </c>
      <c r="C22" s="28"/>
      <c r="D22" s="68">
        <v>114066391.83</v>
      </c>
      <c r="E22" s="122">
        <v>1.0495281452146732</v>
      </c>
      <c r="F22" s="28"/>
      <c r="G22" s="41">
        <v>108683499.67562667</v>
      </c>
      <c r="H22" s="41">
        <v>22880736.773816142</v>
      </c>
      <c r="I22" s="41">
        <v>21963435.759999901</v>
      </c>
      <c r="J22" s="44">
        <v>0.95990946345460493</v>
      </c>
      <c r="K22" s="45"/>
      <c r="L22" s="43">
        <v>3.1172876887155225</v>
      </c>
      <c r="M22" s="43">
        <v>-2.9462292647246042</v>
      </c>
      <c r="N22" s="44">
        <v>-0.9451258783043528</v>
      </c>
      <c r="O22" s="45"/>
      <c r="P22" s="41">
        <v>713258.39053757582</v>
      </c>
      <c r="Q22" s="41">
        <v>-647093.1719001059</v>
      </c>
      <c r="R22" s="40">
        <v>1265</v>
      </c>
      <c r="S22" s="41">
        <v>-645828.17190010578</v>
      </c>
      <c r="T22" s="44">
        <v>-0.90546172392497404</v>
      </c>
      <c r="U22" s="42"/>
      <c r="V22" s="40">
        <v>5720184.1934540356</v>
      </c>
      <c r="W22" s="40">
        <v>5901965.5699999984</v>
      </c>
      <c r="X22" s="46">
        <v>-5.8681734058303601</v>
      </c>
      <c r="Y22" s="44">
        <v>-1.8824612906511491</v>
      </c>
      <c r="Z22" s="45"/>
      <c r="AA22" s="41">
        <v>178314.59763439395</v>
      </c>
      <c r="AB22" s="41">
        <v>-346337.57400000421</v>
      </c>
      <c r="AC22" s="44">
        <v>-1.9422839105417211</v>
      </c>
    </row>
    <row r="23" spans="1:29" ht="14.5" x14ac:dyDescent="0.35">
      <c r="C23" s="55"/>
      <c r="D23" s="59"/>
      <c r="E23" s="54"/>
      <c r="F23" s="55"/>
      <c r="G23" s="104"/>
      <c r="H23" s="48"/>
      <c r="I23" s="48"/>
      <c r="J23" s="49"/>
      <c r="K23" s="34"/>
      <c r="L23" s="50"/>
      <c r="M23" s="50"/>
      <c r="N23" s="48"/>
      <c r="O23" s="34"/>
      <c r="P23" s="48"/>
      <c r="Q23" s="48"/>
      <c r="R23" s="48"/>
      <c r="S23" s="48"/>
      <c r="T23" s="48"/>
      <c r="U23" s="48"/>
      <c r="V23" s="47"/>
      <c r="W23" s="47"/>
      <c r="X23" s="52"/>
      <c r="Y23" s="47"/>
      <c r="Z23" s="36"/>
      <c r="AA23" s="48"/>
      <c r="AB23" s="48"/>
      <c r="AC23" s="48"/>
    </row>
    <row r="24" spans="1:29" ht="14.5" x14ac:dyDescent="0.35">
      <c r="C24" s="55"/>
      <c r="D24" s="59"/>
      <c r="E24" s="54"/>
      <c r="F24" s="55"/>
      <c r="G24" s="56"/>
      <c r="H24" s="48"/>
      <c r="I24" s="56"/>
      <c r="J24" s="49"/>
      <c r="K24" s="34"/>
      <c r="L24" s="50"/>
      <c r="M24" s="50"/>
      <c r="N24" s="48"/>
      <c r="O24" s="34"/>
      <c r="P24" s="56"/>
      <c r="Q24" s="56"/>
      <c r="R24" s="56"/>
      <c r="S24" s="56"/>
      <c r="T24" s="48"/>
      <c r="U24" s="48"/>
      <c r="V24" s="47"/>
      <c r="W24" s="59"/>
      <c r="X24" s="52"/>
      <c r="Y24" s="47"/>
      <c r="Z24" s="36"/>
      <c r="AA24" s="56"/>
      <c r="AB24" s="56"/>
      <c r="AC24" s="48"/>
    </row>
    <row r="25" spans="1:29" ht="14.5" x14ac:dyDescent="0.35">
      <c r="A25" s="65"/>
      <c r="B25" s="11"/>
      <c r="C25" s="55"/>
      <c r="D25" s="59"/>
      <c r="E25" s="54"/>
      <c r="F25" s="55"/>
      <c r="G25" s="56"/>
      <c r="H25" s="48"/>
      <c r="I25" s="48"/>
      <c r="J25" s="49"/>
      <c r="K25" s="34"/>
      <c r="L25" s="50"/>
      <c r="M25" s="50"/>
      <c r="N25" s="48"/>
      <c r="O25" s="34"/>
      <c r="P25" s="48"/>
      <c r="Q25" s="48"/>
      <c r="R25" s="48"/>
      <c r="S25" s="48"/>
      <c r="T25" s="48"/>
      <c r="U25" s="48"/>
      <c r="V25" s="47"/>
      <c r="W25" s="47"/>
      <c r="X25" s="52"/>
      <c r="Y25" s="47"/>
      <c r="Z25" s="36"/>
      <c r="AA25" s="48"/>
      <c r="AB25" s="48"/>
      <c r="AC25" s="48"/>
    </row>
    <row r="26" spans="1:29" x14ac:dyDescent="0.3">
      <c r="A26" s="65"/>
      <c r="B26" s="11"/>
    </row>
    <row r="27" spans="1:29" x14ac:dyDescent="0.3">
      <c r="A27" s="65"/>
      <c r="B27" s="11"/>
    </row>
    <row r="28" spans="1:29" x14ac:dyDescent="0.3">
      <c r="A28" s="65"/>
      <c r="B28" s="11"/>
    </row>
    <row r="29" spans="1:29" x14ac:dyDescent="0.3">
      <c r="I29" s="109"/>
    </row>
  </sheetData>
  <sortState ref="A8:B20">
    <sortCondition ref="A8:A20"/>
  </sortState>
  <mergeCells count="12">
    <mergeCell ref="D3:E4"/>
    <mergeCell ref="X5:Y5"/>
    <mergeCell ref="AA5:AC5"/>
    <mergeCell ref="B1:B5"/>
    <mergeCell ref="D2:AC2"/>
    <mergeCell ref="G4:T4"/>
    <mergeCell ref="V4:AC4"/>
    <mergeCell ref="D5:E5"/>
    <mergeCell ref="G5:J5"/>
    <mergeCell ref="L5:N5"/>
    <mergeCell ref="P5:T5"/>
    <mergeCell ref="V5:W5"/>
  </mergeCells>
  <conditionalFormatting sqref="E7">
    <cfRule type="cellIs" dxfId="183" priority="685" operator="greaterThanOrEqual">
      <formula>0.91</formula>
    </cfRule>
    <cfRule type="cellIs" dxfId="182" priority="686" operator="between">
      <formula>0.71</formula>
      <formula>0.9</formula>
    </cfRule>
    <cfRule type="cellIs" dxfId="181" priority="687" operator="between">
      <formula>0.1</formula>
      <formula>0.79</formula>
    </cfRule>
  </conditionalFormatting>
  <conditionalFormatting sqref="E8:E20">
    <cfRule type="cellIs" dxfId="180" priority="241" operator="greaterThanOrEqual">
      <formula>0.9</formula>
    </cfRule>
    <cfRule type="cellIs" dxfId="179" priority="242" operator="between">
      <formula>0.79</formula>
      <formula>0.9</formula>
    </cfRule>
    <cfRule type="cellIs" dxfId="178" priority="243" operator="between">
      <formula>0.0001</formula>
      <formula>0.79</formula>
    </cfRule>
  </conditionalFormatting>
  <conditionalFormatting sqref="E21">
    <cfRule type="cellIs" dxfId="177" priority="373" operator="greaterThanOrEqual">
      <formula>0.91</formula>
    </cfRule>
    <cfRule type="cellIs" dxfId="176" priority="374" operator="between">
      <formula>0.71</formula>
      <formula>0.9</formula>
    </cfRule>
    <cfRule type="cellIs" dxfId="175" priority="375" operator="between">
      <formula>0.1</formula>
      <formula>0.79</formula>
    </cfRule>
    <cfRule type="cellIs" dxfId="174" priority="376" operator="greaterThanOrEqual">
      <formula>0.9</formula>
    </cfRule>
    <cfRule type="cellIs" dxfId="173" priority="377" operator="between">
      <formula>0.79</formula>
      <formula>0.9</formula>
    </cfRule>
    <cfRule type="cellIs" dxfId="172" priority="378" operator="between">
      <formula>0.0001</formula>
      <formula>0.79</formula>
    </cfRule>
  </conditionalFormatting>
  <conditionalFormatting sqref="E22">
    <cfRule type="cellIs" dxfId="171" priority="235" operator="greaterThanOrEqual">
      <formula>0.9</formula>
    </cfRule>
    <cfRule type="cellIs" dxfId="170" priority="236" operator="between">
      <formula>0.79</formula>
      <formula>0.9</formula>
    </cfRule>
    <cfRule type="cellIs" dxfId="169" priority="237" operator="between">
      <formula>0.0001</formula>
      <formula>0.79</formula>
    </cfRule>
  </conditionalFormatting>
  <conditionalFormatting sqref="E23:E1048576">
    <cfRule type="cellIs" dxfId="168" priority="692" operator="greaterThanOrEqual">
      <formula>0.91</formula>
    </cfRule>
    <cfRule type="cellIs" dxfId="167" priority="693" operator="between">
      <formula>0.71</formula>
      <formula>0.9</formula>
    </cfRule>
    <cfRule type="cellIs" dxfId="166" priority="694" operator="between">
      <formula>0.1</formula>
      <formula>0.79</formula>
    </cfRule>
  </conditionalFormatting>
  <conditionalFormatting sqref="J7">
    <cfRule type="cellIs" dxfId="165" priority="688" operator="greaterThanOrEqual">
      <formula>1</formula>
    </cfRule>
    <cfRule type="cellIs" dxfId="164" priority="689" operator="between">
      <formula>0.9001</formula>
      <formula>0.9999</formula>
    </cfRule>
    <cfRule type="cellIs" dxfId="163" priority="690" operator="lessThan">
      <formula>0.9</formula>
    </cfRule>
  </conditionalFormatting>
  <conditionalFormatting sqref="J8:J20">
    <cfRule type="cellIs" dxfId="162" priority="287" operator="lessThanOrEqual">
      <formula>0.86</formula>
    </cfRule>
  </conditionalFormatting>
  <conditionalFormatting sqref="J8:J21">
    <cfRule type="cellIs" dxfId="161" priority="285" operator="between">
      <formula>0.86</formula>
      <formula>0.9999</formula>
    </cfRule>
  </conditionalFormatting>
  <conditionalFormatting sqref="J8:J22 N8:N22">
    <cfRule type="cellIs" dxfId="160" priority="278" operator="greaterThanOrEqual">
      <formula>1</formula>
    </cfRule>
  </conditionalFormatting>
  <conditionalFormatting sqref="J21:J22">
    <cfRule type="cellIs" dxfId="159" priority="281" operator="lessThanOrEqual">
      <formula>0.86</formula>
    </cfRule>
  </conditionalFormatting>
  <conditionalFormatting sqref="J22">
    <cfRule type="cellIs" dxfId="158" priority="280" operator="between">
      <formula>0.86</formula>
      <formula>0.9999</formula>
    </cfRule>
  </conditionalFormatting>
  <conditionalFormatting sqref="J23:J1048576">
    <cfRule type="cellIs" dxfId="157" priority="695" operator="greaterThanOrEqual">
      <formula>1</formula>
    </cfRule>
    <cfRule type="cellIs" dxfId="156" priority="696" operator="between">
      <formula>0.9001</formula>
      <formula>0.9999</formula>
    </cfRule>
    <cfRule type="cellIs" dxfId="155" priority="697" operator="lessThan">
      <formula>0.9</formula>
    </cfRule>
  </conditionalFormatting>
  <conditionalFormatting sqref="N8:N20">
    <cfRule type="cellIs" dxfId="154" priority="331" operator="lessThanOrEqual">
      <formula>0.86</formula>
    </cfRule>
  </conditionalFormatting>
  <conditionalFormatting sqref="N8:N21">
    <cfRule type="cellIs" dxfId="153" priority="351" operator="between">
      <formula>0.86</formula>
      <formula>0.9999</formula>
    </cfRule>
  </conditionalFormatting>
  <conditionalFormatting sqref="N14:N20">
    <cfRule type="cellIs" dxfId="152" priority="329" operator="between">
      <formula>0.86</formula>
      <formula>0.999999999</formula>
    </cfRule>
  </conditionalFormatting>
  <conditionalFormatting sqref="N21:N22">
    <cfRule type="cellIs" dxfId="151" priority="325" operator="lessThanOrEqual">
      <formula>0.86</formula>
    </cfRule>
  </conditionalFormatting>
  <conditionalFormatting sqref="N22">
    <cfRule type="cellIs" dxfId="150" priority="324" operator="between">
      <formula>0.86</formula>
      <formula>0.999999999</formula>
    </cfRule>
  </conditionalFormatting>
  <conditionalFormatting sqref="T8:U20">
    <cfRule type="cellIs" dxfId="149" priority="79" operator="greaterThanOrEqual">
      <formula>1</formula>
    </cfRule>
    <cfRule type="cellIs" dxfId="148" priority="83" operator="lessThanOrEqual">
      <formula>0.86</formula>
    </cfRule>
    <cfRule type="cellIs" dxfId="147" priority="84" operator="between">
      <formula>0.86</formula>
      <formula>0.9999</formula>
    </cfRule>
  </conditionalFormatting>
  <conditionalFormatting sqref="T22:U22">
    <cfRule type="cellIs" dxfId="146" priority="76" operator="greaterThanOrEqual">
      <formula>1</formula>
    </cfRule>
    <cfRule type="cellIs" dxfId="145" priority="77" operator="lessThanOrEqual">
      <formula>0.86</formula>
    </cfRule>
    <cfRule type="cellIs" dxfId="144" priority="78" operator="between">
      <formula>0.86</formula>
      <formula>0.9999</formula>
    </cfRule>
  </conditionalFormatting>
  <conditionalFormatting sqref="Y8:Y20 Y22">
    <cfRule type="cellIs" dxfId="143" priority="605" operator="greaterThanOrEqual">
      <formula>1</formula>
    </cfRule>
    <cfRule type="cellIs" dxfId="142" priority="626" operator="lessThanOrEqual">
      <formula>0.86</formula>
    </cfRule>
    <cfRule type="cellIs" dxfId="141" priority="627" operator="between">
      <formula>0.86</formula>
      <formula>0.9999</formula>
    </cfRule>
  </conditionalFormatting>
  <conditionalFormatting sqref="AC8:AC20">
    <cfRule type="cellIs" dxfId="140" priority="7" operator="greaterThanOrEqual">
      <formula>1</formula>
    </cfRule>
    <cfRule type="cellIs" dxfId="139" priority="11" operator="lessThanOrEqual">
      <formula>0.86</formula>
    </cfRule>
    <cfRule type="cellIs" dxfId="138" priority="12" operator="between">
      <formula>0.86</formula>
      <formula>0.9999</formula>
    </cfRule>
  </conditionalFormatting>
  <conditionalFormatting sqref="AC22">
    <cfRule type="cellIs" dxfId="137" priority="49" operator="greaterThanOrEqual">
      <formula>1</formula>
    </cfRule>
    <cfRule type="cellIs" dxfId="136" priority="50" operator="lessThanOrEqual">
      <formula>0.86</formula>
    </cfRule>
    <cfRule type="cellIs" dxfId="135" priority="51" operator="between">
      <formula>0.86</formula>
      <formula>0.9999</formula>
    </cfRule>
  </conditionalFormatting>
  <printOptions horizontalCentered="1"/>
  <pageMargins left="0" right="0" top="0" bottom="0" header="0" footer="0"/>
  <pageSetup paperSize="9" scale="5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Q106"/>
  <sheetViews>
    <sheetView showGridLines="0" zoomScale="80" zoomScaleNormal="80" workbookViewId="0">
      <pane xSplit="3" ySplit="7" topLeftCell="D8" activePane="bottomRight" state="frozen"/>
      <selection activeCell="H8" sqref="H8"/>
      <selection pane="topRight" activeCell="H8" sqref="H8"/>
      <selection pane="bottomLeft" activeCell="H8" sqref="H8"/>
      <selection pane="bottomRight" activeCell="E29" sqref="E29"/>
    </sheetView>
  </sheetViews>
  <sheetFormatPr defaultColWidth="9" defaultRowHeight="14" x14ac:dyDescent="0.3"/>
  <cols>
    <col min="1" max="1" width="10.08203125" style="7" hidden="1" customWidth="1"/>
    <col min="2" max="2" width="7.1640625" style="17" hidden="1" customWidth="1"/>
    <col min="3" max="3" width="20.9140625" style="1" customWidth="1"/>
    <col min="4" max="4" width="1.1640625" customWidth="1"/>
    <col min="5" max="5" width="9.1640625" style="1" bestFit="1" customWidth="1"/>
    <col min="6" max="6" width="8.08203125" style="119" bestFit="1" customWidth="1"/>
    <col min="7" max="7" width="1.1640625" customWidth="1"/>
    <col min="8" max="8" width="10.08203125" style="1" bestFit="1" customWidth="1"/>
    <col min="9" max="9" width="10.9140625" style="1" bestFit="1" customWidth="1"/>
    <col min="10" max="10" width="10.08203125" style="1" bestFit="1" customWidth="1"/>
    <col min="11" max="11" width="6.6640625" style="113" customWidth="1"/>
    <col min="12" max="12" width="0.6640625" style="11" customWidth="1"/>
    <col min="13" max="13" width="9.1640625" style="1" bestFit="1" customWidth="1"/>
    <col min="14" max="14" width="10.9140625" style="1" bestFit="1" customWidth="1"/>
    <col min="15" max="15" width="7.25" style="1" customWidth="1"/>
    <col min="16" max="16" width="9.1640625" style="1" bestFit="1" customWidth="1"/>
    <col min="17" max="17" width="8.5" style="18" bestFit="1" customWidth="1"/>
    <col min="18" max="18" width="0.6640625" style="11" customWidth="1"/>
    <col min="19" max="19" width="9.9140625" style="3" customWidth="1"/>
    <col min="20" max="20" width="8.33203125" style="3" customWidth="1"/>
    <col min="21" max="21" width="0.6640625" style="11" customWidth="1"/>
    <col min="22" max="22" width="0.75" style="4" hidden="1" customWidth="1"/>
    <col min="23" max="23" width="10.33203125" style="4" customWidth="1"/>
    <col min="24" max="24" width="0.1640625" style="1" customWidth="1"/>
    <col min="25" max="25" width="0.6640625" style="11" customWidth="1"/>
    <col min="26" max="26" width="2.08203125" style="61" customWidth="1"/>
    <col min="27" max="27" width="7.08203125" style="18" bestFit="1" customWidth="1"/>
    <col min="28" max="28" width="8.5" style="18" customWidth="1"/>
    <col min="29" max="29" width="0.58203125" style="13" customWidth="1"/>
    <col min="30" max="31" width="7.83203125" style="1" bestFit="1" customWidth="1"/>
    <col min="32" max="32" width="8.5" style="18" bestFit="1" customWidth="1"/>
    <col min="33" max="33" width="0.58203125" style="13" customWidth="1"/>
    <col min="34" max="34" width="7.58203125" style="1" customWidth="1"/>
    <col min="35" max="35" width="9.1640625" style="1" customWidth="1"/>
    <col min="36" max="36" width="9.1640625" style="18" customWidth="1"/>
    <col min="37" max="37" width="0.58203125" style="13" customWidth="1"/>
    <col min="38" max="38" width="8.83203125" style="3" bestFit="1" customWidth="1"/>
    <col min="39" max="39" width="8.5" style="20" customWidth="1"/>
    <col min="40" max="40" width="0.58203125" style="13" customWidth="1"/>
    <col min="41" max="41" width="9.4140625" style="19" customWidth="1"/>
    <col min="42" max="42" width="6.6640625" style="18" hidden="1" customWidth="1"/>
    <col min="43" max="43" width="8.6640625" customWidth="1"/>
    <col min="44" max="16384" width="9" style="11"/>
  </cols>
  <sheetData>
    <row r="1" spans="1:43" ht="14.5" thickBot="1" x14ac:dyDescent="0.35">
      <c r="A1" s="161"/>
      <c r="B1" s="217"/>
      <c r="C1" s="218"/>
      <c r="D1" s="166"/>
      <c r="E1" s="167"/>
      <c r="F1" s="168"/>
      <c r="G1" s="166"/>
      <c r="H1" s="167"/>
      <c r="I1" s="167"/>
      <c r="J1" s="167"/>
      <c r="K1" s="169"/>
      <c r="L1" s="167"/>
      <c r="M1" s="167"/>
      <c r="N1" s="167"/>
      <c r="O1" s="167"/>
      <c r="P1" s="167"/>
      <c r="Q1" s="170"/>
      <c r="R1" s="167"/>
      <c r="S1" s="171"/>
      <c r="T1" s="171"/>
      <c r="U1" s="167"/>
      <c r="V1" s="172"/>
      <c r="W1" s="172"/>
      <c r="X1" s="167"/>
      <c r="Y1" s="167"/>
      <c r="Z1" s="170"/>
      <c r="AA1" s="170"/>
      <c r="AB1" s="170"/>
      <c r="AC1" s="170"/>
      <c r="AD1" s="167"/>
      <c r="AE1" s="167"/>
      <c r="AF1" s="170"/>
      <c r="AG1" s="170"/>
      <c r="AH1" s="167"/>
      <c r="AI1" s="167"/>
      <c r="AJ1" s="170"/>
      <c r="AK1" s="170"/>
      <c r="AL1" s="171"/>
      <c r="AM1" s="173"/>
      <c r="AN1" s="170"/>
      <c r="AO1" s="174"/>
      <c r="AP1" s="175"/>
    </row>
    <row r="2" spans="1:43" s="162" customFormat="1" ht="30.65" customHeight="1" thickBot="1" x14ac:dyDescent="0.4">
      <c r="A2" s="161"/>
      <c r="B2" s="219"/>
      <c r="C2" s="220"/>
      <c r="D2" s="176"/>
      <c r="E2" s="223" t="s">
        <v>83</v>
      </c>
      <c r="F2" s="224"/>
      <c r="G2" s="224"/>
      <c r="H2" s="224"/>
      <c r="I2" s="224"/>
      <c r="J2" s="224"/>
      <c r="K2" s="224"/>
      <c r="L2" s="224"/>
      <c r="M2" s="224"/>
      <c r="N2" s="224"/>
      <c r="O2" s="224"/>
      <c r="P2" s="224"/>
      <c r="Q2" s="224"/>
      <c r="R2" s="224"/>
      <c r="S2" s="224"/>
      <c r="T2" s="224"/>
      <c r="U2" s="224"/>
      <c r="V2" s="224"/>
      <c r="W2" s="224"/>
      <c r="X2" s="224"/>
      <c r="Y2" s="224"/>
      <c r="Z2" s="224"/>
      <c r="AA2" s="224"/>
      <c r="AB2" s="224"/>
      <c r="AC2" s="224"/>
      <c r="AD2" s="224"/>
      <c r="AE2" s="224"/>
      <c r="AF2" s="224"/>
      <c r="AG2" s="224"/>
      <c r="AH2" s="224"/>
      <c r="AI2" s="224"/>
      <c r="AJ2" s="224"/>
      <c r="AK2" s="224"/>
      <c r="AL2" s="224"/>
      <c r="AM2" s="224"/>
      <c r="AN2" s="224"/>
      <c r="AO2" s="224"/>
      <c r="AP2" s="225"/>
      <c r="AQ2"/>
    </row>
    <row r="3" spans="1:43" s="186" customFormat="1" ht="12" thickBot="1" x14ac:dyDescent="0.3">
      <c r="B3" s="219"/>
      <c r="C3" s="220"/>
      <c r="D3" s="188"/>
      <c r="E3" s="234"/>
      <c r="F3" s="234"/>
      <c r="G3" s="188"/>
      <c r="H3" s="188">
        <v>12</v>
      </c>
      <c r="I3" s="188"/>
      <c r="J3" s="188">
        <v>3</v>
      </c>
      <c r="K3" s="188"/>
      <c r="L3" s="188"/>
      <c r="M3" s="188">
        <v>73</v>
      </c>
      <c r="N3" s="188"/>
      <c r="O3" s="188"/>
      <c r="P3" s="188">
        <v>6</v>
      </c>
      <c r="Q3" s="188"/>
      <c r="R3" s="188"/>
      <c r="S3" s="188"/>
      <c r="T3" s="188"/>
      <c r="U3" s="188"/>
      <c r="V3" s="188">
        <v>30</v>
      </c>
      <c r="W3" s="188">
        <v>5</v>
      </c>
      <c r="X3" s="188"/>
      <c r="Y3" s="188"/>
      <c r="Z3" s="188"/>
      <c r="AA3" s="188">
        <v>9</v>
      </c>
      <c r="AB3" s="188">
        <v>8</v>
      </c>
      <c r="AC3" s="188"/>
      <c r="AD3" s="188">
        <v>6</v>
      </c>
      <c r="AE3" s="188">
        <v>11</v>
      </c>
      <c r="AF3" s="188"/>
      <c r="AG3" s="188"/>
      <c r="AH3" s="188">
        <v>6</v>
      </c>
      <c r="AI3" s="188">
        <v>6</v>
      </c>
      <c r="AJ3" s="188">
        <v>6</v>
      </c>
      <c r="AK3" s="188"/>
      <c r="AL3" s="188"/>
      <c r="AM3" s="188"/>
      <c r="AN3" s="188"/>
      <c r="AO3" s="188">
        <v>10</v>
      </c>
      <c r="AP3" s="189"/>
    </row>
    <row r="4" spans="1:43" s="157" customFormat="1" ht="21.75" customHeight="1" thickBot="1" x14ac:dyDescent="0.3">
      <c r="A4" s="163"/>
      <c r="B4" s="219"/>
      <c r="C4" s="220"/>
      <c r="D4" s="177"/>
      <c r="E4" s="235"/>
      <c r="F4" s="235"/>
      <c r="G4" s="177"/>
      <c r="H4" s="226" t="s">
        <v>35</v>
      </c>
      <c r="I4" s="227"/>
      <c r="J4" s="227"/>
      <c r="K4" s="227"/>
      <c r="L4" s="227"/>
      <c r="M4" s="227"/>
      <c r="N4" s="227"/>
      <c r="O4" s="227"/>
      <c r="P4" s="227"/>
      <c r="Q4" s="227"/>
      <c r="R4" s="227"/>
      <c r="S4" s="227"/>
      <c r="T4" s="227"/>
      <c r="U4" s="227"/>
      <c r="V4" s="227"/>
      <c r="W4" s="227"/>
      <c r="X4" s="228"/>
      <c r="Y4" s="178"/>
      <c r="Z4" s="179"/>
      <c r="AA4" s="226" t="s">
        <v>6</v>
      </c>
      <c r="AB4" s="227"/>
      <c r="AC4" s="227"/>
      <c r="AD4" s="227"/>
      <c r="AE4" s="227"/>
      <c r="AF4" s="227"/>
      <c r="AG4" s="227"/>
      <c r="AH4" s="227"/>
      <c r="AI4" s="227"/>
      <c r="AJ4" s="227"/>
      <c r="AK4" s="227"/>
      <c r="AL4" s="227"/>
      <c r="AM4" s="227"/>
      <c r="AN4" s="227"/>
      <c r="AO4" s="227"/>
      <c r="AP4" s="228"/>
    </row>
    <row r="5" spans="1:43" s="57" customFormat="1" ht="23.5" customHeight="1" thickBot="1" x14ac:dyDescent="0.35">
      <c r="A5" s="164"/>
      <c r="B5" s="219"/>
      <c r="C5" s="220"/>
      <c r="D5" s="180"/>
      <c r="E5" s="221" t="s">
        <v>5</v>
      </c>
      <c r="F5" s="221"/>
      <c r="G5" s="180"/>
      <c r="H5" s="215" t="s">
        <v>36</v>
      </c>
      <c r="I5" s="215"/>
      <c r="J5" s="215"/>
      <c r="K5" s="215"/>
      <c r="L5" s="180"/>
      <c r="M5" s="215" t="s">
        <v>41</v>
      </c>
      <c r="N5" s="215"/>
      <c r="O5" s="215"/>
      <c r="P5" s="215"/>
      <c r="Q5" s="215"/>
      <c r="R5" s="180"/>
      <c r="S5" s="222" t="s">
        <v>40</v>
      </c>
      <c r="T5" s="222"/>
      <c r="U5" s="181"/>
      <c r="V5" s="216" t="s">
        <v>42</v>
      </c>
      <c r="W5" s="216"/>
      <c r="X5" s="216"/>
      <c r="Y5" s="180"/>
      <c r="Z5" s="182"/>
      <c r="AA5" s="232" t="s">
        <v>36</v>
      </c>
      <c r="AB5" s="233"/>
      <c r="AC5" s="181"/>
      <c r="AD5" s="215" t="s">
        <v>41</v>
      </c>
      <c r="AE5" s="215"/>
      <c r="AF5" s="215"/>
      <c r="AG5" s="215"/>
      <c r="AH5" s="215"/>
      <c r="AI5" s="215"/>
      <c r="AJ5" s="215"/>
      <c r="AK5" s="165"/>
      <c r="AL5" s="229" t="s">
        <v>40</v>
      </c>
      <c r="AM5" s="230"/>
      <c r="AN5" s="181"/>
      <c r="AO5" s="231" t="s">
        <v>42</v>
      </c>
      <c r="AP5" s="231"/>
      <c r="AQ5"/>
    </row>
    <row r="6" spans="1:43" s="107" customFormat="1" ht="27" customHeight="1" thickBot="1" x14ac:dyDescent="0.3">
      <c r="A6" s="106"/>
      <c r="B6" s="136"/>
      <c r="C6" s="137" t="s">
        <v>0</v>
      </c>
      <c r="D6" s="183"/>
      <c r="E6" s="137" t="s">
        <v>2</v>
      </c>
      <c r="F6" s="139" t="s">
        <v>13</v>
      </c>
      <c r="G6" s="183"/>
      <c r="H6" s="137" t="s">
        <v>1</v>
      </c>
      <c r="I6" s="140" t="s">
        <v>37</v>
      </c>
      <c r="J6" s="137" t="s">
        <v>2</v>
      </c>
      <c r="K6" s="137" t="s">
        <v>3</v>
      </c>
      <c r="L6" s="183"/>
      <c r="M6" s="137" t="s">
        <v>1</v>
      </c>
      <c r="N6" s="140" t="s">
        <v>37</v>
      </c>
      <c r="O6" s="137" t="s">
        <v>11</v>
      </c>
      <c r="P6" s="137" t="s">
        <v>43</v>
      </c>
      <c r="Q6" s="137" t="s">
        <v>3</v>
      </c>
      <c r="R6" s="183"/>
      <c r="S6" s="137" t="s">
        <v>44</v>
      </c>
      <c r="T6" s="137" t="s">
        <v>2</v>
      </c>
      <c r="U6" s="184"/>
      <c r="V6" s="137" t="s">
        <v>1</v>
      </c>
      <c r="W6" s="137" t="s">
        <v>2</v>
      </c>
      <c r="X6" s="137" t="s">
        <v>3</v>
      </c>
      <c r="Y6" s="183"/>
      <c r="Z6" s="183"/>
      <c r="AA6" s="137" t="s">
        <v>1</v>
      </c>
      <c r="AB6" s="137" t="s">
        <v>2</v>
      </c>
      <c r="AC6" s="184"/>
      <c r="AD6" s="137" t="s">
        <v>1</v>
      </c>
      <c r="AE6" s="137" t="s">
        <v>2</v>
      </c>
      <c r="AF6" s="137" t="s">
        <v>3</v>
      </c>
      <c r="AG6" s="184"/>
      <c r="AH6" s="137" t="s">
        <v>65</v>
      </c>
      <c r="AI6" s="137" t="s">
        <v>39</v>
      </c>
      <c r="AJ6" s="137" t="s">
        <v>38</v>
      </c>
      <c r="AK6" s="185"/>
      <c r="AL6" s="137" t="s">
        <v>44</v>
      </c>
      <c r="AM6" s="141" t="s">
        <v>2</v>
      </c>
      <c r="AN6" s="184"/>
      <c r="AO6" s="141" t="s">
        <v>2</v>
      </c>
      <c r="AP6" s="141" t="s">
        <v>3</v>
      </c>
    </row>
    <row r="7" spans="1:43" ht="6.5" customHeight="1" x14ac:dyDescent="0.3">
      <c r="B7" s="16"/>
      <c r="D7" s="12"/>
      <c r="E7" s="12"/>
      <c r="F7" s="117"/>
      <c r="G7" s="12"/>
      <c r="H7" s="22"/>
      <c r="I7" s="60"/>
      <c r="J7" s="12"/>
      <c r="K7" s="111"/>
      <c r="M7" s="12"/>
      <c r="N7" s="12"/>
      <c r="O7" s="12"/>
      <c r="P7" s="12"/>
      <c r="Q7" s="114"/>
      <c r="S7" s="21"/>
      <c r="T7" s="21"/>
      <c r="V7" s="24"/>
      <c r="W7" s="67"/>
      <c r="X7" s="22"/>
      <c r="AD7" s="12"/>
      <c r="AE7" s="12"/>
      <c r="AF7" s="114"/>
      <c r="AH7" s="12"/>
      <c r="AI7" s="12"/>
      <c r="AJ7" s="116"/>
      <c r="AL7" s="21"/>
      <c r="AO7" s="66"/>
    </row>
    <row r="8" spans="1:43" ht="12.75" customHeight="1" x14ac:dyDescent="0.3">
      <c r="A8" s="7" t="s">
        <v>4</v>
      </c>
      <c r="B8" s="214" t="s">
        <v>15</v>
      </c>
      <c r="C8" s="6" t="s">
        <v>8</v>
      </c>
      <c r="D8" s="7"/>
      <c r="E8" s="33">
        <v>35050.550000000003</v>
      </c>
      <c r="F8" s="123">
        <v>0.35050550000000003</v>
      </c>
      <c r="G8" s="7"/>
      <c r="H8" s="35">
        <v>100000</v>
      </c>
      <c r="I8" s="35">
        <v>18518.518518518518</v>
      </c>
      <c r="J8" s="35">
        <v>12115.369999999992</v>
      </c>
      <c r="K8" s="70">
        <v>0.65422997999999954</v>
      </c>
      <c r="L8" s="36"/>
      <c r="M8" s="35">
        <v>19900</v>
      </c>
      <c r="N8" s="35">
        <v>3685.1851851851852</v>
      </c>
      <c r="O8" s="37">
        <v>0</v>
      </c>
      <c r="P8" s="35">
        <v>2874.2799999999993</v>
      </c>
      <c r="Q8" s="115">
        <v>0.77995537688442196</v>
      </c>
      <c r="R8" s="36"/>
      <c r="S8" s="127">
        <v>0.19900000000000001</v>
      </c>
      <c r="T8" s="127">
        <v>0.23724244492739399</v>
      </c>
      <c r="U8" s="36"/>
      <c r="V8" s="35"/>
      <c r="W8" s="38">
        <v>6.8789479809530487</v>
      </c>
      <c r="X8" s="69" t="s">
        <v>69</v>
      </c>
      <c r="Y8" s="36"/>
      <c r="Z8" s="62"/>
      <c r="AA8" s="33">
        <v>3703.7037037037039</v>
      </c>
      <c r="AB8" s="33">
        <v>2269.6999999999998</v>
      </c>
      <c r="AC8" s="36"/>
      <c r="AD8" s="35">
        <v>737.03703703703707</v>
      </c>
      <c r="AE8" s="35">
        <v>569.66000000000008</v>
      </c>
      <c r="AF8" s="115">
        <v>0.77290552763819098</v>
      </c>
      <c r="AG8" s="36"/>
      <c r="AH8" s="35">
        <v>574.85599999999988</v>
      </c>
      <c r="AI8" s="35">
        <v>15521.111999999997</v>
      </c>
      <c r="AJ8" s="115">
        <v>0.77995537688442196</v>
      </c>
      <c r="AK8" s="36"/>
      <c r="AL8" s="108">
        <v>0.19900000000000001</v>
      </c>
      <c r="AM8" s="108">
        <v>0.25098471163589908</v>
      </c>
      <c r="AN8" s="36"/>
      <c r="AO8" s="38">
        <v>7.6900030841080502</v>
      </c>
      <c r="AP8" s="70">
        <v>0</v>
      </c>
    </row>
    <row r="9" spans="1:43" ht="12.75" customHeight="1" x14ac:dyDescent="0.3">
      <c r="A9" s="7" t="s">
        <v>4</v>
      </c>
      <c r="B9" s="214"/>
      <c r="C9" s="6" t="s">
        <v>9</v>
      </c>
      <c r="D9" s="7"/>
      <c r="E9" s="33">
        <v>84114.92</v>
      </c>
      <c r="F9" s="123">
        <v>0.67291935999999997</v>
      </c>
      <c r="G9" s="7"/>
      <c r="H9" s="35">
        <v>125000</v>
      </c>
      <c r="I9" s="35">
        <v>24193.548387096776</v>
      </c>
      <c r="J9" s="35">
        <v>22522.470000000005</v>
      </c>
      <c r="K9" s="70">
        <v>0.93092876000000013</v>
      </c>
      <c r="L9" s="36"/>
      <c r="M9" s="35">
        <v>25000</v>
      </c>
      <c r="N9" s="35">
        <v>4838.7096774193551</v>
      </c>
      <c r="O9" s="37">
        <v>0</v>
      </c>
      <c r="P9" s="35">
        <v>5279.3299999999945</v>
      </c>
      <c r="Q9" s="115">
        <v>1.0910615333333322</v>
      </c>
      <c r="R9" s="36"/>
      <c r="S9" s="127">
        <v>0.2</v>
      </c>
      <c r="T9" s="127">
        <v>0.2344027986273261</v>
      </c>
      <c r="U9" s="36"/>
      <c r="V9" s="35"/>
      <c r="W9" s="38">
        <v>7.6599946631076872</v>
      </c>
      <c r="X9" s="69" t="s">
        <v>69</v>
      </c>
      <c r="Y9" s="36"/>
      <c r="Z9" s="62"/>
      <c r="AA9" s="33">
        <v>4032.2580645161293</v>
      </c>
      <c r="AB9" s="33">
        <v>3223.4100000000008</v>
      </c>
      <c r="AC9" s="36"/>
      <c r="AD9" s="35">
        <v>806.45161290322585</v>
      </c>
      <c r="AE9" s="35">
        <v>598.69999999999982</v>
      </c>
      <c r="AF9" s="115">
        <v>0.74238799999999971</v>
      </c>
      <c r="AG9" s="36"/>
      <c r="AH9" s="35">
        <v>879.88833333333241</v>
      </c>
      <c r="AI9" s="35">
        <v>27276.538333333305</v>
      </c>
      <c r="AJ9" s="115">
        <v>1.0910615333333322</v>
      </c>
      <c r="AK9" s="36"/>
      <c r="AL9" s="108">
        <v>0.2</v>
      </c>
      <c r="AM9" s="108">
        <v>0.18573498251851289</v>
      </c>
      <c r="AN9" s="36"/>
      <c r="AO9" s="38">
        <v>3.3985748012198878</v>
      </c>
      <c r="AP9" s="70">
        <v>0</v>
      </c>
    </row>
    <row r="10" spans="1:43" ht="12.75" customHeight="1" x14ac:dyDescent="0.3">
      <c r="A10" s="7" t="s">
        <v>4</v>
      </c>
      <c r="B10" s="214"/>
      <c r="C10" s="6" t="s">
        <v>10</v>
      </c>
      <c r="D10" s="7"/>
      <c r="E10" s="33">
        <v>134499.82</v>
      </c>
      <c r="F10" s="123">
        <v>0.6404753333333334</v>
      </c>
      <c r="G10" s="7"/>
      <c r="H10" s="35">
        <v>210000</v>
      </c>
      <c r="I10" s="35">
        <v>40645.161290322576</v>
      </c>
      <c r="J10" s="35">
        <v>39646.390000000203</v>
      </c>
      <c r="K10" s="70">
        <v>0.97542705555556064</v>
      </c>
      <c r="L10" s="36"/>
      <c r="M10" s="35">
        <v>40320</v>
      </c>
      <c r="N10" s="35">
        <v>7803.8709677419356</v>
      </c>
      <c r="O10" s="37">
        <v>0</v>
      </c>
      <c r="P10" s="35">
        <v>8802.2899999999863</v>
      </c>
      <c r="Q10" s="115">
        <v>1.1279389467592575</v>
      </c>
      <c r="R10" s="36"/>
      <c r="S10" s="127">
        <v>0.192</v>
      </c>
      <c r="T10" s="127">
        <v>0.22201996196879314</v>
      </c>
      <c r="U10" s="36"/>
      <c r="V10" s="35"/>
      <c r="W10" s="38">
        <v>6.8294490368484491</v>
      </c>
      <c r="X10" s="69" t="s">
        <v>69</v>
      </c>
      <c r="Y10" s="36"/>
      <c r="Z10" s="62"/>
      <c r="AA10" s="33">
        <v>6774.1935483870966</v>
      </c>
      <c r="AB10" s="33">
        <v>10266.789999999992</v>
      </c>
      <c r="AC10" s="36"/>
      <c r="AD10" s="35">
        <v>1300.6451612903227</v>
      </c>
      <c r="AE10" s="35">
        <v>2062.7299999999991</v>
      </c>
      <c r="AF10" s="115">
        <v>1.5859283234126975</v>
      </c>
      <c r="AG10" s="36"/>
      <c r="AH10" s="35">
        <v>1467.0483333333311</v>
      </c>
      <c r="AI10" s="35">
        <v>45478.498333333264</v>
      </c>
      <c r="AJ10" s="115">
        <v>1.1279389467592575</v>
      </c>
      <c r="AK10" s="36"/>
      <c r="AL10" s="108">
        <v>0.192</v>
      </c>
      <c r="AM10" s="108">
        <v>0.20091284617684796</v>
      </c>
      <c r="AN10" s="36"/>
      <c r="AO10" s="38">
        <v>4.336993354300497</v>
      </c>
      <c r="AP10" s="70">
        <v>0</v>
      </c>
    </row>
    <row r="11" spans="1:43" ht="12.75" customHeight="1" x14ac:dyDescent="0.3">
      <c r="A11" s="7" t="s">
        <v>4</v>
      </c>
      <c r="B11" s="214"/>
      <c r="C11" s="6" t="s">
        <v>12</v>
      </c>
      <c r="D11" s="7"/>
      <c r="E11" s="33">
        <v>34194.230000000003</v>
      </c>
      <c r="F11" s="123">
        <v>0.27355384000000005</v>
      </c>
      <c r="G11" s="7"/>
      <c r="H11" s="35">
        <v>125000</v>
      </c>
      <c r="I11" s="35">
        <v>23148.148148148146</v>
      </c>
      <c r="J11" s="35">
        <v>5094.09</v>
      </c>
      <c r="K11" s="70">
        <v>0.22006468800000004</v>
      </c>
      <c r="L11" s="36"/>
      <c r="M11" s="35">
        <v>17500</v>
      </c>
      <c r="N11" s="35">
        <v>3240.7407407407409</v>
      </c>
      <c r="O11" s="37">
        <v>0</v>
      </c>
      <c r="P11" s="35">
        <v>895.42000000000007</v>
      </c>
      <c r="Q11" s="115">
        <v>0.27630102857142858</v>
      </c>
      <c r="R11" s="36"/>
      <c r="S11" s="127">
        <v>0.14000000000000001</v>
      </c>
      <c r="T11" s="127">
        <v>0.17577624266552025</v>
      </c>
      <c r="U11" s="36"/>
      <c r="V11" s="35"/>
      <c r="W11" s="38">
        <v>1.11285823375715</v>
      </c>
      <c r="X11" s="69" t="s">
        <v>69</v>
      </c>
      <c r="Y11" s="36"/>
      <c r="Z11" s="62"/>
      <c r="AA11" s="33">
        <v>4629.6296296296296</v>
      </c>
      <c r="AB11" s="33">
        <v>1551.13</v>
      </c>
      <c r="AC11" s="36"/>
      <c r="AD11" s="35">
        <v>648.14814814814815</v>
      </c>
      <c r="AE11" s="35">
        <v>256.69</v>
      </c>
      <c r="AF11" s="115">
        <v>0.396036</v>
      </c>
      <c r="AG11" s="36"/>
      <c r="AH11" s="35">
        <v>179.084</v>
      </c>
      <c r="AI11" s="35">
        <v>4835.268</v>
      </c>
      <c r="AJ11" s="115">
        <v>0.27630102857142858</v>
      </c>
      <c r="AK11" s="36"/>
      <c r="AL11" s="108">
        <v>0.14000000000000001</v>
      </c>
      <c r="AM11" s="108">
        <v>0.16548580712125996</v>
      </c>
      <c r="AN11" s="36"/>
      <c r="AO11" s="38">
        <v>1.373192446796863</v>
      </c>
      <c r="AP11" s="70">
        <v>0</v>
      </c>
    </row>
    <row r="12" spans="1:43" s="15" customFormat="1" ht="14.25" customHeight="1" x14ac:dyDescent="0.3">
      <c r="A12" s="26"/>
      <c r="B12" s="214"/>
      <c r="C12" s="9" t="s">
        <v>50</v>
      </c>
      <c r="D12" s="26"/>
      <c r="E12" s="27">
        <v>287859.52</v>
      </c>
      <c r="F12" s="124">
        <v>0.51403485714285713</v>
      </c>
      <c r="G12" s="26"/>
      <c r="H12" s="29">
        <v>560000</v>
      </c>
      <c r="I12" s="29">
        <v>106505.37634408602</v>
      </c>
      <c r="J12" s="29">
        <v>79378.320000000196</v>
      </c>
      <c r="K12" s="31">
        <v>0.74529871378092061</v>
      </c>
      <c r="L12" s="39"/>
      <c r="M12" s="29">
        <v>102720</v>
      </c>
      <c r="N12" s="29">
        <v>19568.506571087215</v>
      </c>
      <c r="O12" s="27">
        <v>0</v>
      </c>
      <c r="P12" s="29">
        <v>17851.319999999978</v>
      </c>
      <c r="Q12" s="31">
        <v>0.91224743876855641</v>
      </c>
      <c r="R12" s="39"/>
      <c r="S12" s="128">
        <v>0.18342857142857144</v>
      </c>
      <c r="T12" s="128">
        <v>0.22488911329944919</v>
      </c>
      <c r="U12" s="39"/>
      <c r="V12" s="29"/>
      <c r="W12" s="32">
        <v>6.7057982582652302</v>
      </c>
      <c r="X12" s="30" t="s">
        <v>69</v>
      </c>
      <c r="Y12" s="39"/>
      <c r="Z12" s="62"/>
      <c r="AA12" s="27">
        <v>19139.784946236559</v>
      </c>
      <c r="AB12" s="27">
        <v>17311.029999999992</v>
      </c>
      <c r="AC12" s="39"/>
      <c r="AD12" s="29">
        <v>3492.281959378734</v>
      </c>
      <c r="AE12" s="29">
        <v>3487.7799999999993</v>
      </c>
      <c r="AF12" s="31">
        <v>0.99871088319010315</v>
      </c>
      <c r="AG12" s="39"/>
      <c r="AH12" s="29">
        <v>3100.8766666666634</v>
      </c>
      <c r="AI12" s="29">
        <v>93111.416666666555</v>
      </c>
      <c r="AJ12" s="31">
        <v>0.9064584955867071</v>
      </c>
      <c r="AK12" s="39"/>
      <c r="AL12" s="80">
        <v>0.18342857142857144</v>
      </c>
      <c r="AM12" s="80">
        <v>0.20147732399516383</v>
      </c>
      <c r="AN12" s="39"/>
      <c r="AO12" s="32">
        <v>0</v>
      </c>
      <c r="AP12" s="31">
        <v>0</v>
      </c>
      <c r="AQ12" s="10"/>
    </row>
    <row r="13" spans="1:43" ht="8" customHeight="1" x14ac:dyDescent="0.3">
      <c r="B13" s="16"/>
      <c r="D13" s="34"/>
      <c r="E13" s="47"/>
      <c r="F13" s="125"/>
      <c r="G13" s="34"/>
      <c r="H13" s="48"/>
      <c r="I13" s="48"/>
      <c r="J13" s="48"/>
      <c r="K13" s="51"/>
      <c r="L13" s="34"/>
      <c r="M13" s="48"/>
      <c r="N13" s="48"/>
      <c r="O13" s="51"/>
      <c r="P13" s="48"/>
      <c r="Q13" s="47"/>
      <c r="R13" s="34"/>
      <c r="S13" s="51"/>
      <c r="T13" s="51"/>
      <c r="U13" s="34"/>
      <c r="V13" s="48"/>
      <c r="W13" s="52"/>
      <c r="X13" s="48"/>
      <c r="Y13" s="34"/>
      <c r="Z13" s="62"/>
      <c r="AA13" s="47"/>
      <c r="AB13" s="47"/>
      <c r="AC13" s="36"/>
      <c r="AD13" s="48"/>
      <c r="AE13" s="48"/>
      <c r="AF13" s="47"/>
      <c r="AG13" s="36"/>
      <c r="AH13" s="48"/>
      <c r="AI13" s="48"/>
      <c r="AJ13" s="47"/>
      <c r="AK13" s="36"/>
      <c r="AL13" s="49"/>
      <c r="AM13" s="53"/>
      <c r="AN13" s="36"/>
      <c r="AO13" s="52"/>
      <c r="AP13" s="47"/>
    </row>
    <row r="14" spans="1:43" ht="12" customHeight="1" x14ac:dyDescent="0.3">
      <c r="A14" s="7" t="s">
        <v>24</v>
      </c>
      <c r="B14" s="211" t="s">
        <v>25</v>
      </c>
      <c r="C14" s="6" t="s">
        <v>8</v>
      </c>
      <c r="D14" s="34"/>
      <c r="E14" s="33">
        <v>869611.22</v>
      </c>
      <c r="F14" s="131">
        <v>1.566867063063063</v>
      </c>
      <c r="G14" s="7"/>
      <c r="H14" s="35">
        <v>555000</v>
      </c>
      <c r="I14" s="35">
        <v>102777.77777777778</v>
      </c>
      <c r="J14" s="35">
        <v>110430.34000000067</v>
      </c>
      <c r="K14" s="70">
        <v>1.0744573621621687</v>
      </c>
      <c r="L14" s="36"/>
      <c r="M14" s="35">
        <v>56610</v>
      </c>
      <c r="N14" s="35">
        <v>10483.333333333332</v>
      </c>
      <c r="O14" s="37">
        <v>0</v>
      </c>
      <c r="P14" s="35">
        <v>13453.248399999948</v>
      </c>
      <c r="Q14" s="115">
        <v>1.2832987344992002</v>
      </c>
      <c r="R14" s="36"/>
      <c r="S14" s="127">
        <v>0.10199999999999999</v>
      </c>
      <c r="T14" s="127">
        <v>0.12182565407296461</v>
      </c>
      <c r="U14" s="36"/>
      <c r="V14" s="35"/>
      <c r="W14" s="38">
        <v>1.5815385518151699</v>
      </c>
      <c r="X14" s="69" t="s">
        <v>69</v>
      </c>
      <c r="Y14" s="36"/>
      <c r="Z14" s="62"/>
      <c r="AA14" s="33">
        <v>20555.555555555555</v>
      </c>
      <c r="AB14" s="33">
        <v>23770.49000000002</v>
      </c>
      <c r="AC14" s="36"/>
      <c r="AD14" s="35">
        <v>2096.6666666666665</v>
      </c>
      <c r="AE14" s="35">
        <v>3222.6593000000007</v>
      </c>
      <c r="AF14" s="115">
        <v>1.5370394117647064</v>
      </c>
      <c r="AG14" s="36"/>
      <c r="AH14" s="35">
        <v>2690.6496799999895</v>
      </c>
      <c r="AI14" s="35">
        <v>72647.541359999712</v>
      </c>
      <c r="AJ14" s="115">
        <v>1.2832987344992</v>
      </c>
      <c r="AK14" s="36"/>
      <c r="AL14" s="108">
        <v>0.10199999999999999</v>
      </c>
      <c r="AM14" s="108">
        <v>0.13557395325043775</v>
      </c>
      <c r="AN14" s="36"/>
      <c r="AO14" s="38">
        <v>2.7825648524704798</v>
      </c>
      <c r="AP14" s="70">
        <v>0</v>
      </c>
    </row>
    <row r="15" spans="1:43" ht="12.75" customHeight="1" x14ac:dyDescent="0.3">
      <c r="A15" s="7" t="s">
        <v>24</v>
      </c>
      <c r="B15" s="211"/>
      <c r="C15" s="6" t="s">
        <v>9</v>
      </c>
      <c r="D15" s="34"/>
      <c r="E15" s="33">
        <v>1023970.8099999998</v>
      </c>
      <c r="F15" s="131">
        <v>1.1034168211206894</v>
      </c>
      <c r="G15" s="7"/>
      <c r="H15" s="35">
        <v>928000</v>
      </c>
      <c r="I15" s="35">
        <v>179612.90322580645</v>
      </c>
      <c r="J15" s="35">
        <v>228591.91999999751</v>
      </c>
      <c r="K15" s="70">
        <v>1.2726920833333195</v>
      </c>
      <c r="L15" s="36"/>
      <c r="M15" s="35">
        <v>115072</v>
      </c>
      <c r="N15" s="35">
        <v>22272</v>
      </c>
      <c r="O15" s="37">
        <v>0</v>
      </c>
      <c r="P15" s="35">
        <v>28165.799999999923</v>
      </c>
      <c r="Q15" s="115">
        <v>1.2646282327586171</v>
      </c>
      <c r="R15" s="36"/>
      <c r="S15" s="127">
        <v>0.124</v>
      </c>
      <c r="T15" s="127">
        <v>0.12321432883542091</v>
      </c>
      <c r="U15" s="36"/>
      <c r="V15" s="35"/>
      <c r="W15" s="38">
        <v>2.4912997799733918</v>
      </c>
      <c r="X15" s="69" t="s">
        <v>69</v>
      </c>
      <c r="Y15" s="36"/>
      <c r="Z15" s="62"/>
      <c r="AA15" s="33">
        <v>29935.483870967742</v>
      </c>
      <c r="AB15" s="33">
        <v>27599.08000000006</v>
      </c>
      <c r="AC15" s="36"/>
      <c r="AD15" s="35">
        <v>3712</v>
      </c>
      <c r="AE15" s="35">
        <v>3440.9399999999982</v>
      </c>
      <c r="AF15" s="115">
        <v>0.92697737068965469</v>
      </c>
      <c r="AG15" s="36"/>
      <c r="AH15" s="35">
        <v>4694.2999999999874</v>
      </c>
      <c r="AI15" s="35">
        <v>145523.29999999961</v>
      </c>
      <c r="AJ15" s="115">
        <v>1.2646282327586174</v>
      </c>
      <c r="AK15" s="36"/>
      <c r="AL15" s="108">
        <v>0.124</v>
      </c>
      <c r="AM15" s="108">
        <v>0.12467589499360091</v>
      </c>
      <c r="AN15" s="36"/>
      <c r="AO15" s="38">
        <v>2.3354401668463649</v>
      </c>
      <c r="AP15" s="70">
        <v>0</v>
      </c>
    </row>
    <row r="16" spans="1:43" ht="12.75" customHeight="1" x14ac:dyDescent="0.3">
      <c r="A16" s="7" t="s">
        <v>24</v>
      </c>
      <c r="B16" s="211"/>
      <c r="C16" s="6" t="s">
        <v>10</v>
      </c>
      <c r="D16" s="34"/>
      <c r="E16" s="33">
        <v>1725208.6500000015</v>
      </c>
      <c r="F16" s="131">
        <v>1.2779323333333346</v>
      </c>
      <c r="G16" s="7"/>
      <c r="H16" s="35">
        <v>1350000</v>
      </c>
      <c r="I16" s="35">
        <v>261290.32258064518</v>
      </c>
      <c r="J16" s="35">
        <v>317497.20999999129</v>
      </c>
      <c r="K16" s="70">
        <v>1.2151127790123122</v>
      </c>
      <c r="L16" s="36"/>
      <c r="M16" s="35">
        <v>187563.6640123713</v>
      </c>
      <c r="N16" s="35">
        <v>36302.644647555739</v>
      </c>
      <c r="O16" s="37">
        <v>1112</v>
      </c>
      <c r="P16" s="35">
        <v>40063.564290000031</v>
      </c>
      <c r="Q16" s="115">
        <v>1.1035990539795981</v>
      </c>
      <c r="R16" s="36"/>
      <c r="S16" s="127">
        <v>0.13893604741657134</v>
      </c>
      <c r="T16" s="127">
        <v>0.12618556329991412</v>
      </c>
      <c r="U16" s="36"/>
      <c r="V16" s="35"/>
      <c r="W16" s="38">
        <v>2.4186084312341847</v>
      </c>
      <c r="X16" s="69" t="s">
        <v>69</v>
      </c>
      <c r="Y16" s="36"/>
      <c r="Z16" s="62"/>
      <c r="AA16" s="33">
        <v>43548.387096774197</v>
      </c>
      <c r="AB16" s="33">
        <v>50766.310000000085</v>
      </c>
      <c r="AC16" s="36"/>
      <c r="AD16" s="35">
        <v>6050.4407745926228</v>
      </c>
      <c r="AE16" s="35">
        <v>7649.7649999999931</v>
      </c>
      <c r="AF16" s="115">
        <v>1.2643318536598771</v>
      </c>
      <c r="AG16" s="36"/>
      <c r="AH16" s="35">
        <v>6677.2607150000049</v>
      </c>
      <c r="AI16" s="35">
        <v>206995.08216500015</v>
      </c>
      <c r="AJ16" s="115">
        <v>1.1035990539795981</v>
      </c>
      <c r="AK16" s="36"/>
      <c r="AL16" s="108">
        <v>0.13893604741657134</v>
      </c>
      <c r="AM16" s="108">
        <v>0.15068585839703497</v>
      </c>
      <c r="AN16" s="36"/>
      <c r="AO16" s="38">
        <v>4.7257817241397353</v>
      </c>
      <c r="AP16" s="70">
        <v>0</v>
      </c>
    </row>
    <row r="17" spans="1:43" ht="12.75" customHeight="1" x14ac:dyDescent="0.3">
      <c r="A17" s="7" t="s">
        <v>24</v>
      </c>
      <c r="B17" s="211"/>
      <c r="C17" s="6" t="s">
        <v>12</v>
      </c>
      <c r="D17" s="34"/>
      <c r="E17" s="33">
        <v>52543.799999999988</v>
      </c>
      <c r="F17" s="131">
        <v>1.2510428571428569</v>
      </c>
      <c r="G17" s="7"/>
      <c r="H17" s="35">
        <v>42000</v>
      </c>
      <c r="I17" s="35">
        <v>7777.7777777777783</v>
      </c>
      <c r="J17" s="35">
        <v>7449.1299999999728</v>
      </c>
      <c r="K17" s="70">
        <v>0.95774528571428219</v>
      </c>
      <c r="L17" s="36"/>
      <c r="M17" s="35">
        <v>5995.3598738795354</v>
      </c>
      <c r="N17" s="35">
        <v>1110.2518284962102</v>
      </c>
      <c r="O17" s="37">
        <v>0</v>
      </c>
      <c r="P17" s="35">
        <v>1242.51</v>
      </c>
      <c r="Q17" s="115">
        <v>1.119124479788453</v>
      </c>
      <c r="R17" s="36"/>
      <c r="S17" s="127">
        <v>0.14274666366379846</v>
      </c>
      <c r="T17" s="127">
        <v>0.16679934435296531</v>
      </c>
      <c r="U17" s="36"/>
      <c r="V17" s="35"/>
      <c r="W17" s="38">
        <v>5.8495421612990253</v>
      </c>
      <c r="X17" s="69" t="s">
        <v>69</v>
      </c>
      <c r="Y17" s="36"/>
      <c r="Z17" s="62"/>
      <c r="AA17" s="33">
        <v>1555.5555555555557</v>
      </c>
      <c r="AB17" s="33">
        <v>2165.6299999999992</v>
      </c>
      <c r="AC17" s="36"/>
      <c r="AD17" s="35">
        <v>222.05036569924206</v>
      </c>
      <c r="AE17" s="35">
        <v>459.88000000000017</v>
      </c>
      <c r="AF17" s="115">
        <v>2.0710616645544659</v>
      </c>
      <c r="AG17" s="36"/>
      <c r="AH17" s="35">
        <v>248.50200000000001</v>
      </c>
      <c r="AI17" s="35">
        <v>6709.5540000000001</v>
      </c>
      <c r="AJ17" s="115">
        <v>1.119124479788453</v>
      </c>
      <c r="AK17" s="36"/>
      <c r="AL17" s="108">
        <v>0.14274666366379846</v>
      </c>
      <c r="AM17" s="108">
        <v>0.21235391087120162</v>
      </c>
      <c r="AN17" s="36"/>
      <c r="AO17" s="38">
        <v>8.9068769826793712</v>
      </c>
      <c r="AP17" s="70">
        <v>0</v>
      </c>
    </row>
    <row r="18" spans="1:43" s="15" customFormat="1" ht="14.25" customHeight="1" x14ac:dyDescent="0.3">
      <c r="A18" s="26"/>
      <c r="B18" s="211"/>
      <c r="C18" s="9" t="s">
        <v>26</v>
      </c>
      <c r="D18" s="28"/>
      <c r="E18" s="27">
        <v>3671334.4800000014</v>
      </c>
      <c r="F18" s="124">
        <v>1.2769859060869571</v>
      </c>
      <c r="G18" s="26"/>
      <c r="H18" s="29">
        <v>2875000</v>
      </c>
      <c r="I18" s="29">
        <v>551458.78136200714</v>
      </c>
      <c r="J18" s="29">
        <v>663968.5999999895</v>
      </c>
      <c r="K18" s="31">
        <v>1.2040221725368172</v>
      </c>
      <c r="L18" s="39"/>
      <c r="M18" s="29">
        <v>365241.02388625086</v>
      </c>
      <c r="N18" s="29">
        <v>70168.229809385288</v>
      </c>
      <c r="O18" s="27">
        <v>1112</v>
      </c>
      <c r="P18" s="29">
        <v>82925.122689999887</v>
      </c>
      <c r="Q18" s="31">
        <v>1.181804399445008</v>
      </c>
      <c r="R18" s="39"/>
      <c r="S18" s="128">
        <v>0.12704035613434814</v>
      </c>
      <c r="T18" s="128">
        <v>0.12489313905808377</v>
      </c>
      <c r="U18" s="39"/>
      <c r="V18" s="29"/>
      <c r="W18" s="32">
        <v>2.3429063799087455</v>
      </c>
      <c r="X18" s="30" t="s">
        <v>69</v>
      </c>
      <c r="Y18" s="39"/>
      <c r="Z18" s="62"/>
      <c r="AA18" s="27">
        <v>95594.982078853063</v>
      </c>
      <c r="AB18" s="27">
        <v>104301.51000000017</v>
      </c>
      <c r="AC18" s="39"/>
      <c r="AD18" s="29">
        <v>12081.157806958532</v>
      </c>
      <c r="AE18" s="29">
        <v>14773.244299999993</v>
      </c>
      <c r="AF18" s="31">
        <v>1.2228334846756879</v>
      </c>
      <c r="AG18" s="39"/>
      <c r="AH18" s="29">
        <v>14310.712394999982</v>
      </c>
      <c r="AI18" s="29">
        <v>431875.47752499947</v>
      </c>
      <c r="AJ18" s="31">
        <v>1.1824396748474262</v>
      </c>
      <c r="AK18" s="39"/>
      <c r="AL18" s="80">
        <v>0.12704035613434814</v>
      </c>
      <c r="AM18" s="80">
        <v>0.14163979313434646</v>
      </c>
      <c r="AN18" s="39"/>
      <c r="AO18" s="32">
        <v>0</v>
      </c>
      <c r="AP18" s="31">
        <v>0</v>
      </c>
      <c r="AQ18" s="10"/>
    </row>
    <row r="19" spans="1:43" ht="8" customHeight="1" x14ac:dyDescent="0.3">
      <c r="B19" s="16"/>
      <c r="D19" s="34"/>
      <c r="E19" s="47"/>
      <c r="F19" s="125"/>
      <c r="G19" s="34"/>
      <c r="H19" s="48"/>
      <c r="I19" s="48"/>
      <c r="J19" s="48"/>
      <c r="K19" s="51"/>
      <c r="L19" s="34"/>
      <c r="M19" s="48"/>
      <c r="N19" s="48"/>
      <c r="O19" s="51"/>
      <c r="P19" s="48"/>
      <c r="Q19" s="47"/>
      <c r="R19" s="34"/>
      <c r="S19" s="51"/>
      <c r="T19" s="51"/>
      <c r="U19" s="34"/>
      <c r="V19" s="48"/>
      <c r="W19" s="52"/>
      <c r="X19" s="48"/>
      <c r="Y19" s="34"/>
      <c r="Z19" s="62"/>
      <c r="AA19" s="47"/>
      <c r="AB19" s="47"/>
      <c r="AC19" s="36"/>
      <c r="AD19" s="48"/>
      <c r="AE19" s="48"/>
      <c r="AF19" s="47"/>
      <c r="AG19" s="36"/>
      <c r="AH19" s="48"/>
      <c r="AI19" s="48"/>
      <c r="AJ19" s="47"/>
      <c r="AK19" s="36"/>
      <c r="AL19" s="49"/>
      <c r="AM19" s="53"/>
      <c r="AN19" s="36"/>
      <c r="AO19" s="52"/>
      <c r="AP19" s="47"/>
    </row>
    <row r="20" spans="1:43" ht="12" customHeight="1" x14ac:dyDescent="0.3">
      <c r="A20" s="7" t="s">
        <v>14</v>
      </c>
      <c r="B20" s="211" t="s">
        <v>33</v>
      </c>
      <c r="C20" s="6" t="s">
        <v>8</v>
      </c>
      <c r="D20" s="34"/>
      <c r="E20" s="33">
        <v>84441.75</v>
      </c>
      <c r="F20" s="123">
        <v>0.44443026315789474</v>
      </c>
      <c r="G20" s="7"/>
      <c r="H20" s="35">
        <v>190000</v>
      </c>
      <c r="I20" s="35">
        <v>35185.18518518519</v>
      </c>
      <c r="J20" s="35">
        <v>37233.650000000052</v>
      </c>
      <c r="K20" s="70">
        <v>1.0582195263157907</v>
      </c>
      <c r="L20" s="36"/>
      <c r="M20" s="35">
        <v>29450</v>
      </c>
      <c r="N20" s="35">
        <v>5453.7037037037035</v>
      </c>
      <c r="O20" s="37">
        <v>0</v>
      </c>
      <c r="P20" s="35">
        <v>5425.9632500000025</v>
      </c>
      <c r="Q20" s="115">
        <v>0.9949134651952467</v>
      </c>
      <c r="R20" s="36"/>
      <c r="S20" s="127">
        <v>0.155</v>
      </c>
      <c r="T20" s="127">
        <v>0.14572740652608582</v>
      </c>
      <c r="U20" s="36"/>
      <c r="V20" s="35"/>
      <c r="W20" s="38">
        <v>-1.6331644896483823</v>
      </c>
      <c r="X20" s="69" t="s">
        <v>69</v>
      </c>
      <c r="Y20" s="36"/>
      <c r="Z20" s="62"/>
      <c r="AA20" s="33">
        <v>7037.0370370370374</v>
      </c>
      <c r="AB20" s="33">
        <v>5527.5899999999965</v>
      </c>
      <c r="AC20" s="36"/>
      <c r="AD20" s="35">
        <v>1090.7407407407406</v>
      </c>
      <c r="AE20" s="35">
        <v>792.57724000000019</v>
      </c>
      <c r="AF20" s="115">
        <v>0.72664127266553502</v>
      </c>
      <c r="AG20" s="36"/>
      <c r="AH20" s="35">
        <v>1085.1926500000004</v>
      </c>
      <c r="AI20" s="35">
        <v>29300.201550000013</v>
      </c>
      <c r="AJ20" s="115">
        <v>0.99491346519524659</v>
      </c>
      <c r="AK20" s="36"/>
      <c r="AL20" s="108">
        <v>0.155</v>
      </c>
      <c r="AM20" s="108">
        <v>0.14338567802604765</v>
      </c>
      <c r="AN20" s="36"/>
      <c r="AO20" s="38">
        <v>-2.1040410015938988</v>
      </c>
      <c r="AP20" s="70">
        <v>0</v>
      </c>
    </row>
    <row r="21" spans="1:43" ht="12.75" customHeight="1" x14ac:dyDescent="0.3">
      <c r="A21" s="7" t="s">
        <v>14</v>
      </c>
      <c r="B21" s="211"/>
      <c r="C21" s="6" t="s">
        <v>9</v>
      </c>
      <c r="D21" s="34"/>
      <c r="E21" s="33">
        <v>79670.620000000054</v>
      </c>
      <c r="F21" s="123">
        <v>0.46320127906976777</v>
      </c>
      <c r="G21" s="7"/>
      <c r="H21" s="35">
        <v>172000</v>
      </c>
      <c r="I21" s="35">
        <v>33290.322580645159</v>
      </c>
      <c r="J21" s="35">
        <v>35023.520000000331</v>
      </c>
      <c r="K21" s="70">
        <v>1.0520631007752039</v>
      </c>
      <c r="L21" s="36"/>
      <c r="M21" s="35">
        <v>34400</v>
      </c>
      <c r="N21" s="35">
        <v>6658.0645161290322</v>
      </c>
      <c r="O21" s="37">
        <v>0</v>
      </c>
      <c r="P21" s="35">
        <v>6933.6300000000037</v>
      </c>
      <c r="Q21" s="115">
        <v>1.0413882267441865</v>
      </c>
      <c r="R21" s="36"/>
      <c r="S21" s="127">
        <v>0.2</v>
      </c>
      <c r="T21" s="127">
        <v>0.19797067799010318</v>
      </c>
      <c r="U21" s="36"/>
      <c r="V21" s="35"/>
      <c r="W21" s="38">
        <v>3.9565697565531166</v>
      </c>
      <c r="X21" s="69" t="s">
        <v>69</v>
      </c>
      <c r="Y21" s="36"/>
      <c r="Z21" s="62"/>
      <c r="AA21" s="33">
        <v>5548.3870967741932</v>
      </c>
      <c r="AB21" s="33">
        <v>3830.0499999999965</v>
      </c>
      <c r="AC21" s="36"/>
      <c r="AD21" s="35">
        <v>1109.6774193548388</v>
      </c>
      <c r="AE21" s="35">
        <v>792.97</v>
      </c>
      <c r="AF21" s="115">
        <v>0.71459505813953483</v>
      </c>
      <c r="AG21" s="36"/>
      <c r="AH21" s="35">
        <v>1155.6050000000007</v>
      </c>
      <c r="AI21" s="35">
        <v>35823.755000000019</v>
      </c>
      <c r="AJ21" s="115">
        <v>1.0413882267441865</v>
      </c>
      <c r="AK21" s="36"/>
      <c r="AL21" s="108">
        <v>0.2</v>
      </c>
      <c r="AM21" s="108">
        <v>0.20703907259696369</v>
      </c>
      <c r="AN21" s="36"/>
      <c r="AO21" s="38">
        <v>4.2163940418531185</v>
      </c>
      <c r="AP21" s="70">
        <v>0</v>
      </c>
    </row>
    <row r="22" spans="1:43" ht="12.75" customHeight="1" x14ac:dyDescent="0.3">
      <c r="A22" s="7" t="s">
        <v>14</v>
      </c>
      <c r="B22" s="211"/>
      <c r="C22" s="6" t="s">
        <v>10</v>
      </c>
      <c r="D22" s="34"/>
      <c r="E22" s="33">
        <v>143552.08999999988</v>
      </c>
      <c r="F22" s="123">
        <v>0.51268603571428528</v>
      </c>
      <c r="G22" s="7"/>
      <c r="H22" s="35">
        <v>280000</v>
      </c>
      <c r="I22" s="35">
        <v>54193.548387096773</v>
      </c>
      <c r="J22" s="35">
        <v>57221.580000000293</v>
      </c>
      <c r="K22" s="70">
        <v>1.0558743928571483</v>
      </c>
      <c r="L22" s="36"/>
      <c r="M22" s="35">
        <v>63000</v>
      </c>
      <c r="N22" s="35">
        <v>12193.548387096775</v>
      </c>
      <c r="O22" s="37">
        <v>0</v>
      </c>
      <c r="P22" s="35">
        <v>15013.982440000007</v>
      </c>
      <c r="Q22" s="115">
        <v>1.2313054382010586</v>
      </c>
      <c r="R22" s="36"/>
      <c r="S22" s="127">
        <v>0.22500000000000001</v>
      </c>
      <c r="T22" s="127">
        <v>0.26238322045633711</v>
      </c>
      <c r="U22" s="36"/>
      <c r="V22" s="35"/>
      <c r="W22" s="38">
        <v>10.262426238493118</v>
      </c>
      <c r="X22" s="69" t="s">
        <v>69</v>
      </c>
      <c r="Y22" s="36"/>
      <c r="Z22" s="62"/>
      <c r="AA22" s="33">
        <v>9032.2580645161288</v>
      </c>
      <c r="AB22" s="33">
        <v>11477.869999999983</v>
      </c>
      <c r="AC22" s="36"/>
      <c r="AD22" s="35">
        <v>2032.258064516129</v>
      </c>
      <c r="AE22" s="35">
        <v>2796.2358800000002</v>
      </c>
      <c r="AF22" s="115">
        <v>1.3759255917460318</v>
      </c>
      <c r="AG22" s="36"/>
      <c r="AH22" s="35">
        <v>2502.3304066666678</v>
      </c>
      <c r="AI22" s="35">
        <v>77572.242606666696</v>
      </c>
      <c r="AJ22" s="115">
        <v>1.2313054382010586</v>
      </c>
      <c r="AK22" s="36"/>
      <c r="AL22" s="108">
        <v>0.22500000000000001</v>
      </c>
      <c r="AM22" s="108">
        <v>0.24361975523333201</v>
      </c>
      <c r="AN22" s="36"/>
      <c r="AO22" s="38">
        <v>8.0998118988974159</v>
      </c>
      <c r="AP22" s="70">
        <v>0</v>
      </c>
    </row>
    <row r="23" spans="1:43" ht="12.75" customHeight="1" x14ac:dyDescent="0.3">
      <c r="A23" s="7" t="s">
        <v>14</v>
      </c>
      <c r="B23" s="211"/>
      <c r="C23" s="6" t="s">
        <v>12</v>
      </c>
      <c r="D23" s="34"/>
      <c r="E23" s="33">
        <v>-79066.539999999994</v>
      </c>
      <c r="F23" s="123">
        <v>-7.9066539999999991E-2</v>
      </c>
      <c r="G23" s="7"/>
      <c r="H23" s="35">
        <v>1000000</v>
      </c>
      <c r="I23" s="35">
        <v>185185.18518518517</v>
      </c>
      <c r="J23" s="35">
        <v>113305.22000000006</v>
      </c>
      <c r="K23" s="70">
        <v>0.6118481880000004</v>
      </c>
      <c r="L23" s="36"/>
      <c r="M23" s="35">
        <v>256542.94550894212</v>
      </c>
      <c r="N23" s="35">
        <v>47507.952872026319</v>
      </c>
      <c r="O23" s="37">
        <v>0</v>
      </c>
      <c r="P23" s="35">
        <v>12275.180000000002</v>
      </c>
      <c r="Q23" s="115">
        <v>0.25838158156521801</v>
      </c>
      <c r="R23" s="36"/>
      <c r="S23" s="127">
        <v>0.25654294550894213</v>
      </c>
      <c r="T23" s="127">
        <v>0.10833728578436189</v>
      </c>
      <c r="U23" s="36"/>
      <c r="V23" s="35"/>
      <c r="W23" s="38">
        <v>-6.7573497496407757</v>
      </c>
      <c r="X23" s="69" t="s">
        <v>69</v>
      </c>
      <c r="Y23" s="36"/>
      <c r="Z23" s="62"/>
      <c r="AA23" s="33">
        <v>37037.037037037036</v>
      </c>
      <c r="AB23" s="33">
        <v>16103.499999999998</v>
      </c>
      <c r="AC23" s="36"/>
      <c r="AD23" s="35">
        <v>9501.5905744052634</v>
      </c>
      <c r="AE23" s="35">
        <v>2278.37</v>
      </c>
      <c r="AF23" s="115">
        <v>0.23978827356940821</v>
      </c>
      <c r="AG23" s="36"/>
      <c r="AH23" s="35">
        <v>2455.0360000000005</v>
      </c>
      <c r="AI23" s="35">
        <v>66285.972000000009</v>
      </c>
      <c r="AJ23" s="115">
        <v>0.25838158156521801</v>
      </c>
      <c r="AK23" s="36"/>
      <c r="AL23" s="108">
        <v>0.25654294550894213</v>
      </c>
      <c r="AM23" s="108">
        <v>0.14148290744248146</v>
      </c>
      <c r="AN23" s="36"/>
      <c r="AO23" s="38">
        <v>-2.9008600614773266</v>
      </c>
      <c r="AP23" s="70">
        <v>0</v>
      </c>
    </row>
    <row r="24" spans="1:43" s="15" customFormat="1" ht="14.25" customHeight="1" x14ac:dyDescent="0.3">
      <c r="A24" s="26"/>
      <c r="B24" s="211"/>
      <c r="C24" s="9" t="s">
        <v>34</v>
      </c>
      <c r="D24" s="28"/>
      <c r="E24" s="27">
        <v>228597.91999999998</v>
      </c>
      <c r="F24" s="124">
        <v>0.13921919610231423</v>
      </c>
      <c r="G24" s="26"/>
      <c r="H24" s="29">
        <v>1642000</v>
      </c>
      <c r="I24" s="29">
        <v>307854.24133811228</v>
      </c>
      <c r="J24" s="29">
        <v>242783.97000000073</v>
      </c>
      <c r="K24" s="31">
        <v>0.78863285737016786</v>
      </c>
      <c r="L24" s="39"/>
      <c r="M24" s="29">
        <v>383392.94550894212</v>
      </c>
      <c r="N24" s="29">
        <v>71813.26947895583</v>
      </c>
      <c r="O24" s="27">
        <v>0</v>
      </c>
      <c r="P24" s="29">
        <v>39648.755690000013</v>
      </c>
      <c r="Q24" s="31">
        <v>0.55210904583057163</v>
      </c>
      <c r="R24" s="39"/>
      <c r="S24" s="128">
        <v>0.23349144062663954</v>
      </c>
      <c r="T24" s="128">
        <v>0.16330878719052125</v>
      </c>
      <c r="U24" s="39"/>
      <c r="V24" s="29"/>
      <c r="W24" s="32">
        <v>-0.41455138492017873</v>
      </c>
      <c r="X24" s="30" t="s">
        <v>69</v>
      </c>
      <c r="Y24" s="39"/>
      <c r="Z24" s="62"/>
      <c r="AA24" s="27">
        <v>58654.719235364391</v>
      </c>
      <c r="AB24" s="27">
        <v>36939.009999999973</v>
      </c>
      <c r="AC24" s="39"/>
      <c r="AD24" s="29">
        <v>13734.266799016972</v>
      </c>
      <c r="AE24" s="29">
        <v>6660.1531199999999</v>
      </c>
      <c r="AF24" s="31">
        <v>0.48492964476827399</v>
      </c>
      <c r="AG24" s="39"/>
      <c r="AH24" s="29">
        <v>7198.1640566666701</v>
      </c>
      <c r="AI24" s="29">
        <v>208982.17115666674</v>
      </c>
      <c r="AJ24" s="31">
        <v>0.54508611492381387</v>
      </c>
      <c r="AK24" s="39"/>
      <c r="AL24" s="80">
        <v>0.23349144062663954</v>
      </c>
      <c r="AM24" s="80">
        <v>0.18030134321412525</v>
      </c>
      <c r="AN24" s="39"/>
      <c r="AO24" s="32">
        <v>0</v>
      </c>
      <c r="AP24" s="31">
        <v>0</v>
      </c>
      <c r="AQ24" s="10"/>
    </row>
    <row r="25" spans="1:43" ht="8" customHeight="1" x14ac:dyDescent="0.3">
      <c r="B25" s="16"/>
      <c r="D25" s="34"/>
      <c r="E25" s="47"/>
      <c r="F25" s="125"/>
      <c r="G25" s="34"/>
      <c r="H25" s="48"/>
      <c r="I25" s="48"/>
      <c r="J25" s="48"/>
      <c r="K25" s="51"/>
      <c r="L25" s="34"/>
      <c r="M25" s="48"/>
      <c r="N25" s="48"/>
      <c r="O25" s="51"/>
      <c r="P25" s="48"/>
      <c r="Q25" s="47"/>
      <c r="R25" s="34"/>
      <c r="S25" s="51"/>
      <c r="T25" s="51"/>
      <c r="U25" s="34"/>
      <c r="V25" s="48"/>
      <c r="W25" s="52"/>
      <c r="X25" s="48"/>
      <c r="Y25" s="34"/>
      <c r="Z25" s="62"/>
      <c r="AA25" s="47"/>
      <c r="AB25" s="47"/>
      <c r="AC25" s="36"/>
      <c r="AD25" s="48"/>
      <c r="AE25" s="48"/>
      <c r="AF25" s="47"/>
      <c r="AG25" s="36"/>
      <c r="AH25" s="48"/>
      <c r="AI25" s="48"/>
      <c r="AJ25" s="47"/>
      <c r="AK25" s="36"/>
      <c r="AL25" s="49"/>
      <c r="AM25" s="53"/>
      <c r="AN25" s="36"/>
      <c r="AO25" s="52"/>
      <c r="AP25" s="47"/>
    </row>
    <row r="26" spans="1:43" ht="12.75" customHeight="1" x14ac:dyDescent="0.3">
      <c r="A26" s="7" t="s">
        <v>18</v>
      </c>
      <c r="B26" s="211" t="s">
        <v>53</v>
      </c>
      <c r="C26" s="6" t="s">
        <v>8</v>
      </c>
      <c r="D26" s="34"/>
      <c r="E26" s="33">
        <v>190984.21000000002</v>
      </c>
      <c r="F26" s="123">
        <v>0.57010211940298516</v>
      </c>
      <c r="G26" s="7"/>
      <c r="H26" s="35">
        <v>335000</v>
      </c>
      <c r="I26" s="35">
        <v>62037.037037037036</v>
      </c>
      <c r="J26" s="35">
        <v>79495.440000000017</v>
      </c>
      <c r="K26" s="70">
        <v>1.2814190328358213</v>
      </c>
      <c r="L26" s="36"/>
      <c r="M26" s="35">
        <v>46562.650762728728</v>
      </c>
      <c r="N26" s="35">
        <v>8622.7131042090241</v>
      </c>
      <c r="O26" s="37">
        <v>0</v>
      </c>
      <c r="P26" s="35">
        <v>6796.8766500000138</v>
      </c>
      <c r="Q26" s="115">
        <v>0.78825267266311339</v>
      </c>
      <c r="R26" s="36"/>
      <c r="S26" s="127">
        <v>0.13899298735142904</v>
      </c>
      <c r="T26" s="127">
        <v>8.550020793645538E-2</v>
      </c>
      <c r="U26" s="36"/>
      <c r="V26" s="35"/>
      <c r="W26" s="38">
        <v>-5.5076786165343412</v>
      </c>
      <c r="X26" s="69" t="s">
        <v>69</v>
      </c>
      <c r="Y26" s="36"/>
      <c r="Z26" s="62"/>
      <c r="AA26" s="33">
        <v>12407.407407407407</v>
      </c>
      <c r="AB26" s="33">
        <v>24036.240000000013</v>
      </c>
      <c r="AC26" s="36"/>
      <c r="AD26" s="35">
        <v>1724.5426208418048</v>
      </c>
      <c r="AE26" s="35">
        <v>1736.1687999999986</v>
      </c>
      <c r="AF26" s="115">
        <v>1.0067416015224482</v>
      </c>
      <c r="AG26" s="36"/>
      <c r="AH26" s="35">
        <v>1359.3753300000028</v>
      </c>
      <c r="AI26" s="35">
        <v>36703.133910000077</v>
      </c>
      <c r="AJ26" s="115">
        <v>0.78825267266311339</v>
      </c>
      <c r="AK26" s="36"/>
      <c r="AL26" s="108">
        <v>0.13899298735142904</v>
      </c>
      <c r="AM26" s="108">
        <v>7.2231297407581121E-2</v>
      </c>
      <c r="AN26" s="36"/>
      <c r="AO26" s="38">
        <v>-7.898203712394217</v>
      </c>
      <c r="AP26" s="70">
        <v>0</v>
      </c>
    </row>
    <row r="27" spans="1:43" ht="12.75" customHeight="1" x14ac:dyDescent="0.3">
      <c r="A27" s="7" t="s">
        <v>18</v>
      </c>
      <c r="B27" s="211"/>
      <c r="C27" s="6" t="s">
        <v>9</v>
      </c>
      <c r="D27" s="34"/>
      <c r="E27" s="33">
        <v>183193.18999999994</v>
      </c>
      <c r="F27" s="123">
        <v>0.61064396666666643</v>
      </c>
      <c r="G27" s="7"/>
      <c r="H27" s="35">
        <v>300000</v>
      </c>
      <c r="I27" s="35">
        <v>58064.516129032258</v>
      </c>
      <c r="J27" s="35">
        <v>59691.94000000025</v>
      </c>
      <c r="K27" s="70">
        <v>1.0280278555555598</v>
      </c>
      <c r="L27" s="36"/>
      <c r="M27" s="35">
        <v>50700</v>
      </c>
      <c r="N27" s="35">
        <v>9812.9032258064508</v>
      </c>
      <c r="O27" s="37">
        <v>0</v>
      </c>
      <c r="P27" s="35">
        <v>9606.5599999999977</v>
      </c>
      <c r="Q27" s="115">
        <v>0.97897225509533181</v>
      </c>
      <c r="R27" s="36"/>
      <c r="S27" s="127">
        <v>0.16900000000000001</v>
      </c>
      <c r="T27" s="127">
        <v>0.16093563050555834</v>
      </c>
      <c r="U27" s="36"/>
      <c r="V27" s="35"/>
      <c r="W27" s="38">
        <v>2.7545594932921516</v>
      </c>
      <c r="X27" s="69" t="s">
        <v>69</v>
      </c>
      <c r="Y27" s="36"/>
      <c r="Z27" s="62"/>
      <c r="AA27" s="33">
        <v>9677.4193548387102</v>
      </c>
      <c r="AB27" s="33">
        <v>7618.1499999999633</v>
      </c>
      <c r="AC27" s="36"/>
      <c r="AD27" s="35">
        <v>1635.483870967742</v>
      </c>
      <c r="AE27" s="35">
        <v>1281.4300000000003</v>
      </c>
      <c r="AF27" s="115">
        <v>0.78351735700197256</v>
      </c>
      <c r="AG27" s="36"/>
      <c r="AH27" s="35">
        <v>1601.093333333333</v>
      </c>
      <c r="AI27" s="35">
        <v>49633.893333333326</v>
      </c>
      <c r="AJ27" s="115">
        <v>0.97897225509533192</v>
      </c>
      <c r="AK27" s="36"/>
      <c r="AL27" s="108">
        <v>0.16900000000000001</v>
      </c>
      <c r="AM27" s="108">
        <v>0.16820750444661847</v>
      </c>
      <c r="AN27" s="36"/>
      <c r="AO27" s="38">
        <v>3.4262911599267398</v>
      </c>
      <c r="AP27" s="70">
        <v>0</v>
      </c>
    </row>
    <row r="28" spans="1:43" ht="12.75" customHeight="1" x14ac:dyDescent="0.3">
      <c r="A28" s="7" t="s">
        <v>18</v>
      </c>
      <c r="B28" s="211"/>
      <c r="C28" s="6" t="s">
        <v>10</v>
      </c>
      <c r="D28" s="34"/>
      <c r="E28" s="33">
        <v>414676.58000000025</v>
      </c>
      <c r="F28" s="123">
        <v>0.96436413953488431</v>
      </c>
      <c r="G28" s="7"/>
      <c r="H28" s="35">
        <v>430000</v>
      </c>
      <c r="I28" s="35">
        <v>83225.806451612894</v>
      </c>
      <c r="J28" s="35">
        <v>85683.760000000228</v>
      </c>
      <c r="K28" s="70">
        <v>1.0295335503875997</v>
      </c>
      <c r="L28" s="36"/>
      <c r="M28" s="35">
        <v>81270</v>
      </c>
      <c r="N28" s="35">
        <v>15729.677419354837</v>
      </c>
      <c r="O28" s="37">
        <v>0</v>
      </c>
      <c r="P28" s="35">
        <v>14515.817399999902</v>
      </c>
      <c r="Q28" s="115">
        <v>0.92282994832040732</v>
      </c>
      <c r="R28" s="36"/>
      <c r="S28" s="127">
        <v>0.189</v>
      </c>
      <c r="T28" s="127">
        <v>0.16941153609505305</v>
      </c>
      <c r="U28" s="36"/>
      <c r="V28" s="35"/>
      <c r="W28" s="38">
        <v>3.3423689623332149</v>
      </c>
      <c r="X28" s="69" t="s">
        <v>69</v>
      </c>
      <c r="Y28" s="36"/>
      <c r="Z28" s="62"/>
      <c r="AA28" s="33">
        <v>13870.967741935483</v>
      </c>
      <c r="AB28" s="33">
        <v>17617.379999999972</v>
      </c>
      <c r="AC28" s="36"/>
      <c r="AD28" s="35">
        <v>2621.6129032258063</v>
      </c>
      <c r="AE28" s="35">
        <v>2284.1355999999987</v>
      </c>
      <c r="AF28" s="115">
        <v>0.87127111603297602</v>
      </c>
      <c r="AG28" s="36"/>
      <c r="AH28" s="35">
        <v>2419.3028999999838</v>
      </c>
      <c r="AI28" s="35">
        <v>74998.3898999995</v>
      </c>
      <c r="AJ28" s="115">
        <v>0.92282994832040732</v>
      </c>
      <c r="AK28" s="36"/>
      <c r="AL28" s="108">
        <v>0.189</v>
      </c>
      <c r="AM28" s="108">
        <v>0.12965240007310977</v>
      </c>
      <c r="AN28" s="36"/>
      <c r="AO28" s="38">
        <v>-1.0292359022739723</v>
      </c>
      <c r="AP28" s="70">
        <v>0</v>
      </c>
    </row>
    <row r="29" spans="1:43" ht="12.75" customHeight="1" x14ac:dyDescent="0.3">
      <c r="A29" s="7" t="s">
        <v>18</v>
      </c>
      <c r="B29" s="211"/>
      <c r="C29" s="6" t="s">
        <v>12</v>
      </c>
      <c r="D29" s="34"/>
      <c r="E29" s="33">
        <v>24488.97</v>
      </c>
      <c r="F29" s="123">
        <v>4.45254E-2</v>
      </c>
      <c r="G29" s="7"/>
      <c r="H29" s="35">
        <v>550000</v>
      </c>
      <c r="I29" s="35">
        <v>101851.85185185184</v>
      </c>
      <c r="J29" s="35">
        <v>92199.140000000029</v>
      </c>
      <c r="K29" s="70">
        <v>0.90522792000000041</v>
      </c>
      <c r="L29" s="36"/>
      <c r="M29" s="35">
        <v>121000</v>
      </c>
      <c r="N29" s="35">
        <v>22407.407407407409</v>
      </c>
      <c r="O29" s="37">
        <v>0</v>
      </c>
      <c r="P29" s="35">
        <v>5122</v>
      </c>
      <c r="Q29" s="115">
        <v>0.22858512396694214</v>
      </c>
      <c r="R29" s="36"/>
      <c r="S29" s="127">
        <v>0.22</v>
      </c>
      <c r="T29" s="127">
        <v>5.5553663515733424E-2</v>
      </c>
      <c r="U29" s="36"/>
      <c r="V29" s="35"/>
      <c r="W29" s="38">
        <v>-8.6852003174866184</v>
      </c>
      <c r="X29" s="69" t="s">
        <v>69</v>
      </c>
      <c r="Y29" s="36"/>
      <c r="Z29" s="62"/>
      <c r="AA29" s="33">
        <v>20370.370370370369</v>
      </c>
      <c r="AB29" s="33">
        <v>16319.849999999999</v>
      </c>
      <c r="AC29" s="36"/>
      <c r="AD29" s="35">
        <v>4481.4814814814818</v>
      </c>
      <c r="AE29" s="35">
        <v>2483.8599999999992</v>
      </c>
      <c r="AF29" s="115">
        <v>0.55424975206611549</v>
      </c>
      <c r="AG29" s="36"/>
      <c r="AH29" s="35">
        <v>1024.4000000000001</v>
      </c>
      <c r="AI29" s="35">
        <v>27658.800000000003</v>
      </c>
      <c r="AJ29" s="115">
        <v>0.22858512396694217</v>
      </c>
      <c r="AK29" s="36"/>
      <c r="AL29" s="108">
        <v>0.22</v>
      </c>
      <c r="AM29" s="108">
        <v>0.15219870280670469</v>
      </c>
      <c r="AN29" s="36"/>
      <c r="AO29" s="38">
        <v>3.1139992095515523</v>
      </c>
      <c r="AP29" s="70">
        <v>0</v>
      </c>
    </row>
    <row r="30" spans="1:43" s="15" customFormat="1" ht="14.25" customHeight="1" x14ac:dyDescent="0.3">
      <c r="A30" s="26"/>
      <c r="B30" s="211"/>
      <c r="C30" s="9" t="s">
        <v>54</v>
      </c>
      <c r="D30" s="28"/>
      <c r="E30" s="27">
        <v>813342.95000000019</v>
      </c>
      <c r="F30" s="124">
        <v>0.50361792569659458</v>
      </c>
      <c r="G30" s="26"/>
      <c r="H30" s="29">
        <v>1615000</v>
      </c>
      <c r="I30" s="29">
        <v>305179.21146953403</v>
      </c>
      <c r="J30" s="29">
        <v>317070.28000000049</v>
      </c>
      <c r="K30" s="31">
        <v>1.0389642153972651</v>
      </c>
      <c r="L30" s="39"/>
      <c r="M30" s="29">
        <v>299532.65076272876</v>
      </c>
      <c r="N30" s="29">
        <v>56572.701156777715</v>
      </c>
      <c r="O30" s="27">
        <v>0</v>
      </c>
      <c r="P30" s="29">
        <v>36041.254049999916</v>
      </c>
      <c r="Q30" s="31">
        <v>0.63707854341478587</v>
      </c>
      <c r="R30" s="39"/>
      <c r="S30" s="128">
        <v>0.18546913359921285</v>
      </c>
      <c r="T30" s="128">
        <v>0.11366960678244539</v>
      </c>
      <c r="U30" s="39"/>
      <c r="V30" s="29"/>
      <c r="W30" s="32">
        <v>-2.4845961437948261</v>
      </c>
      <c r="X30" s="30" t="s">
        <v>69</v>
      </c>
      <c r="Y30" s="39"/>
      <c r="Z30" s="62"/>
      <c r="AA30" s="27">
        <v>56326.164874551963</v>
      </c>
      <c r="AB30" s="27">
        <v>65591.619999999937</v>
      </c>
      <c r="AC30" s="39"/>
      <c r="AD30" s="29">
        <v>10463.120876516834</v>
      </c>
      <c r="AE30" s="29">
        <v>7785.5943999999963</v>
      </c>
      <c r="AF30" s="31">
        <v>0.74409867685594544</v>
      </c>
      <c r="AG30" s="39"/>
      <c r="AH30" s="29">
        <v>6404.1715633333188</v>
      </c>
      <c r="AI30" s="29">
        <v>188994.21714333288</v>
      </c>
      <c r="AJ30" s="31">
        <v>0.63096365842614732</v>
      </c>
      <c r="AK30" s="39"/>
      <c r="AL30" s="80">
        <v>0.18546913359921285</v>
      </c>
      <c r="AM30" s="80">
        <v>0.11869800440970971</v>
      </c>
      <c r="AN30" s="39"/>
      <c r="AO30" s="32">
        <v>0</v>
      </c>
      <c r="AP30" s="31">
        <v>0</v>
      </c>
      <c r="AQ30" s="10"/>
    </row>
    <row r="31" spans="1:43" ht="8" customHeight="1" x14ac:dyDescent="0.3">
      <c r="B31" s="16"/>
      <c r="D31" s="34"/>
      <c r="E31" s="47"/>
      <c r="F31" s="125"/>
      <c r="G31" s="34"/>
      <c r="H31" s="48"/>
      <c r="I31" s="48"/>
      <c r="J31" s="48"/>
      <c r="K31" s="51"/>
      <c r="L31" s="34"/>
      <c r="M31" s="48"/>
      <c r="N31" s="48"/>
      <c r="O31" s="51"/>
      <c r="P31" s="48"/>
      <c r="Q31" s="47"/>
      <c r="R31" s="34"/>
      <c r="S31" s="51"/>
      <c r="T31" s="51"/>
      <c r="U31" s="34"/>
      <c r="V31" s="48"/>
      <c r="W31" s="52"/>
      <c r="X31" s="48"/>
      <c r="Y31" s="34"/>
      <c r="Z31" s="62"/>
      <c r="AA31" s="47"/>
      <c r="AB31" s="47"/>
      <c r="AC31" s="36"/>
      <c r="AD31" s="48"/>
      <c r="AE31" s="48"/>
      <c r="AF31" s="47"/>
      <c r="AG31" s="36"/>
      <c r="AH31" s="48"/>
      <c r="AI31" s="48"/>
      <c r="AJ31" s="47"/>
      <c r="AK31" s="36"/>
      <c r="AL31" s="49"/>
      <c r="AM31" s="53"/>
      <c r="AN31" s="36"/>
      <c r="AO31" s="52"/>
      <c r="AP31" s="47"/>
    </row>
    <row r="32" spans="1:43" ht="12.75" customHeight="1" x14ac:dyDescent="0.3">
      <c r="A32" s="7" t="s">
        <v>16</v>
      </c>
      <c r="B32" s="211" t="s">
        <v>57</v>
      </c>
      <c r="C32" s="6" t="s">
        <v>8</v>
      </c>
      <c r="D32" s="34"/>
      <c r="E32" s="33">
        <v>400641.41</v>
      </c>
      <c r="F32" s="123">
        <v>0.23567141764705882</v>
      </c>
      <c r="G32" s="7"/>
      <c r="H32" s="35">
        <v>1700000</v>
      </c>
      <c r="I32" s="35">
        <v>314814.81481481483</v>
      </c>
      <c r="J32" s="35">
        <v>390875.26999999973</v>
      </c>
      <c r="K32" s="70">
        <v>1.2416037988235284</v>
      </c>
      <c r="L32" s="36"/>
      <c r="M32" s="35">
        <v>119000.00000000001</v>
      </c>
      <c r="N32" s="35">
        <v>22037.03703703704</v>
      </c>
      <c r="O32" s="37">
        <v>0</v>
      </c>
      <c r="P32" s="35">
        <v>37735.238800000006</v>
      </c>
      <c r="Q32" s="115">
        <v>1.7123553741176472</v>
      </c>
      <c r="R32" s="36"/>
      <c r="S32" s="127">
        <v>7.0000000000000007E-2</v>
      </c>
      <c r="T32" s="127">
        <v>9.6540358769691498E-2</v>
      </c>
      <c r="U32" s="36"/>
      <c r="V32" s="35"/>
      <c r="W32" s="38">
        <v>-7.2067519646358074</v>
      </c>
      <c r="X32" s="69" t="s">
        <v>69</v>
      </c>
      <c r="Y32" s="36"/>
      <c r="Z32" s="62"/>
      <c r="AA32" s="33">
        <v>62962.962962962964</v>
      </c>
      <c r="AB32" s="33">
        <v>25014.420000000006</v>
      </c>
      <c r="AC32" s="36"/>
      <c r="AD32" s="35">
        <v>4407.4074074074078</v>
      </c>
      <c r="AE32" s="35">
        <v>2319.2159999999994</v>
      </c>
      <c r="AF32" s="115">
        <v>0.52620867226890733</v>
      </c>
      <c r="AG32" s="36"/>
      <c r="AH32" s="35">
        <v>7547.0477600000013</v>
      </c>
      <c r="AI32" s="35">
        <v>203770.28952000005</v>
      </c>
      <c r="AJ32" s="115">
        <v>1.7123553741176472</v>
      </c>
      <c r="AK32" s="36"/>
      <c r="AL32" s="108">
        <v>7.0000000000000007E-2</v>
      </c>
      <c r="AM32" s="108">
        <v>9.2715161894619147E-2</v>
      </c>
      <c r="AN32" s="36"/>
      <c r="AO32" s="38">
        <v>-6.1864076800501255</v>
      </c>
      <c r="AP32" s="70">
        <v>0</v>
      </c>
    </row>
    <row r="33" spans="1:43" ht="12.75" customHeight="1" x14ac:dyDescent="0.3">
      <c r="A33" s="7" t="s">
        <v>16</v>
      </c>
      <c r="B33" s="211"/>
      <c r="C33" s="6" t="s">
        <v>9</v>
      </c>
      <c r="D33" s="34"/>
      <c r="E33" s="33">
        <v>287404.08</v>
      </c>
      <c r="F33" s="123">
        <v>0.45619695238095243</v>
      </c>
      <c r="G33" s="7"/>
      <c r="H33" s="35">
        <v>630000</v>
      </c>
      <c r="I33" s="35">
        <v>121935.48387096776</v>
      </c>
      <c r="J33" s="35">
        <v>111726.56000000008</v>
      </c>
      <c r="K33" s="70">
        <v>0.91627602116402174</v>
      </c>
      <c r="L33" s="36"/>
      <c r="M33" s="35">
        <v>85050</v>
      </c>
      <c r="N33" s="35">
        <v>16461.290322580644</v>
      </c>
      <c r="O33" s="37">
        <v>0</v>
      </c>
      <c r="P33" s="35">
        <v>14066.51</v>
      </c>
      <c r="Q33" s="115">
        <v>0.8545204977464238</v>
      </c>
      <c r="R33" s="36"/>
      <c r="S33" s="127">
        <v>0.13500000000000001</v>
      </c>
      <c r="T33" s="127">
        <v>0.12590121811680222</v>
      </c>
      <c r="U33" s="36"/>
      <c r="V33" s="35"/>
      <c r="W33" s="38">
        <v>-1.9116582484952418</v>
      </c>
      <c r="X33" s="69" t="s">
        <v>69</v>
      </c>
      <c r="Y33" s="36"/>
      <c r="Z33" s="62"/>
      <c r="AA33" s="33">
        <v>20322.580645161292</v>
      </c>
      <c r="AB33" s="33">
        <v>14585.729999999998</v>
      </c>
      <c r="AC33" s="36"/>
      <c r="AD33" s="35">
        <v>2743.5483870967741</v>
      </c>
      <c r="AE33" s="35">
        <v>1578.7000000000003</v>
      </c>
      <c r="AF33" s="115">
        <v>0.57542269253380374</v>
      </c>
      <c r="AG33" s="36"/>
      <c r="AH33" s="35">
        <v>2344.4183333333335</v>
      </c>
      <c r="AI33" s="35">
        <v>72676.968333333338</v>
      </c>
      <c r="AJ33" s="115">
        <v>0.85452049774642369</v>
      </c>
      <c r="AK33" s="36"/>
      <c r="AL33" s="108">
        <v>0.13500000000000001</v>
      </c>
      <c r="AM33" s="108">
        <v>0.10823592648431038</v>
      </c>
      <c r="AN33" s="36"/>
      <c r="AO33" s="38">
        <v>-4.3257348106676661</v>
      </c>
      <c r="AP33" s="70">
        <v>0</v>
      </c>
    </row>
    <row r="34" spans="1:43" ht="12.75" customHeight="1" x14ac:dyDescent="0.3">
      <c r="A34" s="7" t="s">
        <v>16</v>
      </c>
      <c r="B34" s="211"/>
      <c r="C34" s="6" t="s">
        <v>10</v>
      </c>
      <c r="D34" s="34"/>
      <c r="E34" s="33">
        <v>655196.29000000015</v>
      </c>
      <c r="F34" s="123">
        <v>0.40196091411042956</v>
      </c>
      <c r="G34" s="7"/>
      <c r="H34" s="35">
        <v>1630000</v>
      </c>
      <c r="I34" s="35">
        <v>315483.87096774194</v>
      </c>
      <c r="J34" s="35">
        <v>245924.65000000002</v>
      </c>
      <c r="K34" s="70">
        <v>0.77951576175869131</v>
      </c>
      <c r="L34" s="36"/>
      <c r="M34" s="35">
        <v>220050</v>
      </c>
      <c r="N34" s="35">
        <v>42590.322580645159</v>
      </c>
      <c r="O34" s="37">
        <v>0</v>
      </c>
      <c r="P34" s="35">
        <v>35033.20120000001</v>
      </c>
      <c r="Q34" s="115">
        <v>0.82256247610391608</v>
      </c>
      <c r="R34" s="36"/>
      <c r="S34" s="127">
        <v>0.13500000000000001</v>
      </c>
      <c r="T34" s="127">
        <v>0.14245502108064403</v>
      </c>
      <c r="U34" s="36"/>
      <c r="V34" s="35"/>
      <c r="W34" s="38">
        <v>-0.9824467779053887</v>
      </c>
      <c r="X34" s="69" t="s">
        <v>69</v>
      </c>
      <c r="Y34" s="36"/>
      <c r="Z34" s="62"/>
      <c r="AA34" s="33">
        <v>52580.645161290326</v>
      </c>
      <c r="AB34" s="33">
        <v>27819.10999999999</v>
      </c>
      <c r="AC34" s="36"/>
      <c r="AD34" s="35">
        <v>7098.3870967741932</v>
      </c>
      <c r="AE34" s="35">
        <v>4612.99</v>
      </c>
      <c r="AF34" s="115">
        <v>0.64986453078845718</v>
      </c>
      <c r="AG34" s="36"/>
      <c r="AH34" s="35">
        <v>5838.8668666666681</v>
      </c>
      <c r="AI34" s="35">
        <v>181004.8728666667</v>
      </c>
      <c r="AJ34" s="115">
        <v>0.82256247610391597</v>
      </c>
      <c r="AK34" s="36"/>
      <c r="AL34" s="108">
        <v>0.13500000000000001</v>
      </c>
      <c r="AM34" s="108">
        <v>0.16582090512600875</v>
      </c>
      <c r="AN34" s="36"/>
      <c r="AO34" s="38">
        <v>2.4232263361408077</v>
      </c>
      <c r="AP34" s="70">
        <v>0</v>
      </c>
    </row>
    <row r="35" spans="1:43" ht="12.75" customHeight="1" x14ac:dyDescent="0.3">
      <c r="A35" s="7" t="s">
        <v>16</v>
      </c>
      <c r="B35" s="211"/>
      <c r="C35" s="6" t="s">
        <v>12</v>
      </c>
      <c r="D35" s="34"/>
      <c r="E35" s="33">
        <v>123119.83000000002</v>
      </c>
      <c r="F35" s="123">
        <v>0.19858037096774195</v>
      </c>
      <c r="G35" s="7"/>
      <c r="H35" s="35">
        <v>620000</v>
      </c>
      <c r="I35" s="35">
        <v>114814.81481481482</v>
      </c>
      <c r="J35" s="35">
        <v>88816.820000000036</v>
      </c>
      <c r="K35" s="70">
        <v>0.77356585161290348</v>
      </c>
      <c r="L35" s="36"/>
      <c r="M35" s="35">
        <v>37200</v>
      </c>
      <c r="N35" s="35">
        <v>6888.8888888888887</v>
      </c>
      <c r="O35" s="37">
        <v>0</v>
      </c>
      <c r="P35" s="35">
        <v>6819.3999999999978</v>
      </c>
      <c r="Q35" s="115">
        <v>0.98991290322580616</v>
      </c>
      <c r="R35" s="36"/>
      <c r="S35" s="127">
        <v>0.06</v>
      </c>
      <c r="T35" s="127">
        <v>7.6780501711274901E-2</v>
      </c>
      <c r="U35" s="36"/>
      <c r="V35" s="35"/>
      <c r="W35" s="38">
        <v>-6.549187417428362</v>
      </c>
      <c r="X35" s="69" t="s">
        <v>69</v>
      </c>
      <c r="Y35" s="36"/>
      <c r="Z35" s="62"/>
      <c r="AA35" s="33">
        <v>22962.962962962964</v>
      </c>
      <c r="AB35" s="33">
        <v>12172.689999999999</v>
      </c>
      <c r="AC35" s="36"/>
      <c r="AD35" s="35">
        <v>1377.7777777777778</v>
      </c>
      <c r="AE35" s="35">
        <v>1637.1100000000001</v>
      </c>
      <c r="AF35" s="115">
        <v>1.1882250000000001</v>
      </c>
      <c r="AG35" s="36"/>
      <c r="AH35" s="35">
        <v>1363.8799999999997</v>
      </c>
      <c r="AI35" s="35">
        <v>36824.759999999987</v>
      </c>
      <c r="AJ35" s="115">
        <v>0.98991290322580616</v>
      </c>
      <c r="AK35" s="36"/>
      <c r="AL35" s="108">
        <v>0.06</v>
      </c>
      <c r="AM35" s="108">
        <v>0.13449040433955028</v>
      </c>
      <c r="AN35" s="36"/>
      <c r="AO35" s="38">
        <v>-2.3763851704101744</v>
      </c>
      <c r="AP35" s="70">
        <v>0</v>
      </c>
    </row>
    <row r="36" spans="1:43" s="15" customFormat="1" ht="17" customHeight="1" x14ac:dyDescent="0.3">
      <c r="A36" s="26"/>
      <c r="B36" s="211"/>
      <c r="C36" s="9" t="s">
        <v>58</v>
      </c>
      <c r="D36" s="28"/>
      <c r="E36" s="27">
        <v>1466361.6100000003</v>
      </c>
      <c r="F36" s="124">
        <v>0.3201662903930132</v>
      </c>
      <c r="G36" s="26"/>
      <c r="H36" s="29">
        <v>4580000</v>
      </c>
      <c r="I36" s="29">
        <v>867048.98446833936</v>
      </c>
      <c r="J36" s="29">
        <v>837343.29999999993</v>
      </c>
      <c r="K36" s="31">
        <v>0.96573932384390659</v>
      </c>
      <c r="L36" s="39"/>
      <c r="M36" s="29">
        <v>461300</v>
      </c>
      <c r="N36" s="29">
        <v>87977.53882915173</v>
      </c>
      <c r="O36" s="27">
        <v>0</v>
      </c>
      <c r="P36" s="29">
        <v>93654.35</v>
      </c>
      <c r="Q36" s="31">
        <v>1.064525687424291</v>
      </c>
      <c r="R36" s="39"/>
      <c r="S36" s="128">
        <v>0.10072052401746726</v>
      </c>
      <c r="T36" s="128">
        <v>0.11184701662985781</v>
      </c>
      <c r="U36" s="39"/>
      <c r="V36" s="29"/>
      <c r="W36" s="32">
        <v>-4.6024253134885766</v>
      </c>
      <c r="X36" s="30" t="s">
        <v>69</v>
      </c>
      <c r="Y36" s="39"/>
      <c r="Z36" s="62"/>
      <c r="AA36" s="27">
        <v>158829.15173237753</v>
      </c>
      <c r="AB36" s="27">
        <v>79591.95</v>
      </c>
      <c r="AC36" s="39"/>
      <c r="AD36" s="29">
        <v>15627.120669056152</v>
      </c>
      <c r="AE36" s="29">
        <v>10148.016</v>
      </c>
      <c r="AF36" s="31">
        <v>0.64938488765204627</v>
      </c>
      <c r="AG36" s="39"/>
      <c r="AH36" s="29">
        <v>17094.212960000004</v>
      </c>
      <c r="AI36" s="29">
        <v>494276.89072000008</v>
      </c>
      <c r="AJ36" s="31">
        <v>1.0714868647734666</v>
      </c>
      <c r="AK36" s="39"/>
      <c r="AL36" s="80">
        <v>0.10072052401746726</v>
      </c>
      <c r="AM36" s="80">
        <v>0.12750053240308851</v>
      </c>
      <c r="AN36" s="39"/>
      <c r="AO36" s="32">
        <v>0</v>
      </c>
      <c r="AP36" s="31">
        <v>0</v>
      </c>
      <c r="AQ36" s="10"/>
    </row>
    <row r="37" spans="1:43" ht="8" customHeight="1" x14ac:dyDescent="0.3">
      <c r="B37" s="16"/>
      <c r="D37" s="34"/>
      <c r="E37" s="47"/>
      <c r="F37" s="125"/>
      <c r="G37" s="34"/>
      <c r="H37" s="48"/>
      <c r="I37" s="48"/>
      <c r="J37" s="48"/>
      <c r="K37" s="51"/>
      <c r="L37" s="34"/>
      <c r="M37" s="48"/>
      <c r="N37" s="48"/>
      <c r="O37" s="51"/>
      <c r="P37" s="48"/>
      <c r="Q37" s="47"/>
      <c r="R37" s="34"/>
      <c r="S37" s="51"/>
      <c r="T37" s="51"/>
      <c r="U37" s="34"/>
      <c r="V37" s="48"/>
      <c r="W37" s="52"/>
      <c r="X37" s="48"/>
      <c r="Y37" s="34"/>
      <c r="Z37" s="62"/>
      <c r="AA37" s="47"/>
      <c r="AB37" s="47"/>
      <c r="AC37" s="36"/>
      <c r="AD37" s="48"/>
      <c r="AE37" s="48"/>
      <c r="AF37" s="47"/>
      <c r="AG37" s="36"/>
      <c r="AH37" s="48"/>
      <c r="AI37" s="48"/>
      <c r="AJ37" s="47"/>
      <c r="AK37" s="36"/>
      <c r="AL37" s="49"/>
      <c r="AM37" s="53"/>
      <c r="AN37" s="36"/>
      <c r="AO37" s="52"/>
      <c r="AP37" s="47"/>
    </row>
    <row r="38" spans="1:43" ht="12.75" customHeight="1" x14ac:dyDescent="0.3">
      <c r="A38" s="7" t="s">
        <v>19</v>
      </c>
      <c r="B38" s="211" t="s">
        <v>31</v>
      </c>
      <c r="C38" s="6" t="s">
        <v>8</v>
      </c>
      <c r="D38" s="34"/>
      <c r="E38" s="33">
        <v>139814.1699999999</v>
      </c>
      <c r="F38" s="123">
        <v>0.55925667999999962</v>
      </c>
      <c r="G38" s="7"/>
      <c r="H38" s="35">
        <v>250000</v>
      </c>
      <c r="I38" s="35">
        <v>46296.296296296292</v>
      </c>
      <c r="J38" s="35">
        <v>43483.990000000202</v>
      </c>
      <c r="K38" s="70">
        <v>0.93925418400000449</v>
      </c>
      <c r="L38" s="36"/>
      <c r="M38" s="35">
        <v>26250</v>
      </c>
      <c r="N38" s="35">
        <v>4861.1111111111113</v>
      </c>
      <c r="O38" s="37">
        <v>0</v>
      </c>
      <c r="P38" s="35">
        <v>5496.1643999999987</v>
      </c>
      <c r="Q38" s="115">
        <v>1.1306395337142854</v>
      </c>
      <c r="R38" s="36"/>
      <c r="S38" s="127">
        <v>0.105</v>
      </c>
      <c r="T38" s="127">
        <v>0.12639512611423132</v>
      </c>
      <c r="U38" s="36"/>
      <c r="V38" s="35"/>
      <c r="W38" s="38">
        <v>-0.58772343568239604</v>
      </c>
      <c r="X38" s="69" t="s">
        <v>69</v>
      </c>
      <c r="Y38" s="36"/>
      <c r="Z38" s="62"/>
      <c r="AA38" s="33">
        <v>9259.2592592592591</v>
      </c>
      <c r="AB38" s="33">
        <v>12153.619999999986</v>
      </c>
      <c r="AC38" s="36"/>
      <c r="AD38" s="35">
        <v>972.22222222222217</v>
      </c>
      <c r="AE38" s="35">
        <v>1132.0540000000003</v>
      </c>
      <c r="AF38" s="115">
        <v>1.1643984000000003</v>
      </c>
      <c r="AG38" s="36"/>
      <c r="AH38" s="35">
        <v>1099.2328799999998</v>
      </c>
      <c r="AI38" s="35">
        <v>29679.287759999996</v>
      </c>
      <c r="AJ38" s="115">
        <v>1.1306395337142856</v>
      </c>
      <c r="AK38" s="36"/>
      <c r="AL38" s="108">
        <v>0.105</v>
      </c>
      <c r="AM38" s="108">
        <v>9.3145416756489144E-2</v>
      </c>
      <c r="AN38" s="36"/>
      <c r="AO38" s="38">
        <v>-4.835645675938653</v>
      </c>
      <c r="AP38" s="70">
        <v>0</v>
      </c>
    </row>
    <row r="39" spans="1:43" ht="12.75" customHeight="1" x14ac:dyDescent="0.3">
      <c r="A39" s="7" t="s">
        <v>19</v>
      </c>
      <c r="B39" s="211"/>
      <c r="C39" s="6" t="s">
        <v>9</v>
      </c>
      <c r="D39" s="34"/>
      <c r="E39" s="33">
        <v>203370.72999999992</v>
      </c>
      <c r="F39" s="123">
        <v>0.3567907543859648</v>
      </c>
      <c r="G39" s="7"/>
      <c r="H39" s="35">
        <v>570000</v>
      </c>
      <c r="I39" s="35">
        <v>110322.5806451613</v>
      </c>
      <c r="J39" s="35">
        <v>126327.68000000218</v>
      </c>
      <c r="K39" s="70">
        <v>1.1450754619883237</v>
      </c>
      <c r="L39" s="36"/>
      <c r="M39" s="35">
        <v>88350</v>
      </c>
      <c r="N39" s="35">
        <v>17100</v>
      </c>
      <c r="O39" s="37">
        <v>112.5</v>
      </c>
      <c r="P39" s="35">
        <v>18601.580000000009</v>
      </c>
      <c r="Q39" s="115">
        <v>1.0878116959064332</v>
      </c>
      <c r="R39" s="36"/>
      <c r="S39" s="127">
        <v>0.155</v>
      </c>
      <c r="T39" s="127">
        <v>0.14724864732732912</v>
      </c>
      <c r="U39" s="36"/>
      <c r="V39" s="35"/>
      <c r="W39" s="38">
        <v>3.8333483208129486</v>
      </c>
      <c r="X39" s="69" t="s">
        <v>69</v>
      </c>
      <c r="Y39" s="36"/>
      <c r="Z39" s="62"/>
      <c r="AA39" s="33">
        <v>18387.096774193549</v>
      </c>
      <c r="AB39" s="33">
        <v>20102.569999999956</v>
      </c>
      <c r="AC39" s="36"/>
      <c r="AD39" s="35">
        <v>2850</v>
      </c>
      <c r="AE39" s="35">
        <v>2485.7999999999993</v>
      </c>
      <c r="AF39" s="115">
        <v>0.87221052631578921</v>
      </c>
      <c r="AG39" s="36"/>
      <c r="AH39" s="35">
        <v>3100.2633333333347</v>
      </c>
      <c r="AI39" s="35">
        <v>96108.163333333374</v>
      </c>
      <c r="AJ39" s="115">
        <v>1.0878116959064332</v>
      </c>
      <c r="AK39" s="36"/>
      <c r="AL39" s="108">
        <v>0.155</v>
      </c>
      <c r="AM39" s="108">
        <v>0.12365583107035591</v>
      </c>
      <c r="AN39" s="36"/>
      <c r="AO39" s="38">
        <v>1.184624652469555</v>
      </c>
      <c r="AP39" s="70">
        <v>0</v>
      </c>
    </row>
    <row r="40" spans="1:43" ht="12.75" customHeight="1" x14ac:dyDescent="0.3">
      <c r="A40" s="7" t="s">
        <v>19</v>
      </c>
      <c r="B40" s="211"/>
      <c r="C40" s="6" t="s">
        <v>10</v>
      </c>
      <c r="D40" s="34"/>
      <c r="E40" s="33">
        <v>361433.46999999986</v>
      </c>
      <c r="F40" s="123">
        <v>0.38450369148936153</v>
      </c>
      <c r="G40" s="7"/>
      <c r="H40" s="35">
        <v>940000</v>
      </c>
      <c r="I40" s="35">
        <v>181935.48387096776</v>
      </c>
      <c r="J40" s="35">
        <v>218487.61999999741</v>
      </c>
      <c r="K40" s="70">
        <v>1.2009071312056594</v>
      </c>
      <c r="L40" s="36"/>
      <c r="M40" s="35">
        <v>161680</v>
      </c>
      <c r="N40" s="35">
        <v>31292.903225806447</v>
      </c>
      <c r="O40" s="37">
        <v>0</v>
      </c>
      <c r="P40" s="35">
        <v>32939.831999999951</v>
      </c>
      <c r="Q40" s="115">
        <v>1.0526294656110822</v>
      </c>
      <c r="R40" s="36"/>
      <c r="S40" s="127">
        <v>0.17199999999999999</v>
      </c>
      <c r="T40" s="127">
        <v>0.15076292194496119</v>
      </c>
      <c r="U40" s="36"/>
      <c r="V40" s="35"/>
      <c r="W40" s="38">
        <v>4.1185088656271995</v>
      </c>
      <c r="X40" s="69" t="s">
        <v>69</v>
      </c>
      <c r="Y40" s="36"/>
      <c r="Z40" s="62"/>
      <c r="AA40" s="33">
        <v>30322.580645161292</v>
      </c>
      <c r="AB40" s="33">
        <v>47601.72000000011</v>
      </c>
      <c r="AC40" s="36"/>
      <c r="AD40" s="35">
        <v>5215.4838709677415</v>
      </c>
      <c r="AE40" s="35">
        <v>6368.5615999999955</v>
      </c>
      <c r="AF40" s="115">
        <v>1.2210873923800092</v>
      </c>
      <c r="AG40" s="36"/>
      <c r="AH40" s="35">
        <v>5489.9719999999916</v>
      </c>
      <c r="AI40" s="35">
        <v>170189.13199999975</v>
      </c>
      <c r="AJ40" s="115">
        <v>1.0526294656110822</v>
      </c>
      <c r="AK40" s="36"/>
      <c r="AL40" s="108">
        <v>0.17199999999999999</v>
      </c>
      <c r="AM40" s="108">
        <v>0.13378847655084691</v>
      </c>
      <c r="AN40" s="36"/>
      <c r="AO40" s="38">
        <v>2.2315403729111409</v>
      </c>
      <c r="AP40" s="70">
        <v>0</v>
      </c>
    </row>
    <row r="41" spans="1:43" ht="12.75" customHeight="1" x14ac:dyDescent="0.3">
      <c r="A41" s="7" t="s">
        <v>19</v>
      </c>
      <c r="B41" s="211"/>
      <c r="C41" s="6" t="s">
        <v>12</v>
      </c>
      <c r="D41" s="34"/>
      <c r="E41" s="33">
        <v>19224.089999999993</v>
      </c>
      <c r="F41" s="123">
        <v>0.27462985714285704</v>
      </c>
      <c r="G41" s="7"/>
      <c r="H41" s="35">
        <v>70000</v>
      </c>
      <c r="I41" s="35">
        <v>12962.962962962964</v>
      </c>
      <c r="J41" s="35">
        <v>10332.279999999984</v>
      </c>
      <c r="K41" s="70">
        <v>0.7970615999999987</v>
      </c>
      <c r="L41" s="36"/>
      <c r="M41" s="35">
        <v>11354.020950059938</v>
      </c>
      <c r="N41" s="35">
        <v>2102.5964722333215</v>
      </c>
      <c r="O41" s="37">
        <v>0</v>
      </c>
      <c r="P41" s="35">
        <v>1454.4</v>
      </c>
      <c r="Q41" s="115">
        <v>0.69171618006910074</v>
      </c>
      <c r="R41" s="36"/>
      <c r="S41" s="127">
        <v>0.16220029928657054</v>
      </c>
      <c r="T41" s="127">
        <v>0.14076273581436066</v>
      </c>
      <c r="U41" s="36"/>
      <c r="V41" s="35"/>
      <c r="W41" s="38">
        <v>2.1487996840966619</v>
      </c>
      <c r="X41" s="69" t="s">
        <v>69</v>
      </c>
      <c r="Y41" s="36"/>
      <c r="Z41" s="62"/>
      <c r="AA41" s="33">
        <v>2592.5925925925926</v>
      </c>
      <c r="AB41" s="33">
        <v>4356.8699999999944</v>
      </c>
      <c r="AC41" s="36"/>
      <c r="AD41" s="35">
        <v>420.51929444666433</v>
      </c>
      <c r="AE41" s="35">
        <v>1151.45</v>
      </c>
      <c r="AF41" s="115">
        <v>2.7381621133820335</v>
      </c>
      <c r="AG41" s="36"/>
      <c r="AH41" s="35">
        <v>290.88</v>
      </c>
      <c r="AI41" s="35">
        <v>7853.76</v>
      </c>
      <c r="AJ41" s="115">
        <v>0.69171618006910063</v>
      </c>
      <c r="AK41" s="36"/>
      <c r="AL41" s="108">
        <v>0.16220029928657054</v>
      </c>
      <c r="AM41" s="108">
        <v>0.26428376334386877</v>
      </c>
      <c r="AN41" s="36"/>
      <c r="AO41" s="38">
        <v>13.691480351720248</v>
      </c>
      <c r="AP41" s="70">
        <v>0</v>
      </c>
    </row>
    <row r="42" spans="1:43" s="15" customFormat="1" ht="14.25" customHeight="1" x14ac:dyDescent="0.3">
      <c r="A42" s="26"/>
      <c r="B42" s="211"/>
      <c r="C42" s="9" t="s">
        <v>30</v>
      </c>
      <c r="D42" s="28"/>
      <c r="E42" s="27">
        <v>723842.45999999961</v>
      </c>
      <c r="F42" s="124">
        <v>0.39554232786885224</v>
      </c>
      <c r="G42" s="26"/>
      <c r="H42" s="29">
        <v>1830000</v>
      </c>
      <c r="I42" s="29">
        <v>351517.32377538836</v>
      </c>
      <c r="J42" s="29">
        <v>398631.56999999977</v>
      </c>
      <c r="K42" s="31">
        <v>1.1340310790904757</v>
      </c>
      <c r="L42" s="39"/>
      <c r="M42" s="29">
        <v>287634.02095005993</v>
      </c>
      <c r="N42" s="29">
        <v>55356.61080915088</v>
      </c>
      <c r="O42" s="27">
        <v>112.5</v>
      </c>
      <c r="P42" s="29">
        <v>58491.976399999963</v>
      </c>
      <c r="Q42" s="31">
        <v>1.0566394066583784</v>
      </c>
      <c r="R42" s="39"/>
      <c r="S42" s="128">
        <v>0.15717706062844805</v>
      </c>
      <c r="T42" s="128">
        <v>0.14673192190974738</v>
      </c>
      <c r="U42" s="39"/>
      <c r="V42" s="29"/>
      <c r="W42" s="32">
        <v>3.4637162330118496</v>
      </c>
      <c r="X42" s="30" t="s">
        <v>69</v>
      </c>
      <c r="Y42" s="39"/>
      <c r="Z42" s="62"/>
      <c r="AA42" s="27">
        <v>60561.529271206695</v>
      </c>
      <c r="AB42" s="27">
        <v>84214.780000000057</v>
      </c>
      <c r="AC42" s="39"/>
      <c r="AD42" s="29">
        <v>9458.2253876366267</v>
      </c>
      <c r="AE42" s="29">
        <v>11137.865599999996</v>
      </c>
      <c r="AF42" s="31">
        <v>1.1775851328896136</v>
      </c>
      <c r="AG42" s="39"/>
      <c r="AH42" s="29">
        <v>9980.3482133333255</v>
      </c>
      <c r="AI42" s="29">
        <v>303830.34309333313</v>
      </c>
      <c r="AJ42" s="31">
        <v>1.056308784648549</v>
      </c>
      <c r="AK42" s="39"/>
      <c r="AL42" s="80">
        <v>0.15717706062844805</v>
      </c>
      <c r="AM42" s="80">
        <v>0.13225547344539745</v>
      </c>
      <c r="AN42" s="39"/>
      <c r="AO42" s="32">
        <v>0</v>
      </c>
      <c r="AP42" s="31">
        <v>0</v>
      </c>
      <c r="AQ42" s="10"/>
    </row>
    <row r="43" spans="1:43" ht="8" customHeight="1" x14ac:dyDescent="0.3">
      <c r="B43" s="16"/>
      <c r="D43" s="34"/>
      <c r="E43" s="47"/>
      <c r="F43" s="125"/>
      <c r="G43" s="34"/>
      <c r="H43" s="48"/>
      <c r="I43" s="48"/>
      <c r="J43" s="48"/>
      <c r="K43" s="51"/>
      <c r="L43" s="34"/>
      <c r="M43" s="48"/>
      <c r="N43" s="48"/>
      <c r="O43" s="51"/>
      <c r="P43" s="48"/>
      <c r="Q43" s="47"/>
      <c r="R43" s="34"/>
      <c r="S43" s="51"/>
      <c r="T43" s="51"/>
      <c r="U43" s="34"/>
      <c r="V43" s="48"/>
      <c r="W43" s="52"/>
      <c r="X43" s="48"/>
      <c r="Y43" s="34"/>
      <c r="Z43" s="62"/>
      <c r="AA43" s="47"/>
      <c r="AB43" s="47"/>
      <c r="AC43" s="36"/>
      <c r="AD43" s="48"/>
      <c r="AE43" s="48"/>
      <c r="AF43" s="47"/>
      <c r="AG43" s="36"/>
      <c r="AH43" s="48"/>
      <c r="AI43" s="48"/>
      <c r="AJ43" s="47"/>
      <c r="AK43" s="36"/>
      <c r="AL43" s="49"/>
      <c r="AM43" s="53"/>
      <c r="AN43" s="36"/>
      <c r="AO43" s="52"/>
      <c r="AP43" s="47"/>
    </row>
    <row r="44" spans="1:43" ht="12.75" customHeight="1" x14ac:dyDescent="0.3">
      <c r="A44" s="7" t="s">
        <v>20</v>
      </c>
      <c r="B44" s="211" t="s">
        <v>27</v>
      </c>
      <c r="C44" s="6" t="s">
        <v>8</v>
      </c>
      <c r="D44" s="34"/>
      <c r="E44" s="33">
        <v>695991.24000000057</v>
      </c>
      <c r="F44" s="123">
        <v>3.0525931578947394</v>
      </c>
      <c r="G44" s="7"/>
      <c r="H44" s="35">
        <v>228000</v>
      </c>
      <c r="I44" s="35">
        <v>42222.222222222226</v>
      </c>
      <c r="J44" s="35">
        <v>34311.830000000809</v>
      </c>
      <c r="K44" s="70">
        <v>0.81264860526317695</v>
      </c>
      <c r="L44" s="36"/>
      <c r="M44" s="35">
        <v>27360</v>
      </c>
      <c r="N44" s="35">
        <v>5066.666666666667</v>
      </c>
      <c r="O44" s="37">
        <v>0</v>
      </c>
      <c r="P44" s="35">
        <v>5539.8191000000088</v>
      </c>
      <c r="Q44" s="115">
        <v>1.0933853486842122</v>
      </c>
      <c r="R44" s="36"/>
      <c r="S44" s="127">
        <v>0.12</v>
      </c>
      <c r="T44" s="127">
        <v>0.16145507540693335</v>
      </c>
      <c r="U44" s="36"/>
      <c r="V44" s="35"/>
      <c r="W44" s="38">
        <v>5.7362113883191759</v>
      </c>
      <c r="X44" s="69" t="s">
        <v>69</v>
      </c>
      <c r="Y44" s="36"/>
      <c r="Z44" s="62"/>
      <c r="AA44" s="33">
        <v>8444.4444444444453</v>
      </c>
      <c r="AB44" s="33">
        <v>8107.279999999967</v>
      </c>
      <c r="AC44" s="36"/>
      <c r="AD44" s="35">
        <v>1013.3333333333334</v>
      </c>
      <c r="AE44" s="35">
        <v>1439.4609000000003</v>
      </c>
      <c r="AF44" s="115">
        <v>1.4205206250000002</v>
      </c>
      <c r="AG44" s="36"/>
      <c r="AH44" s="35">
        <v>1107.9638200000018</v>
      </c>
      <c r="AI44" s="35">
        <v>29915.023140000048</v>
      </c>
      <c r="AJ44" s="115">
        <v>1.0933853486842122</v>
      </c>
      <c r="AK44" s="36"/>
      <c r="AL44" s="108">
        <v>0.12</v>
      </c>
      <c r="AM44" s="108">
        <v>0.17755164494133743</v>
      </c>
      <c r="AN44" s="36"/>
      <c r="AO44" s="38">
        <v>7.118674820654654</v>
      </c>
      <c r="AP44" s="70">
        <v>0</v>
      </c>
    </row>
    <row r="45" spans="1:43" ht="12.75" customHeight="1" x14ac:dyDescent="0.3">
      <c r="A45" s="7" t="s">
        <v>20</v>
      </c>
      <c r="B45" s="211"/>
      <c r="C45" s="6" t="s">
        <v>9</v>
      </c>
      <c r="D45" s="34"/>
      <c r="E45" s="33">
        <v>1135123.4399999992</v>
      </c>
      <c r="F45" s="123">
        <v>2.6708786823529396</v>
      </c>
      <c r="G45" s="7"/>
      <c r="H45" s="35">
        <v>425000</v>
      </c>
      <c r="I45" s="35">
        <v>82258.06451612903</v>
      </c>
      <c r="J45" s="35">
        <v>92979.760000002119</v>
      </c>
      <c r="K45" s="70">
        <v>1.1303421803921827</v>
      </c>
      <c r="L45" s="36"/>
      <c r="M45" s="35">
        <v>67649.851647662959</v>
      </c>
      <c r="N45" s="35">
        <v>13093.519673741217</v>
      </c>
      <c r="O45" s="37">
        <v>0</v>
      </c>
      <c r="P45" s="35">
        <v>14394.85000000002</v>
      </c>
      <c r="Q45" s="115">
        <v>1.0993873579209259</v>
      </c>
      <c r="R45" s="36"/>
      <c r="S45" s="127">
        <v>0.15917612152391283</v>
      </c>
      <c r="T45" s="127">
        <v>0.15481702684540907</v>
      </c>
      <c r="U45" s="36"/>
      <c r="V45" s="35"/>
      <c r="W45" s="38">
        <v>5.4068218717728547</v>
      </c>
      <c r="X45" s="69" t="s">
        <v>69</v>
      </c>
      <c r="Y45" s="36"/>
      <c r="Z45" s="62"/>
      <c r="AA45" s="33">
        <v>13709.677419354839</v>
      </c>
      <c r="AB45" s="33">
        <v>14028.00999999988</v>
      </c>
      <c r="AC45" s="36"/>
      <c r="AD45" s="35">
        <v>2182.2532789568695</v>
      </c>
      <c r="AE45" s="35">
        <v>2103.6700000000028</v>
      </c>
      <c r="AF45" s="115">
        <v>0.96398984493934181</v>
      </c>
      <c r="AG45" s="36"/>
      <c r="AH45" s="35">
        <v>2399.1416666666701</v>
      </c>
      <c r="AI45" s="35">
        <v>74373.391666666779</v>
      </c>
      <c r="AJ45" s="115">
        <v>1.0993873579209259</v>
      </c>
      <c r="AK45" s="36"/>
      <c r="AL45" s="108">
        <v>0.15917612152391283</v>
      </c>
      <c r="AM45" s="108">
        <v>0.14996211151831376</v>
      </c>
      <c r="AN45" s="36"/>
      <c r="AO45" s="38">
        <v>4.6636693301464156</v>
      </c>
      <c r="AP45" s="70">
        <v>0</v>
      </c>
    </row>
    <row r="46" spans="1:43" ht="12.75" customHeight="1" x14ac:dyDescent="0.3">
      <c r="A46" s="7" t="s">
        <v>20</v>
      </c>
      <c r="B46" s="211"/>
      <c r="C46" s="6" t="s">
        <v>10</v>
      </c>
      <c r="D46" s="34"/>
      <c r="E46" s="33">
        <v>1373859.0699999996</v>
      </c>
      <c r="F46" s="123">
        <v>2.3285746949152535</v>
      </c>
      <c r="G46" s="7"/>
      <c r="H46" s="35">
        <v>590000</v>
      </c>
      <c r="I46" s="35">
        <v>114193.54838709677</v>
      </c>
      <c r="J46" s="35">
        <v>128473.83000000397</v>
      </c>
      <c r="K46" s="70">
        <v>1.1250533135593568</v>
      </c>
      <c r="L46" s="36"/>
      <c r="M46" s="35">
        <v>98530</v>
      </c>
      <c r="N46" s="35">
        <v>19070.322580645163</v>
      </c>
      <c r="O46" s="37">
        <v>0</v>
      </c>
      <c r="P46" s="35">
        <v>23272.015039999955</v>
      </c>
      <c r="Q46" s="115">
        <v>1.2203262394532943</v>
      </c>
      <c r="R46" s="36"/>
      <c r="S46" s="127">
        <v>0.16700000000000001</v>
      </c>
      <c r="T46" s="127">
        <v>0.1811420663647938</v>
      </c>
      <c r="U46" s="36"/>
      <c r="V46" s="35"/>
      <c r="W46" s="38">
        <v>7.7741630649638847</v>
      </c>
      <c r="X46" s="69" t="s">
        <v>69</v>
      </c>
      <c r="Y46" s="36"/>
      <c r="Z46" s="62"/>
      <c r="AA46" s="33">
        <v>19032.258064516129</v>
      </c>
      <c r="AB46" s="33">
        <v>23240.209999999948</v>
      </c>
      <c r="AC46" s="36"/>
      <c r="AD46" s="35">
        <v>3178.3870967741937</v>
      </c>
      <c r="AE46" s="35">
        <v>4473.2048000000068</v>
      </c>
      <c r="AF46" s="115">
        <v>1.4073820034507278</v>
      </c>
      <c r="AG46" s="36"/>
      <c r="AH46" s="35">
        <v>3878.6691733333259</v>
      </c>
      <c r="AI46" s="35">
        <v>120238.7443733331</v>
      </c>
      <c r="AJ46" s="115">
        <v>1.2203262394532945</v>
      </c>
      <c r="AK46" s="36"/>
      <c r="AL46" s="108">
        <v>0.16700000000000001</v>
      </c>
      <c r="AM46" s="108">
        <v>0.19247695266092762</v>
      </c>
      <c r="AN46" s="36"/>
      <c r="AO46" s="38">
        <v>8.5489537314848416</v>
      </c>
      <c r="AP46" s="70">
        <v>0</v>
      </c>
    </row>
    <row r="47" spans="1:43" ht="12.75" customHeight="1" x14ac:dyDescent="0.3">
      <c r="A47" s="7" t="s">
        <v>20</v>
      </c>
      <c r="B47" s="211"/>
      <c r="C47" s="6" t="s">
        <v>12</v>
      </c>
      <c r="D47" s="34"/>
      <c r="E47" s="33">
        <v>41598.270000000019</v>
      </c>
      <c r="F47" s="123">
        <v>1.6639308000000008</v>
      </c>
      <c r="G47" s="7"/>
      <c r="H47" s="35">
        <v>25000</v>
      </c>
      <c r="I47" s="35">
        <v>4629.6296296296296</v>
      </c>
      <c r="J47" s="35">
        <v>7040.739999999978</v>
      </c>
      <c r="K47" s="70">
        <v>1.5207998399999954</v>
      </c>
      <c r="L47" s="36"/>
      <c r="M47" s="35">
        <v>4250</v>
      </c>
      <c r="N47" s="35">
        <v>787.03703703703707</v>
      </c>
      <c r="O47" s="37">
        <v>0</v>
      </c>
      <c r="P47" s="35">
        <v>869.86999999999887</v>
      </c>
      <c r="Q47" s="115">
        <v>1.1052465882352926</v>
      </c>
      <c r="R47" s="36"/>
      <c r="S47" s="127">
        <v>0.17</v>
      </c>
      <c r="T47" s="127">
        <v>0.12354809295613836</v>
      </c>
      <c r="U47" s="36"/>
      <c r="V47" s="35"/>
      <c r="W47" s="38">
        <v>-0.42694375875283186</v>
      </c>
      <c r="X47" s="69" t="s">
        <v>69</v>
      </c>
      <c r="Y47" s="36"/>
      <c r="Z47" s="62"/>
      <c r="AA47" s="33">
        <v>925.92592592592598</v>
      </c>
      <c r="AB47" s="33">
        <v>939.87999999999977</v>
      </c>
      <c r="AC47" s="36"/>
      <c r="AD47" s="35">
        <v>157.40740740740742</v>
      </c>
      <c r="AE47" s="35">
        <v>230.49999999999994</v>
      </c>
      <c r="AF47" s="115">
        <v>1.4643529411764702</v>
      </c>
      <c r="AG47" s="36"/>
      <c r="AH47" s="35">
        <v>173.97399999999976</v>
      </c>
      <c r="AI47" s="35">
        <v>4697.2979999999934</v>
      </c>
      <c r="AJ47" s="115">
        <v>1.1052465882352926</v>
      </c>
      <c r="AK47" s="36"/>
      <c r="AL47" s="108">
        <v>0.17</v>
      </c>
      <c r="AM47" s="108">
        <v>0.24524407371153764</v>
      </c>
      <c r="AN47" s="36"/>
      <c r="AO47" s="38">
        <v>14.058177639698641</v>
      </c>
      <c r="AP47" s="70">
        <v>0</v>
      </c>
    </row>
    <row r="48" spans="1:43" s="15" customFormat="1" ht="14.25" customHeight="1" x14ac:dyDescent="0.3">
      <c r="A48" s="26"/>
      <c r="B48" s="211"/>
      <c r="C48" s="9" t="s">
        <v>28</v>
      </c>
      <c r="D48" s="28"/>
      <c r="E48" s="27">
        <v>3246572.0199999991</v>
      </c>
      <c r="F48" s="124">
        <v>2.5603880283911664</v>
      </c>
      <c r="G48" s="26"/>
      <c r="H48" s="29">
        <v>1268000</v>
      </c>
      <c r="I48" s="29">
        <v>243303.46475507764</v>
      </c>
      <c r="J48" s="29">
        <v>262806.1600000069</v>
      </c>
      <c r="K48" s="31">
        <v>1.0801579018390128</v>
      </c>
      <c r="L48" s="39"/>
      <c r="M48" s="29">
        <v>197789.85164766296</v>
      </c>
      <c r="N48" s="29">
        <v>38017.545958090079</v>
      </c>
      <c r="O48" s="27">
        <v>0</v>
      </c>
      <c r="P48" s="29">
        <v>44076.554139999978</v>
      </c>
      <c r="Q48" s="31">
        <v>1.1593739950650483</v>
      </c>
      <c r="R48" s="39"/>
      <c r="S48" s="128">
        <v>0.15598568741929256</v>
      </c>
      <c r="T48" s="128">
        <v>0.16771507235598596</v>
      </c>
      <c r="U48" s="39"/>
      <c r="V48" s="29"/>
      <c r="W48" s="32">
        <v>6.4508206885284292</v>
      </c>
      <c r="X48" s="30" t="s">
        <v>69</v>
      </c>
      <c r="Y48" s="39"/>
      <c r="Z48" s="62"/>
      <c r="AA48" s="27">
        <v>42112.305854241342</v>
      </c>
      <c r="AB48" s="27">
        <v>46315.379999999794</v>
      </c>
      <c r="AC48" s="39"/>
      <c r="AD48" s="29">
        <v>6531.3811164718045</v>
      </c>
      <c r="AE48" s="29">
        <v>8246.8357000000087</v>
      </c>
      <c r="AF48" s="31">
        <v>1.262648060637882</v>
      </c>
      <c r="AG48" s="39"/>
      <c r="AH48" s="29">
        <v>7559.7486599999975</v>
      </c>
      <c r="AI48" s="29">
        <v>229224.45717999991</v>
      </c>
      <c r="AJ48" s="31">
        <v>1.158929314474302</v>
      </c>
      <c r="AK48" s="39"/>
      <c r="AL48" s="80">
        <v>0.15598568741929256</v>
      </c>
      <c r="AM48" s="80">
        <v>0.17805825408320186</v>
      </c>
      <c r="AN48" s="39"/>
      <c r="AO48" s="32">
        <v>0</v>
      </c>
      <c r="AP48" s="31">
        <v>0</v>
      </c>
      <c r="AQ48" s="10"/>
    </row>
    <row r="49" spans="1:43" ht="8" customHeight="1" x14ac:dyDescent="0.3">
      <c r="B49" s="16"/>
      <c r="D49" s="34"/>
      <c r="E49" s="47"/>
      <c r="F49" s="125"/>
      <c r="G49" s="34"/>
      <c r="H49" s="48"/>
      <c r="I49" s="48"/>
      <c r="J49" s="48"/>
      <c r="K49" s="51"/>
      <c r="L49" s="34"/>
      <c r="M49" s="48"/>
      <c r="N49" s="48"/>
      <c r="O49" s="51"/>
      <c r="P49" s="48"/>
      <c r="Q49" s="47"/>
      <c r="R49" s="34"/>
      <c r="S49" s="51"/>
      <c r="T49" s="51"/>
      <c r="U49" s="34"/>
      <c r="V49" s="48"/>
      <c r="W49" s="52"/>
      <c r="X49" s="48"/>
      <c r="Y49" s="34"/>
      <c r="Z49" s="62"/>
      <c r="AA49" s="47"/>
      <c r="AB49" s="47"/>
      <c r="AC49" s="36"/>
      <c r="AD49" s="48"/>
      <c r="AE49" s="48"/>
      <c r="AF49" s="47"/>
      <c r="AG49" s="36"/>
      <c r="AH49" s="48"/>
      <c r="AI49" s="48"/>
      <c r="AJ49" s="47"/>
      <c r="AK49" s="36"/>
      <c r="AL49" s="49"/>
      <c r="AM49" s="53"/>
      <c r="AN49" s="36"/>
      <c r="AO49" s="52"/>
      <c r="AP49" s="47"/>
    </row>
    <row r="50" spans="1:43" ht="12.75" customHeight="1" x14ac:dyDescent="0.3">
      <c r="A50" s="7" t="s">
        <v>17</v>
      </c>
      <c r="B50" s="212" t="s">
        <v>67</v>
      </c>
      <c r="C50" s="6" t="s">
        <v>8</v>
      </c>
      <c r="D50" s="34"/>
      <c r="E50" s="33">
        <v>190123.99000000011</v>
      </c>
      <c r="F50" s="123">
        <v>0.29249844615384629</v>
      </c>
      <c r="G50" s="7"/>
      <c r="H50" s="35">
        <v>650000</v>
      </c>
      <c r="I50" s="35">
        <v>120370.37037037036</v>
      </c>
      <c r="J50" s="35">
        <v>176739.76999999961</v>
      </c>
      <c r="K50" s="70">
        <v>1.4682996276923046</v>
      </c>
      <c r="L50" s="36"/>
      <c r="M50" s="35">
        <v>109850.00000000001</v>
      </c>
      <c r="N50" s="35">
        <v>20342.592592592595</v>
      </c>
      <c r="O50" s="37">
        <v>0</v>
      </c>
      <c r="P50" s="35">
        <v>22779.375599999999</v>
      </c>
      <c r="Q50" s="115">
        <v>1.1197872393263539</v>
      </c>
      <c r="R50" s="36"/>
      <c r="S50" s="127">
        <v>0.16900000000000001</v>
      </c>
      <c r="T50" s="127">
        <v>0.12888652961356717</v>
      </c>
      <c r="U50" s="36"/>
      <c r="V50" s="35"/>
      <c r="W50" s="38">
        <v>-13.1752770754427</v>
      </c>
      <c r="X50" s="69" t="s">
        <v>69</v>
      </c>
      <c r="Y50" s="36"/>
      <c r="Z50" s="62"/>
      <c r="AA50" s="33">
        <v>24074.074074074073</v>
      </c>
      <c r="AB50" s="33">
        <v>28178.05000000001</v>
      </c>
      <c r="AC50" s="36"/>
      <c r="AD50" s="35">
        <v>4068.5185185185192</v>
      </c>
      <c r="AE50" s="35">
        <v>4478.5153500000015</v>
      </c>
      <c r="AF50" s="115">
        <v>1.1007730036413292</v>
      </c>
      <c r="AG50" s="36"/>
      <c r="AH50" s="35">
        <v>4555.8751199999997</v>
      </c>
      <c r="AI50" s="35">
        <v>123008.62823999999</v>
      </c>
      <c r="AJ50" s="115">
        <v>1.1197872393263539</v>
      </c>
      <c r="AK50" s="36"/>
      <c r="AL50" s="108">
        <v>0.16900000000000001</v>
      </c>
      <c r="AM50" s="108">
        <v>0.15893631212947668</v>
      </c>
      <c r="AN50" s="36"/>
      <c r="AO50" s="38">
        <v>-9.7519333310856666</v>
      </c>
      <c r="AP50" s="70">
        <v>0</v>
      </c>
    </row>
    <row r="51" spans="1:43" ht="12.75" customHeight="1" x14ac:dyDescent="0.3">
      <c r="A51" s="7" t="s">
        <v>17</v>
      </c>
      <c r="B51" s="212"/>
      <c r="C51" s="6" t="s">
        <v>9</v>
      </c>
      <c r="D51" s="34"/>
      <c r="E51" s="33">
        <v>86469.399999999965</v>
      </c>
      <c r="F51" s="123">
        <v>0.24705542857142848</v>
      </c>
      <c r="G51" s="7"/>
      <c r="H51" s="35">
        <v>350000</v>
      </c>
      <c r="I51" s="35">
        <v>67741.93548387097</v>
      </c>
      <c r="J51" s="35">
        <v>61197.310000000187</v>
      </c>
      <c r="K51" s="70">
        <v>0.90338886190476464</v>
      </c>
      <c r="L51" s="36"/>
      <c r="M51" s="35">
        <v>69650</v>
      </c>
      <c r="N51" s="35">
        <v>13480.645161290324</v>
      </c>
      <c r="O51" s="37">
        <v>0</v>
      </c>
      <c r="P51" s="35">
        <v>7524.5099999999829</v>
      </c>
      <c r="Q51" s="115">
        <v>0.55817135678391827</v>
      </c>
      <c r="R51" s="36"/>
      <c r="S51" s="127">
        <v>0.19900000000000001</v>
      </c>
      <c r="T51" s="127">
        <v>0.12295491419475725</v>
      </c>
      <c r="U51" s="36"/>
      <c r="V51" s="35"/>
      <c r="W51" s="38">
        <v>-9.2061889648415178</v>
      </c>
      <c r="X51" s="69" t="s">
        <v>69</v>
      </c>
      <c r="Y51" s="36"/>
      <c r="Z51" s="62"/>
      <c r="AA51" s="33">
        <v>11290.322580645161</v>
      </c>
      <c r="AB51" s="33">
        <v>5246.97</v>
      </c>
      <c r="AC51" s="36"/>
      <c r="AD51" s="35">
        <v>2246.7741935483873</v>
      </c>
      <c r="AE51" s="35">
        <v>927.20000000000073</v>
      </c>
      <c r="AF51" s="115">
        <v>0.4126805455850685</v>
      </c>
      <c r="AG51" s="36"/>
      <c r="AH51" s="35">
        <v>1254.0849999999971</v>
      </c>
      <c r="AI51" s="35">
        <v>38876.634999999907</v>
      </c>
      <c r="AJ51" s="115">
        <v>0.55817135678391827</v>
      </c>
      <c r="AK51" s="36"/>
      <c r="AL51" s="108">
        <v>0.19900000000000001</v>
      </c>
      <c r="AM51" s="108">
        <v>0.17671151159621662</v>
      </c>
      <c r="AN51" s="36"/>
      <c r="AO51" s="38">
        <v>0.92624886362989056</v>
      </c>
      <c r="AP51" s="70">
        <v>0</v>
      </c>
    </row>
    <row r="52" spans="1:43" ht="12.75" customHeight="1" x14ac:dyDescent="0.3">
      <c r="A52" s="7" t="s">
        <v>17</v>
      </c>
      <c r="B52" s="212"/>
      <c r="C52" s="6" t="s">
        <v>10</v>
      </c>
      <c r="D52" s="34"/>
      <c r="E52" s="33">
        <v>165550.39000000001</v>
      </c>
      <c r="F52" s="123">
        <v>0.41387597500000006</v>
      </c>
      <c r="G52" s="7"/>
      <c r="H52" s="35">
        <v>400000</v>
      </c>
      <c r="I52" s="35">
        <v>77419.354838709682</v>
      </c>
      <c r="J52" s="35">
        <v>91537.620000000126</v>
      </c>
      <c r="K52" s="70">
        <v>1.1823609250000016</v>
      </c>
      <c r="L52" s="36"/>
      <c r="M52" s="35">
        <v>83073.857440670137</v>
      </c>
      <c r="N52" s="35">
        <v>16078.811117549058</v>
      </c>
      <c r="O52" s="37">
        <v>0</v>
      </c>
      <c r="P52" s="35">
        <v>16636.917449999972</v>
      </c>
      <c r="Q52" s="115">
        <v>1.034710671601943</v>
      </c>
      <c r="R52" s="36"/>
      <c r="S52" s="127">
        <v>0.20768464360167535</v>
      </c>
      <c r="T52" s="127">
        <v>0.18174950856270841</v>
      </c>
      <c r="U52" s="36"/>
      <c r="V52" s="35"/>
      <c r="W52" s="38">
        <v>-3.5996266343824761</v>
      </c>
      <c r="X52" s="69" t="s">
        <v>69</v>
      </c>
      <c r="Y52" s="36"/>
      <c r="Z52" s="62"/>
      <c r="AA52" s="33">
        <v>12903.225806451614</v>
      </c>
      <c r="AB52" s="33">
        <v>9921.3999999999869</v>
      </c>
      <c r="AC52" s="36"/>
      <c r="AD52" s="35">
        <v>2679.8018529248429</v>
      </c>
      <c r="AE52" s="35">
        <v>1903.0894000000005</v>
      </c>
      <c r="AF52" s="115">
        <v>0.71016049112843649</v>
      </c>
      <c r="AG52" s="36"/>
      <c r="AH52" s="35">
        <v>2772.8195749999954</v>
      </c>
      <c r="AI52" s="35">
        <v>85957.406824999853</v>
      </c>
      <c r="AJ52" s="115">
        <v>1.0347106716019427</v>
      </c>
      <c r="AK52" s="36"/>
      <c r="AL52" s="108">
        <v>0.20768464360167535</v>
      </c>
      <c r="AM52" s="108">
        <v>0.19181661862237215</v>
      </c>
      <c r="AN52" s="36"/>
      <c r="AO52" s="38">
        <v>2.2212530489646998</v>
      </c>
      <c r="AP52" s="70">
        <v>0</v>
      </c>
    </row>
    <row r="53" spans="1:43" ht="12.75" customHeight="1" x14ac:dyDescent="0.3">
      <c r="A53" s="7" t="s">
        <v>17</v>
      </c>
      <c r="B53" s="212"/>
      <c r="C53" s="6" t="s">
        <v>12</v>
      </c>
      <c r="D53" s="34"/>
      <c r="E53" s="33">
        <v>58858.48000000001</v>
      </c>
      <c r="F53" s="123">
        <v>8.6556588235294135E-2</v>
      </c>
      <c r="G53" s="7"/>
      <c r="H53" s="35">
        <v>680000</v>
      </c>
      <c r="I53" s="35">
        <v>125925.92592592593</v>
      </c>
      <c r="J53" s="35">
        <v>192465.78</v>
      </c>
      <c r="K53" s="70">
        <v>1.5284047235294118</v>
      </c>
      <c r="L53" s="36"/>
      <c r="M53" s="35">
        <v>146200</v>
      </c>
      <c r="N53" s="35">
        <v>27074.074074074073</v>
      </c>
      <c r="O53" s="37">
        <v>17340.25</v>
      </c>
      <c r="P53" s="35">
        <v>48946.899999999987</v>
      </c>
      <c r="Q53" s="115">
        <v>1.8078882352941172</v>
      </c>
      <c r="R53" s="36"/>
      <c r="S53" s="127">
        <v>0.215</v>
      </c>
      <c r="T53" s="127">
        <v>0.25431481897717084</v>
      </c>
      <c r="U53" s="36"/>
      <c r="V53" s="35"/>
      <c r="W53" s="38">
        <v>-7.5832597358345648</v>
      </c>
      <c r="X53" s="69" t="s">
        <v>69</v>
      </c>
      <c r="Y53" s="36"/>
      <c r="Z53" s="62"/>
      <c r="AA53" s="33">
        <v>25185.185185185186</v>
      </c>
      <c r="AB53" s="33">
        <v>57989.01</v>
      </c>
      <c r="AC53" s="36"/>
      <c r="AD53" s="35">
        <v>5414.8148148148148</v>
      </c>
      <c r="AE53" s="35">
        <v>10599.24</v>
      </c>
      <c r="AF53" s="115">
        <v>1.9574519835841313</v>
      </c>
      <c r="AG53" s="36"/>
      <c r="AH53" s="35">
        <v>9789.3799999999974</v>
      </c>
      <c r="AI53" s="35">
        <v>264313.25999999995</v>
      </c>
      <c r="AJ53" s="115">
        <v>1.8078882352941172</v>
      </c>
      <c r="AK53" s="36"/>
      <c r="AL53" s="108">
        <v>0.215</v>
      </c>
      <c r="AM53" s="108">
        <v>0.18278015092859837</v>
      </c>
      <c r="AN53" s="36"/>
      <c r="AO53" s="38">
        <v>-1.6293949491463906</v>
      </c>
      <c r="AP53" s="70">
        <v>0</v>
      </c>
    </row>
    <row r="54" spans="1:43" s="15" customFormat="1" ht="14.25" customHeight="1" x14ac:dyDescent="0.3">
      <c r="A54" s="26"/>
      <c r="B54" s="212"/>
      <c r="C54" s="9" t="s">
        <v>71</v>
      </c>
      <c r="D54" s="28"/>
      <c r="E54" s="27">
        <v>501002.26000000013</v>
      </c>
      <c r="F54" s="124">
        <v>0.24086647115384621</v>
      </c>
      <c r="G54" s="26"/>
      <c r="H54" s="29">
        <v>2080000</v>
      </c>
      <c r="I54" s="29">
        <v>391457.5866188769</v>
      </c>
      <c r="J54" s="29">
        <v>521940.47999999986</v>
      </c>
      <c r="K54" s="31">
        <v>1.3333257493056614</v>
      </c>
      <c r="L54" s="39"/>
      <c r="M54" s="29">
        <v>408773.85744067014</v>
      </c>
      <c r="N54" s="29">
        <v>76976.122945506038</v>
      </c>
      <c r="O54" s="27">
        <v>17340.25</v>
      </c>
      <c r="P54" s="29">
        <v>95887.703049999953</v>
      </c>
      <c r="Q54" s="31">
        <v>1.2456811200777422</v>
      </c>
      <c r="R54" s="39"/>
      <c r="S54" s="128">
        <v>0.19652589300032219</v>
      </c>
      <c r="T54" s="128">
        <v>0.18371386532426068</v>
      </c>
      <c r="U54" s="39"/>
      <c r="V54" s="29"/>
      <c r="W54" s="32">
        <v>-8.9684722192844202</v>
      </c>
      <c r="X54" s="30" t="s">
        <v>69</v>
      </c>
      <c r="Y54" s="39"/>
      <c r="Z54" s="62"/>
      <c r="AA54" s="27">
        <v>73452.807646356028</v>
      </c>
      <c r="AB54" s="27">
        <v>101335.43</v>
      </c>
      <c r="AC54" s="39"/>
      <c r="AD54" s="29">
        <v>14409.909379806562</v>
      </c>
      <c r="AE54" s="29">
        <v>17908.044750000001</v>
      </c>
      <c r="AF54" s="31">
        <v>1.2427590124262389</v>
      </c>
      <c r="AG54" s="39"/>
      <c r="AH54" s="29">
        <v>18372.159694999988</v>
      </c>
      <c r="AI54" s="29">
        <v>512155.93006499967</v>
      </c>
      <c r="AJ54" s="31">
        <v>1.2529077404108078</v>
      </c>
      <c r="AK54" s="39"/>
      <c r="AL54" s="80">
        <v>0.19652589300032219</v>
      </c>
      <c r="AM54" s="80">
        <v>0.17672046933634172</v>
      </c>
      <c r="AN54" s="39"/>
      <c r="AO54" s="32">
        <v>0</v>
      </c>
      <c r="AP54" s="31">
        <v>0</v>
      </c>
      <c r="AQ54" s="10"/>
    </row>
    <row r="55" spans="1:43" ht="8" customHeight="1" x14ac:dyDescent="0.3">
      <c r="B55" s="16"/>
      <c r="D55" s="34"/>
      <c r="E55" s="47"/>
      <c r="F55" s="125"/>
      <c r="G55" s="34"/>
      <c r="H55" s="48"/>
      <c r="I55" s="48"/>
      <c r="J55" s="48"/>
      <c r="K55" s="51"/>
      <c r="L55" s="34"/>
      <c r="M55" s="48"/>
      <c r="N55" s="48"/>
      <c r="O55" s="51"/>
      <c r="P55" s="48"/>
      <c r="Q55" s="47"/>
      <c r="R55" s="34"/>
      <c r="S55" s="51"/>
      <c r="T55" s="51"/>
      <c r="U55" s="34"/>
      <c r="V55" s="48"/>
      <c r="W55" s="52"/>
      <c r="X55" s="48"/>
      <c r="Y55" s="34"/>
      <c r="Z55" s="62"/>
      <c r="AA55" s="47"/>
      <c r="AB55" s="47"/>
      <c r="AC55" s="36"/>
      <c r="AD55" s="48"/>
      <c r="AE55" s="48"/>
      <c r="AF55" s="47"/>
      <c r="AG55" s="36"/>
      <c r="AH55" s="48"/>
      <c r="AI55" s="48"/>
      <c r="AJ55" s="47"/>
      <c r="AK55" s="36"/>
      <c r="AL55" s="49"/>
      <c r="AM55" s="53"/>
      <c r="AN55" s="36"/>
      <c r="AO55" s="52"/>
      <c r="AP55" s="47"/>
    </row>
    <row r="56" spans="1:43" ht="12.75" customHeight="1" x14ac:dyDescent="0.3">
      <c r="A56" s="7" t="s">
        <v>21</v>
      </c>
      <c r="B56" s="212" t="s">
        <v>75</v>
      </c>
      <c r="C56" s="6" t="s">
        <v>8</v>
      </c>
      <c r="D56" s="34"/>
      <c r="E56" s="33">
        <v>332641.31000000011</v>
      </c>
      <c r="F56" s="123">
        <v>4.4649840268456389</v>
      </c>
      <c r="G56" s="7"/>
      <c r="H56" s="35">
        <v>74500</v>
      </c>
      <c r="I56" s="35">
        <v>13796.296296296296</v>
      </c>
      <c r="J56" s="35">
        <v>17481.019999999866</v>
      </c>
      <c r="K56" s="70">
        <v>1.2670806442952924</v>
      </c>
      <c r="L56" s="36"/>
      <c r="M56" s="35">
        <v>16315.5</v>
      </c>
      <c r="N56" s="35">
        <v>3021.3888888888891</v>
      </c>
      <c r="O56" s="37">
        <v>0</v>
      </c>
      <c r="P56" s="35">
        <v>4037.8000000000043</v>
      </c>
      <c r="Q56" s="115">
        <v>1.33640525880298</v>
      </c>
      <c r="R56" s="36"/>
      <c r="S56" s="127">
        <v>0.219</v>
      </c>
      <c r="T56" s="127">
        <v>0.23098194498948205</v>
      </c>
      <c r="U56" s="36"/>
      <c r="V56" s="35"/>
      <c r="W56" s="38">
        <v>11.688105156334595</v>
      </c>
      <c r="X56" s="69" t="s">
        <v>69</v>
      </c>
      <c r="Y56" s="36"/>
      <c r="Z56" s="62"/>
      <c r="AA56" s="33">
        <v>2759.2592592592591</v>
      </c>
      <c r="AB56" s="33">
        <v>2643.4099999999976</v>
      </c>
      <c r="AC56" s="36"/>
      <c r="AD56" s="35">
        <v>604.27777777777783</v>
      </c>
      <c r="AE56" s="35">
        <v>620.77000000000021</v>
      </c>
      <c r="AF56" s="115">
        <v>1.0272924519628577</v>
      </c>
      <c r="AG56" s="36"/>
      <c r="AH56" s="35">
        <v>807.56000000000085</v>
      </c>
      <c r="AI56" s="35">
        <v>21804.120000000024</v>
      </c>
      <c r="AJ56" s="115">
        <v>1.3364052588029802</v>
      </c>
      <c r="AK56" s="36"/>
      <c r="AL56" s="108">
        <v>0.219</v>
      </c>
      <c r="AM56" s="108">
        <v>0.2348368206218486</v>
      </c>
      <c r="AN56" s="36"/>
      <c r="AO56" s="38">
        <v>12.237602188082683</v>
      </c>
      <c r="AP56" s="70">
        <v>0</v>
      </c>
    </row>
    <row r="57" spans="1:43" ht="12.75" customHeight="1" x14ac:dyDescent="0.3">
      <c r="A57" s="7" t="s">
        <v>21</v>
      </c>
      <c r="B57" s="212"/>
      <c r="C57" s="6" t="s">
        <v>9</v>
      </c>
      <c r="D57" s="34"/>
      <c r="E57" s="33">
        <v>464865.85000000009</v>
      </c>
      <c r="F57" s="123">
        <v>2.3243292500000003</v>
      </c>
      <c r="G57" s="7"/>
      <c r="H57" s="35">
        <v>200000</v>
      </c>
      <c r="I57" s="35">
        <v>38709.677419354841</v>
      </c>
      <c r="J57" s="35">
        <v>47206.520000000652</v>
      </c>
      <c r="K57" s="70">
        <v>1.2195017666666834</v>
      </c>
      <c r="L57" s="36"/>
      <c r="M57" s="35">
        <v>42000</v>
      </c>
      <c r="N57" s="35">
        <v>8129.0322580645152</v>
      </c>
      <c r="O57" s="37">
        <v>0</v>
      </c>
      <c r="P57" s="35">
        <v>9981.4500000000207</v>
      </c>
      <c r="Q57" s="115">
        <v>1.2278767857142885</v>
      </c>
      <c r="R57" s="36"/>
      <c r="S57" s="127">
        <v>0.21</v>
      </c>
      <c r="T57" s="127">
        <v>0.21144219061265018</v>
      </c>
      <c r="U57" s="36"/>
      <c r="V57" s="35"/>
      <c r="W57" s="38">
        <v>9.5190240670159874</v>
      </c>
      <c r="X57" s="69" t="s">
        <v>69</v>
      </c>
      <c r="Y57" s="36"/>
      <c r="Z57" s="62"/>
      <c r="AA57" s="33">
        <v>6451.6129032258068</v>
      </c>
      <c r="AB57" s="33">
        <v>6842.4999999999518</v>
      </c>
      <c r="AC57" s="36"/>
      <c r="AD57" s="35">
        <v>1354.8387096774193</v>
      </c>
      <c r="AE57" s="35">
        <v>1483.3200000000004</v>
      </c>
      <c r="AF57" s="115">
        <v>1.0948314285714289</v>
      </c>
      <c r="AG57" s="36"/>
      <c r="AH57" s="35">
        <v>1663.5750000000035</v>
      </c>
      <c r="AI57" s="35">
        <v>51570.825000000106</v>
      </c>
      <c r="AJ57" s="115">
        <v>1.2278767857142883</v>
      </c>
      <c r="AK57" s="36"/>
      <c r="AL57" s="108">
        <v>0.21</v>
      </c>
      <c r="AM57" s="108">
        <v>0.21678041651443344</v>
      </c>
      <c r="AN57" s="36"/>
      <c r="AO57" s="38">
        <v>9.6800876872481982</v>
      </c>
      <c r="AP57" s="70">
        <v>0</v>
      </c>
    </row>
    <row r="58" spans="1:43" ht="12.75" customHeight="1" x14ac:dyDescent="0.3">
      <c r="A58" s="7" t="s">
        <v>21</v>
      </c>
      <c r="B58" s="212"/>
      <c r="C58" s="6" t="s">
        <v>10</v>
      </c>
      <c r="D58" s="34"/>
      <c r="E58" s="33">
        <v>583709.88999999932</v>
      </c>
      <c r="F58" s="123">
        <v>2.7795709047619015</v>
      </c>
      <c r="G58" s="7"/>
      <c r="H58" s="35">
        <v>210000</v>
      </c>
      <c r="I58" s="35">
        <v>40645.161290322576</v>
      </c>
      <c r="J58" s="35">
        <v>53308.050000000461</v>
      </c>
      <c r="K58" s="70">
        <v>1.3115472619047734</v>
      </c>
      <c r="L58" s="36"/>
      <c r="M58" s="35">
        <v>45990</v>
      </c>
      <c r="N58" s="35">
        <v>8901.290322580644</v>
      </c>
      <c r="O58" s="37">
        <v>0</v>
      </c>
      <c r="P58" s="35">
        <v>10415.480000000005</v>
      </c>
      <c r="Q58" s="115">
        <v>1.1701090092049002</v>
      </c>
      <c r="R58" s="36"/>
      <c r="S58" s="127">
        <v>0.219</v>
      </c>
      <c r="T58" s="127">
        <v>0.19538287369355875</v>
      </c>
      <c r="U58" s="36"/>
      <c r="V58" s="35"/>
      <c r="W58" s="38">
        <v>8.125151829790509</v>
      </c>
      <c r="X58" s="69" t="s">
        <v>69</v>
      </c>
      <c r="Y58" s="36"/>
      <c r="Z58" s="62"/>
      <c r="AA58" s="33">
        <v>6774.1935483870966</v>
      </c>
      <c r="AB58" s="33">
        <v>8607.0399999999354</v>
      </c>
      <c r="AC58" s="36"/>
      <c r="AD58" s="35">
        <v>1483.5483870967741</v>
      </c>
      <c r="AE58" s="35">
        <v>1716.21</v>
      </c>
      <c r="AF58" s="115">
        <v>1.1568277886497065</v>
      </c>
      <c r="AG58" s="36"/>
      <c r="AH58" s="35">
        <v>1735.9133333333341</v>
      </c>
      <c r="AI58" s="35">
        <v>53813.313333333354</v>
      </c>
      <c r="AJ58" s="115">
        <v>1.1701090092049</v>
      </c>
      <c r="AK58" s="36"/>
      <c r="AL58" s="108">
        <v>0.219</v>
      </c>
      <c r="AM58" s="108">
        <v>0.19939607577053353</v>
      </c>
      <c r="AN58" s="36"/>
      <c r="AO58" s="38">
        <v>8.3826727887860919</v>
      </c>
      <c r="AP58" s="70">
        <v>0</v>
      </c>
    </row>
    <row r="59" spans="1:43" ht="12.75" customHeight="1" x14ac:dyDescent="0.3">
      <c r="A59" s="7" t="s">
        <v>21</v>
      </c>
      <c r="B59" s="212"/>
      <c r="C59" s="6" t="s">
        <v>12</v>
      </c>
      <c r="D59" s="34"/>
      <c r="E59" s="33">
        <v>31394.959999999995</v>
      </c>
      <c r="F59" s="123">
        <v>3.4883288888888884</v>
      </c>
      <c r="G59" s="7"/>
      <c r="H59" s="35">
        <v>9000</v>
      </c>
      <c r="I59" s="35">
        <v>1666.6666666666665</v>
      </c>
      <c r="J59" s="35">
        <v>2303.8199999999983</v>
      </c>
      <c r="K59" s="70">
        <v>1.3822919999999992</v>
      </c>
      <c r="L59" s="36"/>
      <c r="M59" s="35">
        <v>900</v>
      </c>
      <c r="N59" s="35">
        <v>166.66666666666669</v>
      </c>
      <c r="O59" s="37">
        <v>0</v>
      </c>
      <c r="P59" s="35">
        <v>360.47</v>
      </c>
      <c r="Q59" s="115">
        <v>2.16282</v>
      </c>
      <c r="R59" s="36"/>
      <c r="S59" s="127">
        <v>0.1</v>
      </c>
      <c r="T59" s="127">
        <v>0.15646621697875715</v>
      </c>
      <c r="U59" s="36"/>
      <c r="V59" s="35"/>
      <c r="W59" s="38">
        <v>5.5394952730681091</v>
      </c>
      <c r="X59" s="69" t="s">
        <v>69</v>
      </c>
      <c r="Y59" s="36"/>
      <c r="Z59" s="62"/>
      <c r="AA59" s="33">
        <v>333.33333333333331</v>
      </c>
      <c r="AB59" s="33">
        <v>289.5</v>
      </c>
      <c r="AC59" s="36"/>
      <c r="AD59" s="35">
        <v>33.333333333333336</v>
      </c>
      <c r="AE59" s="35">
        <v>113.99000000000001</v>
      </c>
      <c r="AF59" s="115">
        <v>3.4197000000000002</v>
      </c>
      <c r="AG59" s="36"/>
      <c r="AH59" s="35">
        <v>72.094000000000008</v>
      </c>
      <c r="AI59" s="35">
        <v>1946.5380000000002</v>
      </c>
      <c r="AJ59" s="115">
        <v>2.1628200000000004</v>
      </c>
      <c r="AK59" s="36"/>
      <c r="AL59" s="108">
        <v>0.1</v>
      </c>
      <c r="AM59" s="108">
        <v>0.3937478411053541</v>
      </c>
      <c r="AN59" s="36"/>
      <c r="AO59" s="38">
        <v>27.640759930915387</v>
      </c>
      <c r="AP59" s="70">
        <v>0</v>
      </c>
    </row>
    <row r="60" spans="1:43" s="15" customFormat="1" ht="14.25" customHeight="1" x14ac:dyDescent="0.3">
      <c r="A60" s="26"/>
      <c r="B60" s="212"/>
      <c r="C60" s="9" t="s">
        <v>78</v>
      </c>
      <c r="D60" s="28"/>
      <c r="E60" s="27">
        <v>1412612.0099999993</v>
      </c>
      <c r="F60" s="124">
        <v>2.8624356838905762</v>
      </c>
      <c r="G60" s="26"/>
      <c r="H60" s="29">
        <v>493500</v>
      </c>
      <c r="I60" s="29">
        <v>94817.801672640388</v>
      </c>
      <c r="J60" s="29">
        <v>120299.41000000098</v>
      </c>
      <c r="K60" s="31">
        <v>1.2687428718853466</v>
      </c>
      <c r="L60" s="39"/>
      <c r="M60" s="29">
        <v>105205.5</v>
      </c>
      <c r="N60" s="29">
        <v>20218.378136200718</v>
      </c>
      <c r="O60" s="27">
        <v>0</v>
      </c>
      <c r="P60" s="29">
        <v>24795.200000000033</v>
      </c>
      <c r="Q60" s="31">
        <v>1.2263693869492223</v>
      </c>
      <c r="R60" s="39"/>
      <c r="S60" s="128">
        <v>0.21318237082066868</v>
      </c>
      <c r="T60" s="128">
        <v>0.20611239905498982</v>
      </c>
      <c r="U60" s="39"/>
      <c r="V60" s="29"/>
      <c r="W60" s="32">
        <v>9.1403440798265159</v>
      </c>
      <c r="X60" s="30" t="s">
        <v>69</v>
      </c>
      <c r="Y60" s="39"/>
      <c r="Z60" s="62"/>
      <c r="AA60" s="27">
        <v>16318.399044205496</v>
      </c>
      <c r="AB60" s="27">
        <v>18382.449999999884</v>
      </c>
      <c r="AC60" s="39"/>
      <c r="AD60" s="29">
        <v>3475.998207885305</v>
      </c>
      <c r="AE60" s="29">
        <v>3934.2900000000009</v>
      </c>
      <c r="AF60" s="31">
        <v>1.131844657190864</v>
      </c>
      <c r="AG60" s="39"/>
      <c r="AH60" s="29">
        <v>4279.1423333333387</v>
      </c>
      <c r="AI60" s="29">
        <v>129134.79633333348</v>
      </c>
      <c r="AJ60" s="31">
        <v>1.2274529024940091</v>
      </c>
      <c r="AK60" s="39"/>
      <c r="AL60" s="80">
        <v>0.21318237082066868</v>
      </c>
      <c r="AM60" s="80">
        <v>0.21402424595198277</v>
      </c>
      <c r="AN60" s="39"/>
      <c r="AO60" s="32">
        <v>0</v>
      </c>
      <c r="AP60" s="31">
        <v>0</v>
      </c>
      <c r="AQ60" s="10"/>
    </row>
    <row r="61" spans="1:43" ht="8" customHeight="1" x14ac:dyDescent="0.3">
      <c r="B61" s="16"/>
      <c r="D61" s="34"/>
      <c r="E61" s="47"/>
      <c r="F61" s="125"/>
      <c r="G61" s="34"/>
      <c r="H61" s="48"/>
      <c r="I61" s="48"/>
      <c r="J61" s="48"/>
      <c r="K61" s="51"/>
      <c r="L61" s="34"/>
      <c r="M61" s="48"/>
      <c r="N61" s="48"/>
      <c r="O61" s="51"/>
      <c r="P61" s="48"/>
      <c r="Q61" s="47"/>
      <c r="R61" s="34"/>
      <c r="S61" s="51"/>
      <c r="T61" s="51"/>
      <c r="U61" s="34"/>
      <c r="V61" s="48"/>
      <c r="W61" s="52"/>
      <c r="X61" s="48"/>
      <c r="Y61" s="34"/>
      <c r="Z61" s="62"/>
      <c r="AA61" s="47"/>
      <c r="AB61" s="47"/>
      <c r="AC61" s="36"/>
      <c r="AD61" s="48"/>
      <c r="AE61" s="48"/>
      <c r="AF61" s="47"/>
      <c r="AG61" s="36"/>
      <c r="AH61" s="48"/>
      <c r="AI61" s="48"/>
      <c r="AJ61" s="47"/>
      <c r="AK61" s="36"/>
      <c r="AL61" s="49"/>
      <c r="AM61" s="53"/>
      <c r="AN61" s="36"/>
      <c r="AO61" s="52"/>
      <c r="AP61" s="47"/>
    </row>
    <row r="62" spans="1:43" ht="12.75" customHeight="1" x14ac:dyDescent="0.3">
      <c r="A62" s="7" t="s">
        <v>22</v>
      </c>
      <c r="B62" s="211" t="s">
        <v>55</v>
      </c>
      <c r="C62" s="6" t="s">
        <v>8</v>
      </c>
      <c r="D62" s="34"/>
      <c r="E62" s="33">
        <v>203849.71</v>
      </c>
      <c r="F62" s="123">
        <v>0.16114601581027668</v>
      </c>
      <c r="G62" s="7"/>
      <c r="H62" s="35">
        <v>1265000</v>
      </c>
      <c r="I62" s="35">
        <v>234259.25925925927</v>
      </c>
      <c r="J62" s="35">
        <v>246234.41000000012</v>
      </c>
      <c r="K62" s="70">
        <v>1.0511192205533602</v>
      </c>
      <c r="L62" s="36"/>
      <c r="M62" s="35">
        <v>50600</v>
      </c>
      <c r="N62" s="35">
        <v>9370.3703703703704</v>
      </c>
      <c r="O62" s="37">
        <v>0</v>
      </c>
      <c r="P62" s="35">
        <v>16430.910899999992</v>
      </c>
      <c r="Q62" s="115">
        <v>1.7534964201581018</v>
      </c>
      <c r="R62" s="36"/>
      <c r="S62" s="127">
        <v>0.04</v>
      </c>
      <c r="T62" s="127">
        <v>6.6728735841590878E-2</v>
      </c>
      <c r="U62" s="36"/>
      <c r="V62" s="35"/>
      <c r="W62" s="38">
        <v>-7.4351911660112249</v>
      </c>
      <c r="X62" s="69" t="s">
        <v>69</v>
      </c>
      <c r="Y62" s="36"/>
      <c r="Z62" s="62"/>
      <c r="AA62" s="33">
        <v>46851.851851851854</v>
      </c>
      <c r="AB62" s="33">
        <v>40820.22</v>
      </c>
      <c r="AC62" s="36"/>
      <c r="AD62" s="35">
        <v>1874.0740740740741</v>
      </c>
      <c r="AE62" s="35">
        <v>3278.2327999999998</v>
      </c>
      <c r="AF62" s="115">
        <v>1.7492546561264821</v>
      </c>
      <c r="AG62" s="36"/>
      <c r="AH62" s="35">
        <v>3286.1821799999984</v>
      </c>
      <c r="AI62" s="35">
        <v>88726.918859999962</v>
      </c>
      <c r="AJ62" s="115">
        <v>1.753496420158102</v>
      </c>
      <c r="AK62" s="36"/>
      <c r="AL62" s="108">
        <v>0.04</v>
      </c>
      <c r="AM62" s="108">
        <v>8.0309042920395812E-2</v>
      </c>
      <c r="AN62" s="36"/>
      <c r="AO62" s="38">
        <v>-6.1128950309430357</v>
      </c>
      <c r="AP62" s="70">
        <v>0</v>
      </c>
    </row>
    <row r="63" spans="1:43" ht="12.75" customHeight="1" x14ac:dyDescent="0.3">
      <c r="A63" s="7" t="s">
        <v>22</v>
      </c>
      <c r="B63" s="211"/>
      <c r="C63" s="6" t="s">
        <v>9</v>
      </c>
      <c r="D63" s="34"/>
      <c r="E63" s="33">
        <v>234074.00000000012</v>
      </c>
      <c r="F63" s="123">
        <v>0.27538117647058835</v>
      </c>
      <c r="G63" s="7"/>
      <c r="H63" s="35">
        <v>850000</v>
      </c>
      <c r="I63" s="35">
        <v>164516.12903225806</v>
      </c>
      <c r="J63" s="35">
        <v>127269.62000000097</v>
      </c>
      <c r="K63" s="70">
        <v>0.77359965098039807</v>
      </c>
      <c r="L63" s="36"/>
      <c r="M63" s="35">
        <v>68000</v>
      </c>
      <c r="N63" s="35">
        <v>13161.290322580644</v>
      </c>
      <c r="O63" s="37">
        <v>0</v>
      </c>
      <c r="P63" s="35">
        <v>17212.949999999986</v>
      </c>
      <c r="Q63" s="115">
        <v>1.3078466911764697</v>
      </c>
      <c r="R63" s="36"/>
      <c r="S63" s="127">
        <v>0.08</v>
      </c>
      <c r="T63" s="127">
        <v>0.13524790912395163</v>
      </c>
      <c r="U63" s="36"/>
      <c r="V63" s="35"/>
      <c r="W63" s="38">
        <v>1.4390629908383954</v>
      </c>
      <c r="X63" s="69" t="s">
        <v>69</v>
      </c>
      <c r="Y63" s="36"/>
      <c r="Z63" s="62"/>
      <c r="AA63" s="33">
        <v>27419.354838709678</v>
      </c>
      <c r="AB63" s="33">
        <v>17410.069999999992</v>
      </c>
      <c r="AC63" s="36"/>
      <c r="AD63" s="35">
        <v>2193.5483870967741</v>
      </c>
      <c r="AE63" s="35">
        <v>2822.7400000000002</v>
      </c>
      <c r="AF63" s="115">
        <v>1.2868373529411765</v>
      </c>
      <c r="AG63" s="36"/>
      <c r="AH63" s="35">
        <v>2868.8249999999975</v>
      </c>
      <c r="AI63" s="35">
        <v>88933.574999999924</v>
      </c>
      <c r="AJ63" s="115">
        <v>1.3078466911764695</v>
      </c>
      <c r="AK63" s="36"/>
      <c r="AL63" s="108">
        <v>0.08</v>
      </c>
      <c r="AM63" s="108">
        <v>0.16213260486603451</v>
      </c>
      <c r="AN63" s="36"/>
      <c r="AO63" s="38">
        <v>4.131402113834115</v>
      </c>
      <c r="AP63" s="70">
        <v>0</v>
      </c>
    </row>
    <row r="64" spans="1:43" ht="12.75" customHeight="1" x14ac:dyDescent="0.3">
      <c r="A64" s="7" t="s">
        <v>22</v>
      </c>
      <c r="B64" s="211"/>
      <c r="C64" s="6" t="s">
        <v>10</v>
      </c>
      <c r="D64" s="34"/>
      <c r="E64" s="33">
        <v>334554.55999999976</v>
      </c>
      <c r="F64" s="123">
        <v>0.43448644155844124</v>
      </c>
      <c r="G64" s="7"/>
      <c r="H64" s="35">
        <v>770000</v>
      </c>
      <c r="I64" s="35">
        <v>149032.25806451612</v>
      </c>
      <c r="J64" s="35">
        <v>157981.76000000001</v>
      </c>
      <c r="K64" s="70">
        <v>1.0600507705627706</v>
      </c>
      <c r="L64" s="36"/>
      <c r="M64" s="35">
        <v>76230</v>
      </c>
      <c r="N64" s="35">
        <v>14754.193548387097</v>
      </c>
      <c r="O64" s="37">
        <v>0</v>
      </c>
      <c r="P64" s="35">
        <v>20689.718999999968</v>
      </c>
      <c r="Q64" s="115">
        <v>1.4022941296077638</v>
      </c>
      <c r="R64" s="36"/>
      <c r="S64" s="127">
        <v>9.9000000000000005E-2</v>
      </c>
      <c r="T64" s="127">
        <v>0.1309627073403915</v>
      </c>
      <c r="U64" s="36"/>
      <c r="V64" s="35"/>
      <c r="W64" s="38">
        <v>0.71239806418125651</v>
      </c>
      <c r="X64" s="69" t="s">
        <v>69</v>
      </c>
      <c r="Y64" s="36"/>
      <c r="Z64" s="62"/>
      <c r="AA64" s="33">
        <v>24838.709677419356</v>
      </c>
      <c r="AB64" s="33">
        <v>26063.940000000002</v>
      </c>
      <c r="AC64" s="36"/>
      <c r="AD64" s="35">
        <v>2459.0322580645161</v>
      </c>
      <c r="AE64" s="35">
        <v>3666.4334499999977</v>
      </c>
      <c r="AF64" s="115">
        <v>1.4910066502689221</v>
      </c>
      <c r="AG64" s="36"/>
      <c r="AH64" s="35">
        <v>3448.2864999999947</v>
      </c>
      <c r="AI64" s="35">
        <v>106896.88149999984</v>
      </c>
      <c r="AJ64" s="115">
        <v>1.402294129607764</v>
      </c>
      <c r="AK64" s="36"/>
      <c r="AL64" s="108">
        <v>9.9000000000000005E-2</v>
      </c>
      <c r="AM64" s="108">
        <v>0.14067072936785449</v>
      </c>
      <c r="AN64" s="36"/>
      <c r="AO64" s="38">
        <v>1.6153484469346631</v>
      </c>
      <c r="AP64" s="70">
        <v>0</v>
      </c>
    </row>
    <row r="65" spans="1:43" ht="12.75" customHeight="1" x14ac:dyDescent="0.3">
      <c r="A65" s="7" t="s">
        <v>22</v>
      </c>
      <c r="B65" s="211"/>
      <c r="C65" s="6" t="s">
        <v>12</v>
      </c>
      <c r="D65" s="34"/>
      <c r="E65" s="33">
        <v>67275.570000000007</v>
      </c>
      <c r="F65" s="123">
        <v>7.9428063754427403E-2</v>
      </c>
      <c r="G65" s="7"/>
      <c r="H65" s="35">
        <v>847000</v>
      </c>
      <c r="I65" s="35">
        <v>156851.85185185185</v>
      </c>
      <c r="J65" s="35">
        <v>54330.490000000034</v>
      </c>
      <c r="K65" s="70">
        <v>0.34638092798111003</v>
      </c>
      <c r="L65" s="36"/>
      <c r="M65" s="35">
        <v>80514.327039680356</v>
      </c>
      <c r="N65" s="35">
        <v>14910.060562903771</v>
      </c>
      <c r="O65" s="37">
        <v>0</v>
      </c>
      <c r="P65" s="35">
        <v>774.25999999999794</v>
      </c>
      <c r="Q65" s="115">
        <v>5.1928695844895276E-2</v>
      </c>
      <c r="R65" s="36"/>
      <c r="S65" s="127">
        <v>9.5058237354994524E-2</v>
      </c>
      <c r="T65" s="127">
        <v>1.4250929818597208E-2</v>
      </c>
      <c r="U65" s="36"/>
      <c r="V65" s="35"/>
      <c r="W65" s="38">
        <v>-12.858856969631539</v>
      </c>
      <c r="X65" s="69" t="s">
        <v>69</v>
      </c>
      <c r="Y65" s="36"/>
      <c r="Z65" s="62"/>
      <c r="AA65" s="33">
        <v>31370.370370370369</v>
      </c>
      <c r="AB65" s="33">
        <v>13182.259999999997</v>
      </c>
      <c r="AC65" s="36"/>
      <c r="AD65" s="35">
        <v>2982.0121125807541</v>
      </c>
      <c r="AE65" s="35">
        <v>1339.1099999999997</v>
      </c>
      <c r="AF65" s="115">
        <v>0.44906256227144553</v>
      </c>
      <c r="AG65" s="36"/>
      <c r="AH65" s="35">
        <v>154.85199999999958</v>
      </c>
      <c r="AI65" s="35">
        <v>4181.003999999989</v>
      </c>
      <c r="AJ65" s="115">
        <v>5.1928695844895283E-2</v>
      </c>
      <c r="AK65" s="36"/>
      <c r="AL65" s="108">
        <v>9.5058237354994524E-2</v>
      </c>
      <c r="AM65" s="108">
        <v>0.10158425034857453</v>
      </c>
      <c r="AN65" s="36"/>
      <c r="AO65" s="38">
        <v>-3.9735219909181345</v>
      </c>
      <c r="AP65" s="70">
        <v>0</v>
      </c>
    </row>
    <row r="66" spans="1:43" s="15" customFormat="1" ht="14.25" customHeight="1" x14ac:dyDescent="0.3">
      <c r="A66" s="26"/>
      <c r="B66" s="211"/>
      <c r="C66" s="9" t="s">
        <v>56</v>
      </c>
      <c r="D66" s="28"/>
      <c r="E66" s="27">
        <v>839753.83999999985</v>
      </c>
      <c r="F66" s="124">
        <v>0.22501442658092172</v>
      </c>
      <c r="G66" s="26"/>
      <c r="H66" s="29">
        <v>3732000</v>
      </c>
      <c r="I66" s="29">
        <v>704659.49820788531</v>
      </c>
      <c r="J66" s="29">
        <v>585816.28000000108</v>
      </c>
      <c r="K66" s="31">
        <v>0.83134660284842476</v>
      </c>
      <c r="L66" s="39"/>
      <c r="M66" s="29">
        <v>275344.32703968033</v>
      </c>
      <c r="N66" s="29">
        <v>52195.914804241882</v>
      </c>
      <c r="O66" s="27">
        <v>0</v>
      </c>
      <c r="P66" s="29">
        <v>55107.839899999941</v>
      </c>
      <c r="Q66" s="31">
        <v>1.0557883716892229</v>
      </c>
      <c r="R66" s="39"/>
      <c r="S66" s="128">
        <v>7.3779294490803948E-2</v>
      </c>
      <c r="T66" s="128">
        <v>9.4070174867792747E-2</v>
      </c>
      <c r="U66" s="39"/>
      <c r="V66" s="29"/>
      <c r="W66" s="32">
        <v>-3.8130265174603282</v>
      </c>
      <c r="X66" s="30" t="s">
        <v>69</v>
      </c>
      <c r="Y66" s="39"/>
      <c r="Z66" s="62"/>
      <c r="AA66" s="27">
        <v>130480.28673835125</v>
      </c>
      <c r="AB66" s="27">
        <v>97476.489999999991</v>
      </c>
      <c r="AC66" s="39"/>
      <c r="AD66" s="29">
        <v>9508.6668318161192</v>
      </c>
      <c r="AE66" s="29">
        <v>11106.516249999997</v>
      </c>
      <c r="AF66" s="31">
        <v>1.1680413717764779</v>
      </c>
      <c r="AG66" s="39"/>
      <c r="AH66" s="29">
        <v>9758.1456799999905</v>
      </c>
      <c r="AI66" s="29">
        <v>288738.37935999973</v>
      </c>
      <c r="AJ66" s="31">
        <v>1.0486447368076306</v>
      </c>
      <c r="AK66" s="39"/>
      <c r="AL66" s="80">
        <v>7.3779294490803948E-2</v>
      </c>
      <c r="AM66" s="80">
        <v>0.11394046143844529</v>
      </c>
      <c r="AN66" s="39"/>
      <c r="AO66" s="32">
        <v>0</v>
      </c>
      <c r="AP66" s="31">
        <v>0</v>
      </c>
      <c r="AQ66" s="10"/>
    </row>
    <row r="67" spans="1:43" ht="8" customHeight="1" x14ac:dyDescent="0.3">
      <c r="B67" s="16"/>
      <c r="D67" s="34"/>
      <c r="E67" s="47"/>
      <c r="F67" s="125"/>
      <c r="G67" s="34"/>
      <c r="H67" s="48"/>
      <c r="I67" s="48"/>
      <c r="J67" s="48"/>
      <c r="K67" s="51"/>
      <c r="L67" s="34"/>
      <c r="M67" s="48"/>
      <c r="N67" s="48"/>
      <c r="O67" s="51"/>
      <c r="P67" s="48"/>
      <c r="Q67" s="47"/>
      <c r="R67" s="34"/>
      <c r="S67" s="51"/>
      <c r="T67" s="51"/>
      <c r="U67" s="34"/>
      <c r="V67" s="48"/>
      <c r="W67" s="52"/>
      <c r="X67" s="48"/>
      <c r="Y67" s="34"/>
      <c r="Z67" s="62"/>
      <c r="AA67" s="47"/>
      <c r="AB67" s="47"/>
      <c r="AC67" s="36"/>
      <c r="AD67" s="48"/>
      <c r="AE67" s="48"/>
      <c r="AF67" s="47"/>
      <c r="AG67" s="36"/>
      <c r="AH67" s="48"/>
      <c r="AI67" s="48"/>
      <c r="AJ67" s="47"/>
      <c r="AK67" s="36"/>
      <c r="AL67" s="49"/>
      <c r="AM67" s="53"/>
      <c r="AN67" s="36"/>
      <c r="AO67" s="52"/>
      <c r="AP67" s="47"/>
    </row>
    <row r="68" spans="1:43" ht="12.75" customHeight="1" x14ac:dyDescent="0.3">
      <c r="A68" s="7" t="s">
        <v>23</v>
      </c>
      <c r="B68" s="213" t="s">
        <v>76</v>
      </c>
      <c r="C68" s="6" t="s">
        <v>8</v>
      </c>
      <c r="D68" s="34"/>
      <c r="E68" s="33">
        <v>280747.97000000044</v>
      </c>
      <c r="F68" s="123">
        <v>4.4563169841269907</v>
      </c>
      <c r="G68" s="7"/>
      <c r="H68" s="35">
        <v>63000</v>
      </c>
      <c r="I68" s="35">
        <v>11666.666666666668</v>
      </c>
      <c r="J68" s="35">
        <v>13388.359999999908</v>
      </c>
      <c r="K68" s="70">
        <v>1.1475737142857063</v>
      </c>
      <c r="L68" s="36"/>
      <c r="M68" s="35">
        <v>12726</v>
      </c>
      <c r="N68" s="35">
        <v>2356.6666666666665</v>
      </c>
      <c r="O68" s="37">
        <v>0</v>
      </c>
      <c r="P68" s="35">
        <v>2898.1599999999994</v>
      </c>
      <c r="Q68" s="115">
        <v>1.2297708628005657</v>
      </c>
      <c r="R68" s="36"/>
      <c r="S68" s="127">
        <v>0.20200000000000001</v>
      </c>
      <c r="T68" s="127">
        <v>0.2164686339476993</v>
      </c>
      <c r="U68" s="36"/>
      <c r="V68" s="35"/>
      <c r="W68" s="38">
        <v>10.053509167664613</v>
      </c>
      <c r="X68" s="69" t="s">
        <v>69</v>
      </c>
      <c r="Y68" s="36"/>
      <c r="Z68" s="62"/>
      <c r="AA68" s="33">
        <v>2333.3333333333335</v>
      </c>
      <c r="AB68" s="33">
        <v>1750.6100000000006</v>
      </c>
      <c r="AC68" s="36"/>
      <c r="AD68" s="35">
        <v>471.33333333333331</v>
      </c>
      <c r="AE68" s="35">
        <v>403.49999999999977</v>
      </c>
      <c r="AF68" s="115">
        <v>0.85608203677510564</v>
      </c>
      <c r="AG68" s="36"/>
      <c r="AH68" s="35">
        <v>579.63199999999983</v>
      </c>
      <c r="AI68" s="35">
        <v>15650.063999999995</v>
      </c>
      <c r="AJ68" s="115">
        <v>1.2297708628005655</v>
      </c>
      <c r="AK68" s="36"/>
      <c r="AL68" s="108">
        <v>0.20200000000000001</v>
      </c>
      <c r="AM68" s="108">
        <v>0.2304910859643208</v>
      </c>
      <c r="AN68" s="36"/>
      <c r="AO68" s="38">
        <v>11.250935388236124</v>
      </c>
      <c r="AP68" s="70">
        <v>0</v>
      </c>
    </row>
    <row r="69" spans="1:43" ht="12.75" customHeight="1" x14ac:dyDescent="0.3">
      <c r="A69" s="7" t="s">
        <v>23</v>
      </c>
      <c r="B69" s="211"/>
      <c r="C69" s="6" t="s">
        <v>9</v>
      </c>
      <c r="D69" s="34"/>
      <c r="E69" s="33">
        <v>332832.12000000011</v>
      </c>
      <c r="F69" s="123">
        <v>2.4654231111111118</v>
      </c>
      <c r="G69" s="7"/>
      <c r="H69" s="35">
        <v>135000</v>
      </c>
      <c r="I69" s="35">
        <v>26129.032258064515</v>
      </c>
      <c r="J69" s="35">
        <v>29138.640000000581</v>
      </c>
      <c r="K69" s="70">
        <v>1.1151825185185409</v>
      </c>
      <c r="L69" s="36"/>
      <c r="M69" s="35">
        <v>31050</v>
      </c>
      <c r="N69" s="35">
        <v>6009.677419354839</v>
      </c>
      <c r="O69" s="37">
        <v>0</v>
      </c>
      <c r="P69" s="35">
        <v>6733.8299999999972</v>
      </c>
      <c r="Q69" s="115">
        <v>1.120497745571658</v>
      </c>
      <c r="R69" s="36"/>
      <c r="S69" s="127">
        <v>0.23</v>
      </c>
      <c r="T69" s="127">
        <v>0.23109623510225127</v>
      </c>
      <c r="U69" s="36"/>
      <c r="V69" s="35"/>
      <c r="W69" s="38">
        <v>11.390648293813667</v>
      </c>
      <c r="X69" s="69" t="s">
        <v>69</v>
      </c>
      <c r="Y69" s="36"/>
      <c r="Z69" s="62"/>
      <c r="AA69" s="33">
        <v>4354.8387096774195</v>
      </c>
      <c r="AB69" s="33">
        <v>5095.3899999999703</v>
      </c>
      <c r="AC69" s="36"/>
      <c r="AD69" s="35">
        <v>1001.6129032258065</v>
      </c>
      <c r="AE69" s="35">
        <v>1231.5900000000013</v>
      </c>
      <c r="AF69" s="115">
        <v>1.2296067632850254</v>
      </c>
      <c r="AG69" s="36"/>
      <c r="AH69" s="35">
        <v>1122.3049999999996</v>
      </c>
      <c r="AI69" s="35">
        <v>34791.454999999987</v>
      </c>
      <c r="AJ69" s="115">
        <v>1.1204977455716583</v>
      </c>
      <c r="AK69" s="36"/>
      <c r="AL69" s="108">
        <v>0.23</v>
      </c>
      <c r="AM69" s="108">
        <v>0.2417067192108962</v>
      </c>
      <c r="AN69" s="36"/>
      <c r="AO69" s="38">
        <v>12.525439662125503</v>
      </c>
      <c r="AP69" s="70">
        <v>0</v>
      </c>
    </row>
    <row r="70" spans="1:43" ht="12.75" customHeight="1" x14ac:dyDescent="0.3">
      <c r="A70" s="7" t="s">
        <v>23</v>
      </c>
      <c r="B70" s="211"/>
      <c r="C70" s="6" t="s">
        <v>10</v>
      </c>
      <c r="D70" s="34"/>
      <c r="E70" s="33">
        <v>552259.41000000027</v>
      </c>
      <c r="F70" s="123">
        <v>2.9066284736842118</v>
      </c>
      <c r="G70" s="7"/>
      <c r="H70" s="35">
        <v>190000</v>
      </c>
      <c r="I70" s="35">
        <v>36774.193548387098</v>
      </c>
      <c r="J70" s="35">
        <v>40928.690000000664</v>
      </c>
      <c r="K70" s="70">
        <v>1.112973149122825</v>
      </c>
      <c r="L70" s="36"/>
      <c r="M70" s="35">
        <v>45410</v>
      </c>
      <c r="N70" s="35">
        <v>8789.0322580645152</v>
      </c>
      <c r="O70" s="37">
        <v>0</v>
      </c>
      <c r="P70" s="35">
        <v>8363.3599999999951</v>
      </c>
      <c r="Q70" s="115">
        <v>0.95156778976730483</v>
      </c>
      <c r="R70" s="36"/>
      <c r="S70" s="127">
        <v>0.23899999999999999</v>
      </c>
      <c r="T70" s="127">
        <v>0.20433979196499716</v>
      </c>
      <c r="U70" s="36"/>
      <c r="V70" s="35"/>
      <c r="W70" s="38">
        <v>8.623119870194925</v>
      </c>
      <c r="X70" s="69" t="s">
        <v>69</v>
      </c>
      <c r="Y70" s="36"/>
      <c r="Z70" s="62"/>
      <c r="AA70" s="33">
        <v>6129.0322580645161</v>
      </c>
      <c r="AB70" s="33">
        <v>7348.2399999999652</v>
      </c>
      <c r="AC70" s="36"/>
      <c r="AD70" s="35">
        <v>1464.8387096774193</v>
      </c>
      <c r="AE70" s="35">
        <v>1584.9000000000003</v>
      </c>
      <c r="AF70" s="115">
        <v>1.081962122880423</v>
      </c>
      <c r="AG70" s="36"/>
      <c r="AH70" s="35">
        <v>1393.8933333333325</v>
      </c>
      <c r="AI70" s="35">
        <v>43210.693333333307</v>
      </c>
      <c r="AJ70" s="115">
        <v>0.95156778976730472</v>
      </c>
      <c r="AK70" s="36"/>
      <c r="AL70" s="108">
        <v>0.23899999999999999</v>
      </c>
      <c r="AM70" s="108">
        <v>0.21568429991399407</v>
      </c>
      <c r="AN70" s="36"/>
      <c r="AO70" s="38">
        <v>9.6714315264603368</v>
      </c>
      <c r="AP70" s="70">
        <v>0</v>
      </c>
    </row>
    <row r="71" spans="1:43" ht="12.75" customHeight="1" x14ac:dyDescent="0.3">
      <c r="A71" s="7" t="s">
        <v>23</v>
      </c>
      <c r="B71" s="211"/>
      <c r="C71" s="6" t="s">
        <v>12</v>
      </c>
      <c r="D71" s="34"/>
      <c r="E71" s="33">
        <v>25702.700000000019</v>
      </c>
      <c r="F71" s="123">
        <v>6.1196904761904811</v>
      </c>
      <c r="G71" s="7"/>
      <c r="H71" s="35">
        <v>4200</v>
      </c>
      <c r="I71" s="35">
        <v>777.77777777777771</v>
      </c>
      <c r="J71" s="35">
        <v>833.49000000000069</v>
      </c>
      <c r="K71" s="70">
        <v>1.071630000000001</v>
      </c>
      <c r="L71" s="36"/>
      <c r="M71" s="35">
        <v>1008</v>
      </c>
      <c r="N71" s="35">
        <v>186.66666666666669</v>
      </c>
      <c r="O71" s="37">
        <v>0</v>
      </c>
      <c r="P71" s="35">
        <v>191.55999999999997</v>
      </c>
      <c r="Q71" s="115">
        <v>1.0262142857142855</v>
      </c>
      <c r="R71" s="36"/>
      <c r="S71" s="127">
        <v>0.24</v>
      </c>
      <c r="T71" s="127">
        <v>0.22982879218706861</v>
      </c>
      <c r="U71" s="36"/>
      <c r="V71" s="35"/>
      <c r="W71" s="38">
        <v>10.184885241574655</v>
      </c>
      <c r="X71" s="69" t="s">
        <v>69</v>
      </c>
      <c r="Y71" s="36"/>
      <c r="Z71" s="62"/>
      <c r="AA71" s="33">
        <v>155.55555555555554</v>
      </c>
      <c r="AB71" s="33">
        <v>166.6</v>
      </c>
      <c r="AC71" s="36"/>
      <c r="AD71" s="35">
        <v>37.333333333333336</v>
      </c>
      <c r="AE71" s="35">
        <v>80.47</v>
      </c>
      <c r="AF71" s="115">
        <v>2.1554464285714285</v>
      </c>
      <c r="AG71" s="36"/>
      <c r="AH71" s="35">
        <v>38.311999999999998</v>
      </c>
      <c r="AI71" s="35">
        <v>1034.424</v>
      </c>
      <c r="AJ71" s="115">
        <v>1.0262142857142857</v>
      </c>
      <c r="AK71" s="36"/>
      <c r="AL71" s="108">
        <v>0.24</v>
      </c>
      <c r="AM71" s="108">
        <v>0.48301320528211283</v>
      </c>
      <c r="AN71" s="36"/>
      <c r="AO71" s="38">
        <v>35.4501800720288</v>
      </c>
      <c r="AP71" s="70">
        <v>0</v>
      </c>
    </row>
    <row r="72" spans="1:43" s="15" customFormat="1" ht="14.25" customHeight="1" x14ac:dyDescent="0.3">
      <c r="A72" s="26"/>
      <c r="B72" s="211"/>
      <c r="C72" s="9" t="s">
        <v>79</v>
      </c>
      <c r="D72" s="28"/>
      <c r="E72" s="27">
        <v>1191542.2000000009</v>
      </c>
      <c r="F72" s="124">
        <v>3.0380984191738931</v>
      </c>
      <c r="G72" s="26"/>
      <c r="H72" s="29">
        <v>392200</v>
      </c>
      <c r="I72" s="29">
        <v>75347.670250896073</v>
      </c>
      <c r="J72" s="29">
        <v>84289.180000001157</v>
      </c>
      <c r="K72" s="31">
        <v>1.1186700228332374</v>
      </c>
      <c r="L72" s="39"/>
      <c r="M72" s="29">
        <v>90194</v>
      </c>
      <c r="N72" s="29">
        <v>17342.043010752688</v>
      </c>
      <c r="O72" s="27">
        <v>0</v>
      </c>
      <c r="P72" s="29">
        <v>18186.909999999993</v>
      </c>
      <c r="Q72" s="31">
        <v>1.0487178464915268</v>
      </c>
      <c r="R72" s="39"/>
      <c r="S72" s="128">
        <v>0.22996940336562979</v>
      </c>
      <c r="T72" s="128">
        <v>0.2157680262164105</v>
      </c>
      <c r="U72" s="39"/>
      <c r="V72" s="29"/>
      <c r="W72" s="32">
        <v>9.8224944174340436</v>
      </c>
      <c r="X72" s="30" t="s">
        <v>69</v>
      </c>
      <c r="Y72" s="39"/>
      <c r="Z72" s="62"/>
      <c r="AA72" s="27">
        <v>12972.759856630822</v>
      </c>
      <c r="AB72" s="27">
        <v>14360.839999999936</v>
      </c>
      <c r="AC72" s="39"/>
      <c r="AD72" s="29">
        <v>2975.1182795698928</v>
      </c>
      <c r="AE72" s="29">
        <v>3300.4600000000014</v>
      </c>
      <c r="AF72" s="31">
        <v>1.1093542138019274</v>
      </c>
      <c r="AG72" s="39"/>
      <c r="AH72" s="29">
        <v>3134.1423333333319</v>
      </c>
      <c r="AI72" s="29">
        <v>94686.636333333299</v>
      </c>
      <c r="AJ72" s="31">
        <v>1.049810811510004</v>
      </c>
      <c r="AK72" s="39"/>
      <c r="AL72" s="80">
        <v>0.22996940336562979</v>
      </c>
      <c r="AM72" s="80">
        <v>0.22982360363321477</v>
      </c>
      <c r="AN72" s="39"/>
      <c r="AO72" s="32">
        <v>0</v>
      </c>
      <c r="AP72" s="31">
        <v>0</v>
      </c>
      <c r="AQ72" s="10"/>
    </row>
    <row r="73" spans="1:43" ht="7.75" customHeight="1" x14ac:dyDescent="0.3">
      <c r="B73" s="16"/>
      <c r="D73" s="34"/>
      <c r="E73" s="47"/>
      <c r="F73" s="125"/>
      <c r="G73" s="34"/>
      <c r="H73" s="48"/>
      <c r="I73" s="48"/>
      <c r="J73" s="48"/>
      <c r="K73" s="51"/>
      <c r="L73" s="34"/>
      <c r="M73" s="48"/>
      <c r="N73" s="48"/>
      <c r="O73" s="51"/>
      <c r="P73" s="48"/>
      <c r="Q73" s="47"/>
      <c r="R73" s="34"/>
      <c r="S73" s="51"/>
      <c r="T73" s="51"/>
      <c r="U73" s="34"/>
      <c r="V73" s="48"/>
      <c r="W73" s="52"/>
      <c r="X73" s="48"/>
      <c r="Y73" s="34"/>
      <c r="Z73" s="62"/>
      <c r="AA73" s="47"/>
      <c r="AB73" s="47"/>
      <c r="AC73" s="36"/>
      <c r="AD73" s="48"/>
      <c r="AE73" s="48"/>
      <c r="AF73" s="47"/>
      <c r="AG73" s="36"/>
      <c r="AH73" s="48"/>
      <c r="AI73" s="48"/>
      <c r="AJ73" s="47"/>
      <c r="AK73" s="36"/>
      <c r="AL73" s="49"/>
      <c r="AM73" s="53"/>
      <c r="AN73" s="36"/>
      <c r="AO73" s="52"/>
      <c r="AP73" s="47"/>
    </row>
    <row r="74" spans="1:43" ht="12.75" customHeight="1" x14ac:dyDescent="0.3">
      <c r="A74" s="7" t="s">
        <v>68</v>
      </c>
      <c r="B74" s="211" t="s">
        <v>70</v>
      </c>
      <c r="C74" s="6" t="s">
        <v>8</v>
      </c>
      <c r="D74" s="34"/>
      <c r="E74" s="33">
        <v>42899.809999999976</v>
      </c>
      <c r="F74" s="123">
        <v>0.63087955882352909</v>
      </c>
      <c r="G74" s="7"/>
      <c r="H74" s="35">
        <v>68000</v>
      </c>
      <c r="I74" s="35">
        <v>12592.592592592593</v>
      </c>
      <c r="J74" s="35">
        <v>13929.359999999899</v>
      </c>
      <c r="K74" s="70">
        <v>1.1061550588235214</v>
      </c>
      <c r="L74" s="36"/>
      <c r="M74" s="35">
        <v>10540</v>
      </c>
      <c r="N74" s="35">
        <v>1951.851851851852</v>
      </c>
      <c r="O74" s="37">
        <v>0</v>
      </c>
      <c r="P74" s="35">
        <v>1948.8000000000006</v>
      </c>
      <c r="Q74" s="115">
        <v>0.99843643263757142</v>
      </c>
      <c r="R74" s="36"/>
      <c r="S74" s="127">
        <v>0.155</v>
      </c>
      <c r="T74" s="127">
        <v>0.1399059253260749</v>
      </c>
      <c r="U74" s="36"/>
      <c r="V74" s="35"/>
      <c r="W74" s="38">
        <v>3.3667734913872502</v>
      </c>
      <c r="X74" s="69" t="s">
        <v>69</v>
      </c>
      <c r="Y74" s="36"/>
      <c r="Z74" s="62"/>
      <c r="AA74" s="33">
        <v>2518.5185185185187</v>
      </c>
      <c r="AB74" s="33">
        <v>2489.8599999999992</v>
      </c>
      <c r="AC74" s="36"/>
      <c r="AD74" s="35">
        <v>390.37037037037038</v>
      </c>
      <c r="AE74" s="35">
        <v>309.21999999999991</v>
      </c>
      <c r="AF74" s="115">
        <v>0.79211954459203016</v>
      </c>
      <c r="AG74" s="36"/>
      <c r="AH74" s="35">
        <v>389.7600000000001</v>
      </c>
      <c r="AI74" s="35">
        <v>10523.520000000002</v>
      </c>
      <c r="AJ74" s="115">
        <v>0.99843643263757142</v>
      </c>
      <c r="AK74" s="36"/>
      <c r="AL74" s="108">
        <v>0.155</v>
      </c>
      <c r="AM74" s="108">
        <v>0.1241917216229025</v>
      </c>
      <c r="AN74" s="36"/>
      <c r="AO74" s="38">
        <v>1.3478669483424754</v>
      </c>
      <c r="AP74" s="70">
        <v>0</v>
      </c>
    </row>
    <row r="75" spans="1:43" ht="12.5" customHeight="1" x14ac:dyDescent="0.3">
      <c r="A75" s="7" t="s">
        <v>68</v>
      </c>
      <c r="B75" s="211"/>
      <c r="C75" s="6" t="s">
        <v>9</v>
      </c>
      <c r="D75" s="34"/>
      <c r="E75" s="33">
        <v>83729.300000000105</v>
      </c>
      <c r="F75" s="123">
        <v>0.52330812500000068</v>
      </c>
      <c r="G75" s="7"/>
      <c r="H75" s="35">
        <v>160000</v>
      </c>
      <c r="I75" s="35">
        <v>30967.741935483871</v>
      </c>
      <c r="J75" s="35">
        <v>37258.60000000061</v>
      </c>
      <c r="K75" s="70">
        <v>1.2031422916666863</v>
      </c>
      <c r="L75" s="36"/>
      <c r="M75" s="35">
        <v>31459.650553746669</v>
      </c>
      <c r="N75" s="35">
        <v>6088.9646233058065</v>
      </c>
      <c r="O75" s="37">
        <v>0</v>
      </c>
      <c r="P75" s="35">
        <v>5261.1700000000083</v>
      </c>
      <c r="Q75" s="115">
        <v>0.86405001925329405</v>
      </c>
      <c r="R75" s="36"/>
      <c r="S75" s="127">
        <v>0.19662281596091669</v>
      </c>
      <c r="T75" s="127">
        <v>0.14120686230829721</v>
      </c>
      <c r="U75" s="36"/>
      <c r="V75" s="35"/>
      <c r="W75" s="38">
        <v>3.9657152979463079</v>
      </c>
      <c r="X75" s="69" t="s">
        <v>69</v>
      </c>
      <c r="Y75" s="36"/>
      <c r="Z75" s="62"/>
      <c r="AA75" s="33">
        <v>5161.2903225806449</v>
      </c>
      <c r="AB75" s="33">
        <v>6737.2299999999768</v>
      </c>
      <c r="AC75" s="36"/>
      <c r="AD75" s="35">
        <v>1014.8274372176345</v>
      </c>
      <c r="AE75" s="35">
        <v>1069.5700000000002</v>
      </c>
      <c r="AF75" s="115">
        <v>1.053942730334976</v>
      </c>
      <c r="AG75" s="36"/>
      <c r="AH75" s="35">
        <v>876.86166666666804</v>
      </c>
      <c r="AI75" s="35">
        <v>27182.71166666671</v>
      </c>
      <c r="AJ75" s="115">
        <v>0.86405001925329394</v>
      </c>
      <c r="AK75" s="36"/>
      <c r="AL75" s="108">
        <v>0.19662281596091669</v>
      </c>
      <c r="AM75" s="108">
        <v>0.15875515605078108</v>
      </c>
      <c r="AN75" s="36"/>
      <c r="AO75" s="38">
        <v>5.5217055080496884</v>
      </c>
      <c r="AP75" s="70">
        <v>0</v>
      </c>
    </row>
    <row r="76" spans="1:43" ht="12.75" customHeight="1" x14ac:dyDescent="0.3">
      <c r="A76" s="7" t="s">
        <v>68</v>
      </c>
      <c r="B76" s="211"/>
      <c r="C76" s="6" t="s">
        <v>10</v>
      </c>
      <c r="D76" s="34"/>
      <c r="E76" s="33">
        <v>132151.65</v>
      </c>
      <c r="F76" s="123">
        <v>0.55063187499999999</v>
      </c>
      <c r="G76" s="7"/>
      <c r="H76" s="35">
        <v>240000</v>
      </c>
      <c r="I76" s="35">
        <v>46451.612903225803</v>
      </c>
      <c r="J76" s="35">
        <v>64914.150000000416</v>
      </c>
      <c r="K76" s="70">
        <v>1.3974573958333425</v>
      </c>
      <c r="L76" s="36"/>
      <c r="M76" s="35">
        <v>42000</v>
      </c>
      <c r="N76" s="35">
        <v>8129.0322580645152</v>
      </c>
      <c r="O76" s="37">
        <v>982</v>
      </c>
      <c r="P76" s="35">
        <v>8729.7999999999847</v>
      </c>
      <c r="Q76" s="115">
        <v>1.0739039682539664</v>
      </c>
      <c r="R76" s="36"/>
      <c r="S76" s="127">
        <v>0.17499999999999999</v>
      </c>
      <c r="T76" s="127">
        <v>0.13448223538319348</v>
      </c>
      <c r="U76" s="36"/>
      <c r="V76" s="35"/>
      <c r="W76" s="38">
        <v>1.9036835574377458</v>
      </c>
      <c r="X76" s="69" t="s">
        <v>69</v>
      </c>
      <c r="Y76" s="36"/>
      <c r="Z76" s="62"/>
      <c r="AA76" s="33">
        <v>7741.9354838709678</v>
      </c>
      <c r="AB76" s="33">
        <v>15956.969999999947</v>
      </c>
      <c r="AC76" s="36"/>
      <c r="AD76" s="35">
        <v>1354.8387096774193</v>
      </c>
      <c r="AE76" s="35">
        <v>2080.79</v>
      </c>
      <c r="AF76" s="115">
        <v>1.5358211904761905</v>
      </c>
      <c r="AG76" s="36"/>
      <c r="AH76" s="35">
        <v>1454.9666666666642</v>
      </c>
      <c r="AI76" s="35">
        <v>45103.966666666587</v>
      </c>
      <c r="AJ76" s="115">
        <v>1.0739039682539664</v>
      </c>
      <c r="AK76" s="36"/>
      <c r="AL76" s="108">
        <v>0.17499999999999999</v>
      </c>
      <c r="AM76" s="108">
        <v>0.13040006968741602</v>
      </c>
      <c r="AN76" s="36"/>
      <c r="AO76" s="38">
        <v>3.6447395714847795</v>
      </c>
      <c r="AP76" s="70">
        <v>0</v>
      </c>
    </row>
    <row r="77" spans="1:43" ht="12.75" customHeight="1" x14ac:dyDescent="0.3">
      <c r="A77" s="7" t="s">
        <v>68</v>
      </c>
      <c r="B77" s="211"/>
      <c r="C77" s="6" t="s">
        <v>12</v>
      </c>
      <c r="D77" s="34"/>
      <c r="E77" s="33">
        <v>3197.4399999999987</v>
      </c>
      <c r="F77" s="123">
        <v>0.39967999999999981</v>
      </c>
      <c r="G77" s="7"/>
      <c r="H77" s="35">
        <v>8000</v>
      </c>
      <c r="I77" s="35">
        <v>1481.4814814814815</v>
      </c>
      <c r="J77" s="35">
        <v>3394.9599999999991</v>
      </c>
      <c r="K77" s="70">
        <v>2.2915979999999991</v>
      </c>
      <c r="L77" s="36"/>
      <c r="M77" s="35">
        <v>1261.9993591797524</v>
      </c>
      <c r="N77" s="35">
        <v>233.70358503328748</v>
      </c>
      <c r="O77" s="37">
        <v>0</v>
      </c>
      <c r="P77" s="35">
        <v>441.49999999999994</v>
      </c>
      <c r="Q77" s="115">
        <v>1.8891451748038657</v>
      </c>
      <c r="R77" s="36"/>
      <c r="S77" s="127">
        <v>0.15774991989746906</v>
      </c>
      <c r="T77" s="127">
        <v>0.13004571482432783</v>
      </c>
      <c r="U77" s="36"/>
      <c r="V77" s="35"/>
      <c r="W77" s="38">
        <v>1.7408157975351675</v>
      </c>
      <c r="X77" s="69" t="s">
        <v>69</v>
      </c>
      <c r="Y77" s="36"/>
      <c r="Z77" s="62"/>
      <c r="AA77" s="33">
        <v>296.2962962962963</v>
      </c>
      <c r="AB77" s="33">
        <v>2754.8299999999986</v>
      </c>
      <c r="AC77" s="36"/>
      <c r="AD77" s="35">
        <v>46.740717006657498</v>
      </c>
      <c r="AE77" s="35">
        <v>510.89</v>
      </c>
      <c r="AF77" s="115">
        <v>10.930298735623408</v>
      </c>
      <c r="AG77" s="36"/>
      <c r="AH77" s="35">
        <v>88.299999999999983</v>
      </c>
      <c r="AI77" s="35">
        <v>2384.0999999999995</v>
      </c>
      <c r="AJ77" s="115">
        <v>1.8891451748038652</v>
      </c>
      <c r="AK77" s="36"/>
      <c r="AL77" s="108">
        <v>0.15774991989746906</v>
      </c>
      <c r="AM77" s="108">
        <v>0.18545245986140715</v>
      </c>
      <c r="AN77" s="36"/>
      <c r="AO77" s="38">
        <v>6.8820943579095379</v>
      </c>
      <c r="AP77" s="70">
        <v>0</v>
      </c>
    </row>
    <row r="78" spans="1:43" s="15" customFormat="1" ht="14.25" customHeight="1" x14ac:dyDescent="0.3">
      <c r="A78" s="26"/>
      <c r="B78" s="211"/>
      <c r="C78" s="9" t="s">
        <v>80</v>
      </c>
      <c r="D78" s="28"/>
      <c r="E78" s="27">
        <v>261978.20000000007</v>
      </c>
      <c r="F78" s="124">
        <v>0.55037436974789933</v>
      </c>
      <c r="G78" s="26"/>
      <c r="H78" s="29">
        <v>476000</v>
      </c>
      <c r="I78" s="29">
        <v>91493.42891278374</v>
      </c>
      <c r="J78" s="29">
        <v>119497.07000000091</v>
      </c>
      <c r="K78" s="31">
        <v>1.3060727029250558</v>
      </c>
      <c r="L78" s="39"/>
      <c r="M78" s="29">
        <v>85261.649912926427</v>
      </c>
      <c r="N78" s="29">
        <v>16403.552318255461</v>
      </c>
      <c r="O78" s="27">
        <v>982</v>
      </c>
      <c r="P78" s="29">
        <v>16381.269999999993</v>
      </c>
      <c r="Q78" s="31">
        <v>0.99864161628998682</v>
      </c>
      <c r="R78" s="39"/>
      <c r="S78" s="128">
        <v>0.17912111326245048</v>
      </c>
      <c r="T78" s="128">
        <v>0.13708511848867816</v>
      </c>
      <c r="U78" s="39"/>
      <c r="V78" s="29"/>
      <c r="W78" s="32">
        <v>2.7125351274311589</v>
      </c>
      <c r="X78" s="30" t="s">
        <v>69</v>
      </c>
      <c r="Y78" s="39"/>
      <c r="Z78" s="62"/>
      <c r="AA78" s="27">
        <v>15718.040621266427</v>
      </c>
      <c r="AB78" s="27">
        <v>27938.889999999923</v>
      </c>
      <c r="AC78" s="39"/>
      <c r="AD78" s="29">
        <v>2806.7772342720818</v>
      </c>
      <c r="AE78" s="29">
        <v>3970.47</v>
      </c>
      <c r="AF78" s="31">
        <v>1.4146010419062394</v>
      </c>
      <c r="AG78" s="39"/>
      <c r="AH78" s="29">
        <v>2809.8883333333324</v>
      </c>
      <c r="AI78" s="29">
        <v>85194.29833333331</v>
      </c>
      <c r="AJ78" s="31">
        <v>0.99921006009546032</v>
      </c>
      <c r="AK78" s="39"/>
      <c r="AL78" s="80">
        <v>0.17912111326245048</v>
      </c>
      <c r="AM78" s="80">
        <v>0.14211266088237617</v>
      </c>
      <c r="AN78" s="39"/>
      <c r="AO78" s="32">
        <v>0</v>
      </c>
      <c r="AP78" s="31">
        <v>0</v>
      </c>
      <c r="AQ78" s="10"/>
    </row>
    <row r="79" spans="1:43" ht="8" customHeight="1" x14ac:dyDescent="0.3">
      <c r="B79" s="16"/>
      <c r="D79" s="34"/>
      <c r="E79" s="47"/>
      <c r="F79" s="125"/>
      <c r="G79" s="34"/>
      <c r="H79" s="48"/>
      <c r="I79" s="48"/>
      <c r="J79" s="48"/>
      <c r="K79" s="51"/>
      <c r="L79" s="34"/>
      <c r="M79" s="48"/>
      <c r="N79" s="48"/>
      <c r="O79" s="51"/>
      <c r="P79" s="48"/>
      <c r="Q79" s="47"/>
      <c r="R79" s="34"/>
      <c r="S79" s="51"/>
      <c r="T79" s="51"/>
      <c r="U79" s="34"/>
      <c r="V79" s="48"/>
      <c r="W79" s="52"/>
      <c r="X79" s="48"/>
      <c r="Y79" s="34"/>
      <c r="Z79" s="62"/>
      <c r="AA79" s="47"/>
      <c r="AB79" s="47"/>
      <c r="AC79" s="36"/>
      <c r="AD79" s="48"/>
      <c r="AE79" s="48"/>
      <c r="AF79" s="47"/>
      <c r="AG79" s="36"/>
      <c r="AH79" s="48"/>
      <c r="AI79" s="48"/>
      <c r="AJ79" s="47"/>
      <c r="AK79" s="36"/>
      <c r="AL79" s="49"/>
      <c r="AM79" s="53"/>
      <c r="AN79" s="36"/>
      <c r="AO79" s="52"/>
      <c r="AP79" s="47"/>
    </row>
    <row r="80" spans="1:43" ht="12.75" customHeight="1" x14ac:dyDescent="0.3">
      <c r="A80" s="7" t="s">
        <v>29</v>
      </c>
      <c r="B80" s="211" t="s">
        <v>66</v>
      </c>
      <c r="C80" s="6" t="s">
        <v>8</v>
      </c>
      <c r="D80" s="34"/>
      <c r="E80" s="33">
        <v>568652.18000000075</v>
      </c>
      <c r="F80" s="123">
        <v>2.7739130731707355</v>
      </c>
      <c r="G80" s="7"/>
      <c r="H80" s="35">
        <v>205000</v>
      </c>
      <c r="I80" s="130">
        <v>37962.962962962964</v>
      </c>
      <c r="J80" s="35">
        <v>40814.290000000517</v>
      </c>
      <c r="K80" s="70">
        <v>1.0751081268292819</v>
      </c>
      <c r="L80" s="36"/>
      <c r="M80" s="35">
        <v>22550</v>
      </c>
      <c r="N80" s="35">
        <v>4175.9259259259261</v>
      </c>
      <c r="O80" s="37">
        <v>0</v>
      </c>
      <c r="P80" s="130">
        <v>5045.069999999987</v>
      </c>
      <c r="Q80" s="70">
        <v>1.2081320620842539</v>
      </c>
      <c r="R80" s="36"/>
      <c r="S80" s="127">
        <v>0.11</v>
      </c>
      <c r="T80" s="127">
        <v>0.12361038254003495</v>
      </c>
      <c r="U80" s="36"/>
      <c r="V80" s="35"/>
      <c r="W80" s="38">
        <v>2.894794935794367</v>
      </c>
      <c r="X80" s="69" t="s">
        <v>69</v>
      </c>
      <c r="Y80" s="36"/>
      <c r="Z80" s="62"/>
      <c r="AA80" s="33">
        <v>7592.5925925925922</v>
      </c>
      <c r="AB80" s="33">
        <v>4629.3299999999854</v>
      </c>
      <c r="AC80" s="36"/>
      <c r="AD80" s="35">
        <v>835.18518518518522</v>
      </c>
      <c r="AE80" s="35">
        <v>777.64</v>
      </c>
      <c r="AF80" s="115">
        <v>0.93109889135254986</v>
      </c>
      <c r="AG80" s="36"/>
      <c r="AH80" s="35">
        <v>1009.0139999999974</v>
      </c>
      <c r="AI80" s="35">
        <v>27243.377999999931</v>
      </c>
      <c r="AJ80" s="115">
        <v>1.2081320620842542</v>
      </c>
      <c r="AK80" s="36"/>
      <c r="AL80" s="108">
        <v>0.11</v>
      </c>
      <c r="AM80" s="108">
        <v>0.16798111173755217</v>
      </c>
      <c r="AN80" s="36"/>
      <c r="AO80" s="38">
        <v>7.4656591774616086</v>
      </c>
      <c r="AP80" s="70">
        <v>0</v>
      </c>
    </row>
    <row r="81" spans="1:43" ht="12.75" customHeight="1" x14ac:dyDescent="0.3">
      <c r="A81" s="7" t="s">
        <v>29</v>
      </c>
      <c r="B81" s="211"/>
      <c r="C81" s="6" t="s">
        <v>9</v>
      </c>
      <c r="D81" s="34"/>
      <c r="E81" s="33">
        <v>500053.6599999998</v>
      </c>
      <c r="F81" s="123">
        <v>1.5626676874999994</v>
      </c>
      <c r="G81" s="7"/>
      <c r="H81" s="35">
        <v>320000</v>
      </c>
      <c r="I81" s="130">
        <v>61935.483870967742</v>
      </c>
      <c r="J81" s="35">
        <v>78535.960000000094</v>
      </c>
      <c r="K81" s="70">
        <v>1.2680285208333348</v>
      </c>
      <c r="L81" s="36"/>
      <c r="M81" s="35">
        <v>46400</v>
      </c>
      <c r="N81" s="35">
        <v>8980.645161290322</v>
      </c>
      <c r="O81" s="37">
        <v>0</v>
      </c>
      <c r="P81" s="130">
        <v>11815.530000000013</v>
      </c>
      <c r="Q81" s="70">
        <v>1.3156660560344844</v>
      </c>
      <c r="R81" s="36"/>
      <c r="S81" s="127">
        <v>0.14499999999999999</v>
      </c>
      <c r="T81" s="127">
        <v>0.15044738741335814</v>
      </c>
      <c r="U81" s="36"/>
      <c r="V81" s="35"/>
      <c r="W81" s="38">
        <v>5.0910054451487623</v>
      </c>
      <c r="X81" s="69" t="s">
        <v>69</v>
      </c>
      <c r="Y81" s="36"/>
      <c r="Z81" s="62"/>
      <c r="AA81" s="33">
        <v>10322.58064516129</v>
      </c>
      <c r="AB81" s="33">
        <v>20544.469999999928</v>
      </c>
      <c r="AC81" s="36"/>
      <c r="AD81" s="35">
        <v>1496.7741935483871</v>
      </c>
      <c r="AE81" s="35">
        <v>2564.150000000001</v>
      </c>
      <c r="AF81" s="115">
        <v>1.7131174568965524</v>
      </c>
      <c r="AG81" s="36"/>
      <c r="AH81" s="35">
        <v>1969.2550000000022</v>
      </c>
      <c r="AI81" s="35">
        <v>61046.905000000064</v>
      </c>
      <c r="AJ81" s="115">
        <v>1.3156660560344842</v>
      </c>
      <c r="AK81" s="36"/>
      <c r="AL81" s="108">
        <v>0.14499999999999999</v>
      </c>
      <c r="AM81" s="108">
        <v>0.12480974198896394</v>
      </c>
      <c r="AN81" s="36"/>
      <c r="AO81" s="38">
        <v>2.0217606002974664</v>
      </c>
      <c r="AP81" s="70">
        <v>0</v>
      </c>
    </row>
    <row r="82" spans="1:43" ht="12.75" customHeight="1" x14ac:dyDescent="0.3">
      <c r="A82" s="7" t="s">
        <v>29</v>
      </c>
      <c r="B82" s="211"/>
      <c r="C82" s="6" t="s">
        <v>10</v>
      </c>
      <c r="D82" s="34"/>
      <c r="E82" s="33">
        <v>828916.96999999974</v>
      </c>
      <c r="F82" s="123">
        <v>1.9055562528735626</v>
      </c>
      <c r="G82" s="7"/>
      <c r="H82" s="35">
        <v>435000</v>
      </c>
      <c r="I82" s="130">
        <v>84193.548387096773</v>
      </c>
      <c r="J82" s="35">
        <v>91157.20000000138</v>
      </c>
      <c r="K82" s="70">
        <v>1.0827100383141925</v>
      </c>
      <c r="L82" s="36"/>
      <c r="M82" s="35">
        <v>55245</v>
      </c>
      <c r="N82" s="35">
        <v>10692.58064516129</v>
      </c>
      <c r="O82" s="37">
        <v>0</v>
      </c>
      <c r="P82" s="130">
        <v>13542.429999999988</v>
      </c>
      <c r="Q82" s="70">
        <v>1.266525869611125</v>
      </c>
      <c r="R82" s="36"/>
      <c r="S82" s="127">
        <v>0.127</v>
      </c>
      <c r="T82" s="127">
        <v>0.14856127656399915</v>
      </c>
      <c r="U82" s="36"/>
      <c r="V82" s="35"/>
      <c r="W82" s="38">
        <v>4.9009622937092168</v>
      </c>
      <c r="X82" s="69" t="s">
        <v>69</v>
      </c>
      <c r="Y82" s="36"/>
      <c r="Z82" s="62"/>
      <c r="AA82" s="33">
        <v>14032.258064516129</v>
      </c>
      <c r="AB82" s="33">
        <v>16738.919999999896</v>
      </c>
      <c r="AC82" s="36"/>
      <c r="AD82" s="35">
        <v>1782.0967741935483</v>
      </c>
      <c r="AE82" s="35">
        <v>2671.7899999999972</v>
      </c>
      <c r="AF82" s="115">
        <v>1.4992395691917806</v>
      </c>
      <c r="AG82" s="36"/>
      <c r="AH82" s="35">
        <v>2257.0716666666644</v>
      </c>
      <c r="AI82" s="35">
        <v>69969.221666666592</v>
      </c>
      <c r="AJ82" s="115">
        <v>1.2665258696111248</v>
      </c>
      <c r="AK82" s="36"/>
      <c r="AL82" s="108">
        <v>0.127</v>
      </c>
      <c r="AM82" s="108">
        <v>0.15961543516547147</v>
      </c>
      <c r="AN82" s="36"/>
      <c r="AO82" s="38">
        <v>5.7724751656613149</v>
      </c>
      <c r="AP82" s="70">
        <v>0</v>
      </c>
    </row>
    <row r="83" spans="1:43" ht="12.75" customHeight="1" x14ac:dyDescent="0.3">
      <c r="A83" s="7" t="s">
        <v>29</v>
      </c>
      <c r="B83" s="211"/>
      <c r="C83" s="6" t="s">
        <v>12</v>
      </c>
      <c r="D83" s="34"/>
      <c r="E83" s="33">
        <v>20554.149999999987</v>
      </c>
      <c r="F83" s="123">
        <v>1.5810884615384606</v>
      </c>
      <c r="G83" s="7"/>
      <c r="H83" s="35">
        <v>13000</v>
      </c>
      <c r="I83" s="130">
        <v>2407.4074074074074</v>
      </c>
      <c r="J83" s="35">
        <v>1276.4000000000008</v>
      </c>
      <c r="K83" s="70">
        <v>0.53019692307692345</v>
      </c>
      <c r="L83" s="36"/>
      <c r="M83" s="35">
        <v>1560</v>
      </c>
      <c r="N83" s="35">
        <v>288.88888888888891</v>
      </c>
      <c r="O83" s="37">
        <v>0</v>
      </c>
      <c r="P83" s="130">
        <v>343.30000000000007</v>
      </c>
      <c r="Q83" s="70">
        <v>1.1883461538461539</v>
      </c>
      <c r="R83" s="36"/>
      <c r="S83" s="127">
        <v>0.12</v>
      </c>
      <c r="T83" s="127">
        <v>0.26895957380131608</v>
      </c>
      <c r="U83" s="36"/>
      <c r="V83" s="35"/>
      <c r="W83" s="38">
        <v>17.721717329990664</v>
      </c>
      <c r="X83" s="69" t="s">
        <v>69</v>
      </c>
      <c r="Y83" s="36"/>
      <c r="Z83" s="62"/>
      <c r="AA83" s="33">
        <v>481.48148148148147</v>
      </c>
      <c r="AB83" s="33">
        <v>305.78000000000009</v>
      </c>
      <c r="AC83" s="36"/>
      <c r="AD83" s="35">
        <v>57.777777777777779</v>
      </c>
      <c r="AE83" s="35">
        <v>169.96000000000004</v>
      </c>
      <c r="AF83" s="115">
        <v>2.9416153846153854</v>
      </c>
      <c r="AG83" s="36"/>
      <c r="AH83" s="35">
        <v>68.660000000000011</v>
      </c>
      <c r="AI83" s="35">
        <v>1853.8200000000004</v>
      </c>
      <c r="AJ83" s="115">
        <v>1.1883461538461542</v>
      </c>
      <c r="AK83" s="36"/>
      <c r="AL83" s="108">
        <v>0.12</v>
      </c>
      <c r="AM83" s="108">
        <v>0.55582444895022565</v>
      </c>
      <c r="AN83" s="36"/>
      <c r="AO83" s="38">
        <v>46.379750147164636</v>
      </c>
      <c r="AP83" s="70">
        <v>0</v>
      </c>
    </row>
    <row r="84" spans="1:43" s="15" customFormat="1" ht="14.25" customHeight="1" x14ac:dyDescent="0.3">
      <c r="A84" s="26"/>
      <c r="B84" s="211"/>
      <c r="C84" s="9" t="s">
        <v>81</v>
      </c>
      <c r="D84" s="28"/>
      <c r="E84" s="27">
        <v>1918176.9600000002</v>
      </c>
      <c r="F84" s="124">
        <v>1.9714048920863312</v>
      </c>
      <c r="G84" s="26"/>
      <c r="H84" s="29">
        <v>973000</v>
      </c>
      <c r="I84" s="29">
        <v>186499.40262843488</v>
      </c>
      <c r="J84" s="29">
        <v>211783.85000000198</v>
      </c>
      <c r="K84" s="31">
        <v>1.1355738786034699</v>
      </c>
      <c r="L84" s="39"/>
      <c r="M84" s="29">
        <v>125755</v>
      </c>
      <c r="N84" s="29">
        <v>24138.040621266431</v>
      </c>
      <c r="O84" s="27">
        <v>0</v>
      </c>
      <c r="P84" s="29">
        <v>30746.329999999984</v>
      </c>
      <c r="Q84" s="31">
        <v>1.2737707456218059</v>
      </c>
      <c r="R84" s="39"/>
      <c r="S84" s="128">
        <v>0.12924460431654677</v>
      </c>
      <c r="T84" s="128">
        <v>0.14517787829430664</v>
      </c>
      <c r="U84" s="39"/>
      <c r="V84" s="29"/>
      <c r="W84" s="32">
        <v>4.6620835346988807</v>
      </c>
      <c r="X84" s="30" t="s">
        <v>69</v>
      </c>
      <c r="Y84" s="39"/>
      <c r="Z84" s="62"/>
      <c r="AA84" s="27">
        <v>32428.912783751493</v>
      </c>
      <c r="AB84" s="27">
        <v>42218.499999999811</v>
      </c>
      <c r="AC84" s="39"/>
      <c r="AD84" s="29">
        <v>4171.8339307048982</v>
      </c>
      <c r="AE84" s="29">
        <v>6183.5399999999981</v>
      </c>
      <c r="AF84" s="31">
        <v>1.4822114453043891</v>
      </c>
      <c r="AG84" s="39"/>
      <c r="AH84" s="29">
        <v>5304.0006666666632</v>
      </c>
      <c r="AI84" s="29">
        <v>160113.32466666659</v>
      </c>
      <c r="AJ84" s="31">
        <v>1.27321637045578</v>
      </c>
      <c r="AK84" s="39"/>
      <c r="AL84" s="80">
        <v>0.12924460431654677</v>
      </c>
      <c r="AM84" s="80">
        <v>0.14646517521939495</v>
      </c>
      <c r="AN84" s="39"/>
      <c r="AO84" s="32">
        <v>0</v>
      </c>
      <c r="AP84" s="31">
        <v>0</v>
      </c>
      <c r="AQ84" s="10"/>
    </row>
    <row r="85" spans="1:43" x14ac:dyDescent="0.3">
      <c r="B85" s="16"/>
      <c r="D85" s="34"/>
      <c r="E85" s="47"/>
      <c r="F85" s="125"/>
      <c r="G85" s="34"/>
      <c r="H85" s="48"/>
      <c r="I85" s="48"/>
      <c r="J85" s="48"/>
      <c r="K85" s="51"/>
      <c r="L85" s="34"/>
      <c r="M85" s="48"/>
      <c r="N85" s="48"/>
      <c r="O85" s="51"/>
      <c r="P85" s="48"/>
      <c r="Q85" s="47"/>
      <c r="R85" s="34"/>
      <c r="S85" s="51"/>
      <c r="T85" s="51"/>
      <c r="U85" s="34"/>
      <c r="V85" s="48"/>
      <c r="W85" s="52"/>
      <c r="X85" s="48"/>
      <c r="Y85" s="34"/>
      <c r="Z85" s="62"/>
      <c r="AA85" s="47"/>
      <c r="AB85" s="47"/>
      <c r="AC85" s="36"/>
      <c r="AD85" s="48"/>
      <c r="AE85" s="48"/>
      <c r="AF85" s="47"/>
      <c r="AG85" s="36"/>
      <c r="AH85" s="48"/>
      <c r="AI85" s="48"/>
      <c r="AJ85" s="47"/>
      <c r="AK85" s="36"/>
      <c r="AL85" s="49"/>
      <c r="AM85" s="53"/>
      <c r="AN85" s="36"/>
      <c r="AO85" s="52"/>
      <c r="AP85" s="47"/>
    </row>
    <row r="86" spans="1:43" x14ac:dyDescent="0.3">
      <c r="A86" s="64" t="s">
        <v>59</v>
      </c>
      <c r="B86" s="211" t="s">
        <v>73</v>
      </c>
      <c r="C86" s="6" t="s">
        <v>8</v>
      </c>
      <c r="D86" s="34"/>
      <c r="E86" s="33">
        <v>493789.03000000049</v>
      </c>
      <c r="F86" s="123">
        <v>2.0574542916666689</v>
      </c>
      <c r="G86" s="7"/>
      <c r="H86" s="35">
        <v>240000</v>
      </c>
      <c r="I86" s="35">
        <v>44444.444444444445</v>
      </c>
      <c r="J86" s="35">
        <v>48822.680000000553</v>
      </c>
      <c r="K86" s="70">
        <v>1.0985103000000125</v>
      </c>
      <c r="L86" s="36"/>
      <c r="M86" s="35">
        <v>30000</v>
      </c>
      <c r="N86" s="35">
        <v>5555.5555555555557</v>
      </c>
      <c r="O86" s="37">
        <v>0</v>
      </c>
      <c r="P86" s="35">
        <v>5349.0079000000014</v>
      </c>
      <c r="Q86" s="115">
        <v>0.9628214220000002</v>
      </c>
      <c r="R86" s="36"/>
      <c r="S86" s="127">
        <v>0.125</v>
      </c>
      <c r="T86" s="127">
        <v>0.10955989921077541</v>
      </c>
      <c r="U86" s="36"/>
      <c r="V86" s="35"/>
      <c r="W86" s="38">
        <v>3.0433149102025125</v>
      </c>
      <c r="X86" s="69" t="s">
        <v>69</v>
      </c>
      <c r="Y86" s="36"/>
      <c r="Z86" s="62"/>
      <c r="AA86" s="33">
        <v>8888.8888888888887</v>
      </c>
      <c r="AB86" s="33">
        <v>10630.049999999979</v>
      </c>
      <c r="AC86" s="36"/>
      <c r="AD86" s="35">
        <v>1111.1111111111111</v>
      </c>
      <c r="AE86" s="35">
        <v>1382.6589500000011</v>
      </c>
      <c r="AF86" s="115">
        <v>1.2443930550000011</v>
      </c>
      <c r="AG86" s="36"/>
      <c r="AH86" s="35">
        <v>1069.8015800000003</v>
      </c>
      <c r="AI86" s="35">
        <v>28884.642660000009</v>
      </c>
      <c r="AJ86" s="115">
        <v>0.96282142200000032</v>
      </c>
      <c r="AK86" s="36"/>
      <c r="AL86" s="108">
        <v>0.125</v>
      </c>
      <c r="AM86" s="108">
        <v>0.13007078517975021</v>
      </c>
      <c r="AN86" s="36"/>
      <c r="AO86" s="38">
        <v>5.2060804041371584</v>
      </c>
      <c r="AP86" s="70">
        <v>0</v>
      </c>
    </row>
    <row r="87" spans="1:43" x14ac:dyDescent="0.3">
      <c r="A87" s="64" t="s">
        <v>59</v>
      </c>
      <c r="B87" s="211"/>
      <c r="C87" s="6" t="s">
        <v>9</v>
      </c>
      <c r="D87" s="34"/>
      <c r="E87" s="33">
        <v>668140.24000000046</v>
      </c>
      <c r="F87" s="123">
        <v>2.0558161230769243</v>
      </c>
      <c r="G87" s="7"/>
      <c r="H87" s="35">
        <v>325000</v>
      </c>
      <c r="I87" s="35">
        <v>62903.225806451614</v>
      </c>
      <c r="J87" s="35">
        <v>79044.510000000519</v>
      </c>
      <c r="K87" s="70">
        <v>1.2566050307692389</v>
      </c>
      <c r="L87" s="36"/>
      <c r="M87" s="35">
        <v>52650</v>
      </c>
      <c r="N87" s="35">
        <v>10190.322580645163</v>
      </c>
      <c r="O87" s="37">
        <v>0</v>
      </c>
      <c r="P87" s="35">
        <v>12695.670000000011</v>
      </c>
      <c r="Q87" s="115">
        <v>1.2458555555555564</v>
      </c>
      <c r="R87" s="36"/>
      <c r="S87" s="127">
        <v>0.16200000000000001</v>
      </c>
      <c r="T87" s="127">
        <v>0.16061419066295593</v>
      </c>
      <c r="U87" s="36"/>
      <c r="V87" s="35"/>
      <c r="W87" s="38">
        <v>7.2940423060383299</v>
      </c>
      <c r="X87" s="69" t="s">
        <v>69</v>
      </c>
      <c r="Y87" s="36"/>
      <c r="Z87" s="62"/>
      <c r="AA87" s="33">
        <v>10483.870967741936</v>
      </c>
      <c r="AB87" s="33">
        <v>12852.259999999917</v>
      </c>
      <c r="AC87" s="36"/>
      <c r="AD87" s="35">
        <v>1698.3870967741937</v>
      </c>
      <c r="AE87" s="35">
        <v>2073.3100000000022</v>
      </c>
      <c r="AF87" s="115">
        <v>1.2207523266856612</v>
      </c>
      <c r="AG87" s="36"/>
      <c r="AH87" s="35">
        <v>2115.945000000002</v>
      </c>
      <c r="AI87" s="35">
        <v>65594.295000000056</v>
      </c>
      <c r="AJ87" s="115">
        <v>1.2458555555555566</v>
      </c>
      <c r="AK87" s="36"/>
      <c r="AL87" s="108">
        <v>0.16200000000000001</v>
      </c>
      <c r="AM87" s="108">
        <v>0.16131870970553161</v>
      </c>
      <c r="AN87" s="36"/>
      <c r="AO87" s="38">
        <v>7.4746387016751399</v>
      </c>
      <c r="AP87" s="70">
        <v>0</v>
      </c>
    </row>
    <row r="88" spans="1:43" x14ac:dyDescent="0.3">
      <c r="A88" s="64" t="s">
        <v>59</v>
      </c>
      <c r="B88" s="211"/>
      <c r="C88" s="6" t="s">
        <v>10</v>
      </c>
      <c r="D88" s="34"/>
      <c r="E88" s="33">
        <v>1100064.2000000002</v>
      </c>
      <c r="F88" s="123">
        <v>2.3159246315789477</v>
      </c>
      <c r="G88" s="7"/>
      <c r="H88" s="35">
        <v>475000</v>
      </c>
      <c r="I88" s="35">
        <v>91935.483870967742</v>
      </c>
      <c r="J88" s="35">
        <v>115447.56000000131</v>
      </c>
      <c r="K88" s="70">
        <v>1.2557453894736985</v>
      </c>
      <c r="L88" s="36"/>
      <c r="M88" s="35">
        <v>72200</v>
      </c>
      <c r="N88" s="35">
        <v>13974.193548387097</v>
      </c>
      <c r="O88" s="37">
        <v>0</v>
      </c>
      <c r="P88" s="35">
        <v>17204.80579999998</v>
      </c>
      <c r="Q88" s="115">
        <v>1.2311841638965821</v>
      </c>
      <c r="R88" s="36"/>
      <c r="S88" s="127">
        <v>0.152</v>
      </c>
      <c r="T88" s="127">
        <v>0.14902701971353735</v>
      </c>
      <c r="U88" s="36"/>
      <c r="V88" s="35"/>
      <c r="W88" s="38">
        <v>6.7326375715526741</v>
      </c>
      <c r="X88" s="69" t="s">
        <v>69</v>
      </c>
      <c r="Y88" s="36"/>
      <c r="Z88" s="62"/>
      <c r="AA88" s="33">
        <v>15322.58064516129</v>
      </c>
      <c r="AB88" s="33">
        <v>20520.309999999972</v>
      </c>
      <c r="AC88" s="36"/>
      <c r="AD88" s="35">
        <v>2329.0322580645161</v>
      </c>
      <c r="AE88" s="35">
        <v>3597.8392999999983</v>
      </c>
      <c r="AF88" s="115">
        <v>1.5447786468144038</v>
      </c>
      <c r="AG88" s="36"/>
      <c r="AH88" s="35">
        <v>2867.46763333333</v>
      </c>
      <c r="AI88" s="35">
        <v>88891.496633333227</v>
      </c>
      <c r="AJ88" s="115">
        <v>1.2311841638965821</v>
      </c>
      <c r="AK88" s="36"/>
      <c r="AL88" s="108">
        <v>0.152</v>
      </c>
      <c r="AM88" s="108">
        <v>0.17533065046288301</v>
      </c>
      <c r="AN88" s="36"/>
      <c r="AO88" s="38">
        <v>8.7139974980883803</v>
      </c>
      <c r="AP88" s="70">
        <v>0</v>
      </c>
    </row>
    <row r="89" spans="1:43" x14ac:dyDescent="0.3">
      <c r="A89" s="64" t="s">
        <v>59</v>
      </c>
      <c r="B89" s="211"/>
      <c r="C89" s="6" t="s">
        <v>12</v>
      </c>
      <c r="D89" s="34"/>
      <c r="E89" s="33">
        <v>14507.890000000005</v>
      </c>
      <c r="F89" s="123">
        <v>2.0725557142857149</v>
      </c>
      <c r="G89" s="7"/>
      <c r="H89" s="35">
        <v>7000</v>
      </c>
      <c r="I89" s="35">
        <v>1296.2962962962961</v>
      </c>
      <c r="J89" s="35">
        <v>1520.0200000000007</v>
      </c>
      <c r="K89" s="70">
        <v>1.1725868571428579</v>
      </c>
      <c r="L89" s="36"/>
      <c r="M89" s="35">
        <v>1680</v>
      </c>
      <c r="N89" s="35">
        <v>311.11111111111109</v>
      </c>
      <c r="O89" s="37">
        <v>0</v>
      </c>
      <c r="P89" s="35">
        <v>300.96999999999991</v>
      </c>
      <c r="Q89" s="115">
        <v>0.96740357142857125</v>
      </c>
      <c r="R89" s="36"/>
      <c r="S89" s="127">
        <v>0.24</v>
      </c>
      <c r="T89" s="127">
        <v>0.19800397363192576</v>
      </c>
      <c r="U89" s="36"/>
      <c r="V89" s="35"/>
      <c r="W89" s="38">
        <v>11.561032091683074</v>
      </c>
      <c r="X89" s="69" t="s">
        <v>69</v>
      </c>
      <c r="Y89" s="36"/>
      <c r="Z89" s="62"/>
      <c r="AA89" s="33">
        <v>259.25925925925924</v>
      </c>
      <c r="AB89" s="33">
        <v>309.80000000000007</v>
      </c>
      <c r="AC89" s="36"/>
      <c r="AD89" s="35">
        <v>62.222222222222221</v>
      </c>
      <c r="AE89" s="35">
        <v>97.210000000000008</v>
      </c>
      <c r="AF89" s="115">
        <v>1.5623035714285716</v>
      </c>
      <c r="AG89" s="36"/>
      <c r="AH89" s="35">
        <v>60.193999999999981</v>
      </c>
      <c r="AI89" s="35">
        <v>1625.2379999999996</v>
      </c>
      <c r="AJ89" s="115">
        <v>0.96740357142857114</v>
      </c>
      <c r="AK89" s="36"/>
      <c r="AL89" s="108">
        <v>0.24</v>
      </c>
      <c r="AM89" s="108">
        <v>0.31378308586184633</v>
      </c>
      <c r="AN89" s="36"/>
      <c r="AO89" s="38">
        <v>23.876694641704329</v>
      </c>
      <c r="AP89" s="70">
        <v>0</v>
      </c>
    </row>
    <row r="90" spans="1:43" s="15" customFormat="1" x14ac:dyDescent="0.3">
      <c r="A90" s="26"/>
      <c r="B90" s="211"/>
      <c r="C90" s="9" t="s">
        <v>74</v>
      </c>
      <c r="D90" s="28"/>
      <c r="E90" s="27">
        <v>2276501.3600000013</v>
      </c>
      <c r="F90" s="124">
        <v>2.1743088443170975</v>
      </c>
      <c r="G90" s="26"/>
      <c r="H90" s="29">
        <v>1047000</v>
      </c>
      <c r="I90" s="29">
        <v>200579.45041816009</v>
      </c>
      <c r="J90" s="29">
        <v>244834.77000000238</v>
      </c>
      <c r="K90" s="31">
        <v>1.2206373558686123</v>
      </c>
      <c r="L90" s="39"/>
      <c r="M90" s="29">
        <v>156530</v>
      </c>
      <c r="N90" s="29">
        <v>30031.182795698922</v>
      </c>
      <c r="O90" s="27">
        <v>0</v>
      </c>
      <c r="P90" s="29">
        <v>35550.453699999998</v>
      </c>
      <c r="Q90" s="31">
        <v>1.1837846661534606</v>
      </c>
      <c r="R90" s="39"/>
      <c r="S90" s="128">
        <v>0.14950334288443171</v>
      </c>
      <c r="T90" s="128">
        <v>0.14520181794440248</v>
      </c>
      <c r="U90" s="39"/>
      <c r="V90" s="29"/>
      <c r="W90" s="32">
        <v>6.2081720255672703</v>
      </c>
      <c r="X90" s="30" t="s">
        <v>69</v>
      </c>
      <c r="Y90" s="39"/>
      <c r="Z90" s="62"/>
      <c r="AA90" s="27">
        <v>34954.599761051373</v>
      </c>
      <c r="AB90" s="27">
        <v>44312.419999999867</v>
      </c>
      <c r="AC90" s="39"/>
      <c r="AD90" s="29">
        <v>5200.7526881720432</v>
      </c>
      <c r="AE90" s="29">
        <v>7151.0182500000019</v>
      </c>
      <c r="AF90" s="31">
        <v>1.3749967896499682</v>
      </c>
      <c r="AG90" s="39"/>
      <c r="AH90" s="29">
        <v>6113.4082133333332</v>
      </c>
      <c r="AI90" s="29">
        <v>184995.67229333331</v>
      </c>
      <c r="AJ90" s="31">
        <v>1.181854419557486</v>
      </c>
      <c r="AK90" s="39"/>
      <c r="AL90" s="80">
        <v>0.14950334288443171</v>
      </c>
      <c r="AM90" s="80">
        <v>0.16137728993361281</v>
      </c>
      <c r="AN90" s="39"/>
      <c r="AO90" s="32">
        <v>0</v>
      </c>
      <c r="AP90" s="31">
        <v>0</v>
      </c>
      <c r="AQ90" s="10"/>
    </row>
    <row r="91" spans="1:43" x14ac:dyDescent="0.3">
      <c r="B91" s="16"/>
      <c r="D91" s="34"/>
      <c r="E91" s="47"/>
      <c r="F91" s="125"/>
      <c r="G91" s="34"/>
      <c r="H91" s="48"/>
      <c r="I91" s="48"/>
      <c r="J91" s="48"/>
      <c r="K91" s="51"/>
      <c r="L91" s="34"/>
      <c r="M91" s="48"/>
      <c r="N91" s="48"/>
      <c r="O91" s="51"/>
      <c r="P91" s="48"/>
      <c r="Q91" s="47"/>
      <c r="R91" s="34"/>
      <c r="S91" s="51"/>
      <c r="T91" s="51"/>
      <c r="U91" s="34"/>
      <c r="V91" s="50"/>
      <c r="W91" s="52"/>
      <c r="X91" s="48"/>
      <c r="Y91" s="34"/>
      <c r="Z91" s="62"/>
      <c r="AA91" s="47"/>
      <c r="AB91" s="47"/>
      <c r="AC91" s="36"/>
      <c r="AD91" s="48"/>
      <c r="AE91" s="48"/>
      <c r="AF91" s="47"/>
      <c r="AG91" s="36"/>
      <c r="AH91" s="48"/>
      <c r="AI91" s="48"/>
      <c r="AJ91" s="47"/>
      <c r="AK91" s="36"/>
      <c r="AL91" s="49"/>
      <c r="AM91" s="53"/>
      <c r="AN91" s="36"/>
      <c r="AO91" s="52"/>
      <c r="AP91" s="47"/>
    </row>
    <row r="92" spans="1:43" x14ac:dyDescent="0.3">
      <c r="B92" s="210" t="s">
        <v>32</v>
      </c>
      <c r="C92" s="94" t="s">
        <v>8</v>
      </c>
      <c r="D92" s="34"/>
      <c r="E92" s="93">
        <v>4529238.5500000017</v>
      </c>
      <c r="F92" s="126">
        <v>0.76462202245294197</v>
      </c>
      <c r="G92" s="34"/>
      <c r="H92" s="93">
        <v>5923500</v>
      </c>
      <c r="I92" s="93">
        <v>1096944.4444444443</v>
      </c>
      <c r="J92" s="93">
        <v>1265355.7800000019</v>
      </c>
      <c r="K92" s="112">
        <v>1.1535276799189687</v>
      </c>
      <c r="L92" s="36"/>
      <c r="M92" s="93">
        <v>577714.15076272876</v>
      </c>
      <c r="N92" s="93">
        <v>106984.10199309792</v>
      </c>
      <c r="O92" s="93">
        <v>0</v>
      </c>
      <c r="P92" s="93">
        <v>135810.71499999994</v>
      </c>
      <c r="Q92" s="112">
        <v>1.269447632590885</v>
      </c>
      <c r="R92" s="96"/>
      <c r="S92" s="129">
        <v>9.7529188952938092E-2</v>
      </c>
      <c r="T92" s="129">
        <v>0.10733006253782611</v>
      </c>
      <c r="U92" s="98"/>
      <c r="V92" s="99">
        <v>0</v>
      </c>
      <c r="W92" s="103">
        <v>-5.0895365570620754</v>
      </c>
      <c r="X92" s="100" t="s">
        <v>69</v>
      </c>
      <c r="Y92" s="98"/>
      <c r="Z92" s="101"/>
      <c r="AA92" s="93">
        <v>219388.88888888888</v>
      </c>
      <c r="AB92" s="93">
        <v>192020.86999999997</v>
      </c>
      <c r="AC92" s="98"/>
      <c r="AD92" s="93">
        <v>21396.82039861958</v>
      </c>
      <c r="AE92" s="93">
        <v>22462.333340000001</v>
      </c>
      <c r="AF92" s="112">
        <v>1.049797723284585</v>
      </c>
      <c r="AG92" s="98"/>
      <c r="AH92" s="93">
        <v>27162.142999999993</v>
      </c>
      <c r="AI92" s="93">
        <v>733377.8609999998</v>
      </c>
      <c r="AJ92" s="112">
        <v>1.2694476325908852</v>
      </c>
      <c r="AK92" s="98"/>
      <c r="AL92" s="102">
        <v>9.7529188952938092E-2</v>
      </c>
      <c r="AM92" s="97">
        <v>0.11697860414860116</v>
      </c>
      <c r="AN92" s="98"/>
      <c r="AO92" s="103">
        <v>-3.399113158897813</v>
      </c>
      <c r="AP92" s="95">
        <v>0</v>
      </c>
    </row>
    <row r="93" spans="1:43" ht="12.75" customHeight="1" x14ac:dyDescent="0.3">
      <c r="B93" s="210"/>
      <c r="C93" s="94" t="s">
        <v>9</v>
      </c>
      <c r="D93" s="34"/>
      <c r="E93" s="93">
        <v>5367012.3599999994</v>
      </c>
      <c r="F93" s="126">
        <v>0.97759787978142065</v>
      </c>
      <c r="G93" s="34"/>
      <c r="H93" s="93">
        <v>5490000</v>
      </c>
      <c r="I93" s="93">
        <v>1062580.6451612904</v>
      </c>
      <c r="J93" s="93">
        <v>1136515.0100000058</v>
      </c>
      <c r="K93" s="112">
        <v>1.0695800033394103</v>
      </c>
      <c r="L93" s="36"/>
      <c r="M93" s="93">
        <v>807431.50220140954</v>
      </c>
      <c r="N93" s="93">
        <v>156277.06494220829</v>
      </c>
      <c r="O93" s="93">
        <v>112.5</v>
      </c>
      <c r="P93" s="93">
        <v>168273.37</v>
      </c>
      <c r="Q93" s="112">
        <v>1.076763055808784</v>
      </c>
      <c r="R93" s="96"/>
      <c r="S93" s="129">
        <v>0.14707313337001995</v>
      </c>
      <c r="T93" s="129">
        <v>0.14806084259283045</v>
      </c>
      <c r="U93" s="98"/>
      <c r="V93" s="99">
        <v>0</v>
      </c>
      <c r="W93" s="103">
        <v>2.8119426244976902</v>
      </c>
      <c r="X93" s="100" t="s">
        <v>69</v>
      </c>
      <c r="Y93" s="98"/>
      <c r="Z93" s="101"/>
      <c r="AA93" s="93">
        <v>177096.77419354839</v>
      </c>
      <c r="AB93" s="93">
        <v>165715.88999999961</v>
      </c>
      <c r="AC93" s="98"/>
      <c r="AD93" s="93">
        <v>26046.177490368053</v>
      </c>
      <c r="AE93" s="93">
        <v>24454.090000000004</v>
      </c>
      <c r="AF93" s="112">
        <v>0.93887442827429068</v>
      </c>
      <c r="AG93" s="98"/>
      <c r="AH93" s="93">
        <v>28045.561666666661</v>
      </c>
      <c r="AI93" s="93">
        <v>869412.41166666639</v>
      </c>
      <c r="AJ93" s="112">
        <v>1.0767630558087837</v>
      </c>
      <c r="AK93" s="98"/>
      <c r="AL93" s="102">
        <v>0.14707313337001995</v>
      </c>
      <c r="AM93" s="97">
        <v>0.14756635588777914</v>
      </c>
      <c r="AN93" s="98"/>
      <c r="AO93" s="103">
        <v>3.17080637227944</v>
      </c>
      <c r="AP93" s="95">
        <v>0</v>
      </c>
    </row>
    <row r="94" spans="1:43" ht="12.75" customHeight="1" x14ac:dyDescent="0.3">
      <c r="B94" s="210"/>
      <c r="C94" s="94" t="s">
        <v>10</v>
      </c>
      <c r="D94" s="34"/>
      <c r="E94" s="93">
        <v>8505633.0399999991</v>
      </c>
      <c r="F94" s="126">
        <v>1.0436359558282207</v>
      </c>
      <c r="G94" s="34"/>
      <c r="H94" s="93">
        <v>8150000</v>
      </c>
      <c r="I94" s="93">
        <v>1577419.3548387096</v>
      </c>
      <c r="J94" s="93">
        <v>1708210.0699999977</v>
      </c>
      <c r="K94" s="112">
        <v>1.0829143593047021</v>
      </c>
      <c r="L94" s="36"/>
      <c r="M94" s="93">
        <v>1272562.5214530416</v>
      </c>
      <c r="N94" s="93">
        <v>246302.42350704025</v>
      </c>
      <c r="O94" s="93">
        <v>2094</v>
      </c>
      <c r="P94" s="93">
        <v>265223.21461999975</v>
      </c>
      <c r="Q94" s="112">
        <v>1.0768193460849915</v>
      </c>
      <c r="R94" s="96"/>
      <c r="S94" s="129">
        <v>0.15614264066908487</v>
      </c>
      <c r="T94" s="129">
        <v>0.15526381636422509</v>
      </c>
      <c r="U94" s="98"/>
      <c r="V94" s="99">
        <v>0</v>
      </c>
      <c r="W94" s="103">
        <v>3.1392119483290015</v>
      </c>
      <c r="X94" s="100" t="s">
        <v>69</v>
      </c>
      <c r="Y94" s="98"/>
      <c r="Z94" s="101"/>
      <c r="AA94" s="93">
        <v>262903.22580645164</v>
      </c>
      <c r="AB94" s="93">
        <v>293946.20999999985</v>
      </c>
      <c r="AC94" s="98"/>
      <c r="AD94" s="93">
        <v>41050.403917840042</v>
      </c>
      <c r="AE94" s="93">
        <v>47468.675029999984</v>
      </c>
      <c r="AF94" s="112">
        <v>1.1563509856079792</v>
      </c>
      <c r="AG94" s="98"/>
      <c r="AH94" s="93">
        <v>44203.869103333294</v>
      </c>
      <c r="AI94" s="93">
        <v>1370319.9422033317</v>
      </c>
      <c r="AJ94" s="112">
        <v>1.0768193460849911</v>
      </c>
      <c r="AK94" s="98"/>
      <c r="AL94" s="102">
        <v>0.15614264066908487</v>
      </c>
      <c r="AM94" s="97">
        <v>0.1614876239771896</v>
      </c>
      <c r="AN94" s="98"/>
      <c r="AO94" s="103">
        <v>4.3291815295049298</v>
      </c>
      <c r="AP94" s="95">
        <v>0</v>
      </c>
    </row>
    <row r="95" spans="1:43" ht="12.75" customHeight="1" x14ac:dyDescent="0.3">
      <c r="B95" s="210"/>
      <c r="C95" s="94" t="s">
        <v>12</v>
      </c>
      <c r="D95" s="34"/>
      <c r="E95" s="93">
        <v>437593.84000000008</v>
      </c>
      <c r="F95" s="126">
        <v>0.1093929903504825</v>
      </c>
      <c r="G95" s="34"/>
      <c r="H95" s="93">
        <v>4000200</v>
      </c>
      <c r="I95" s="93">
        <v>740777.77777777775</v>
      </c>
      <c r="J95" s="93">
        <v>580362.38000000012</v>
      </c>
      <c r="K95" s="112">
        <v>0.78345004049797529</v>
      </c>
      <c r="L95" s="36"/>
      <c r="M95" s="93">
        <v>686966.65273174166</v>
      </c>
      <c r="N95" s="93">
        <v>127216.0468021744</v>
      </c>
      <c r="O95" s="93">
        <v>17340.25</v>
      </c>
      <c r="P95" s="93">
        <v>80037.739999999991</v>
      </c>
      <c r="Q95" s="112">
        <v>0.6291481461018954</v>
      </c>
      <c r="R95" s="96"/>
      <c r="S95" s="129">
        <v>0.17173307652910896</v>
      </c>
      <c r="T95" s="129">
        <v>0.13790993826994777</v>
      </c>
      <c r="U95" s="98"/>
      <c r="V95" s="99">
        <v>0</v>
      </c>
      <c r="W95" s="103">
        <v>-7.1961108161421183</v>
      </c>
      <c r="X95" s="100" t="s">
        <v>69</v>
      </c>
      <c r="Y95" s="98"/>
      <c r="Z95" s="101"/>
      <c r="AA95" s="93">
        <v>148155.55555555556</v>
      </c>
      <c r="AB95" s="93">
        <v>128607.33</v>
      </c>
      <c r="AC95" s="98"/>
      <c r="AD95" s="93">
        <v>25443.209360434874</v>
      </c>
      <c r="AE95" s="93">
        <v>21408.73</v>
      </c>
      <c r="AF95" s="112">
        <v>0.8414319788324881</v>
      </c>
      <c r="AG95" s="98"/>
      <c r="AH95" s="93">
        <v>16007.547999999995</v>
      </c>
      <c r="AI95" s="93">
        <v>432203.79599999991</v>
      </c>
      <c r="AJ95" s="112">
        <v>0.62914814610189551</v>
      </c>
      <c r="AK95" s="98"/>
      <c r="AL95" s="102">
        <v>0.17173307652910896</v>
      </c>
      <c r="AM95" s="97">
        <v>0.16646586162701613</v>
      </c>
      <c r="AN95" s="98"/>
      <c r="AO95" s="103">
        <v>-0.17851237561654759</v>
      </c>
      <c r="AP95" s="95">
        <v>0</v>
      </c>
    </row>
    <row r="96" spans="1:43" ht="4.25" customHeight="1" x14ac:dyDescent="0.3">
      <c r="B96" s="210"/>
      <c r="D96" s="34"/>
      <c r="E96" s="47"/>
      <c r="F96" s="125"/>
      <c r="G96" s="34"/>
      <c r="H96" s="47"/>
      <c r="I96" s="47"/>
      <c r="J96" s="48"/>
      <c r="K96" s="51"/>
      <c r="L96" s="34"/>
      <c r="M96" s="47"/>
      <c r="N96" s="48"/>
      <c r="O96" s="51"/>
      <c r="P96" s="48"/>
      <c r="Q96" s="47"/>
      <c r="R96" s="34"/>
      <c r="S96" s="51"/>
      <c r="T96" s="51"/>
      <c r="U96" s="34"/>
      <c r="V96" s="50"/>
      <c r="W96" s="52"/>
      <c r="X96" s="48"/>
      <c r="Y96" s="34"/>
      <c r="Z96" s="62"/>
      <c r="AA96" s="47"/>
      <c r="AB96" s="47"/>
      <c r="AC96" s="36"/>
      <c r="AD96" s="48"/>
      <c r="AE96" s="48"/>
      <c r="AF96" s="47"/>
      <c r="AG96" s="36"/>
      <c r="AH96" s="48"/>
      <c r="AI96" s="48"/>
      <c r="AJ96" s="47"/>
      <c r="AK96" s="36"/>
      <c r="AL96" s="49"/>
      <c r="AM96" s="53"/>
      <c r="AN96" s="36"/>
      <c r="AO96" s="52"/>
      <c r="AP96" s="47"/>
    </row>
    <row r="97" spans="1:43" s="15" customFormat="1" ht="14.25" customHeight="1" x14ac:dyDescent="0.3">
      <c r="A97" s="26"/>
      <c r="B97" s="210"/>
      <c r="C97" s="94" t="s">
        <v>7</v>
      </c>
      <c r="D97" s="28"/>
      <c r="E97" s="93">
        <v>18839477.789999999</v>
      </c>
      <c r="F97" s="126">
        <v>0.79951271616936215</v>
      </c>
      <c r="G97" s="28"/>
      <c r="H97" s="93">
        <v>23563700</v>
      </c>
      <c r="I97" s="93">
        <v>4477722.222222222</v>
      </c>
      <c r="J97" s="93">
        <v>4690443.2400000049</v>
      </c>
      <c r="K97" s="44">
        <v>1.0475065239022827</v>
      </c>
      <c r="L97" s="39"/>
      <c r="M97" s="93">
        <v>3344674.8271489218</v>
      </c>
      <c r="N97" s="93">
        <v>636779.63724452083</v>
      </c>
      <c r="O97" s="93">
        <v>19546.75</v>
      </c>
      <c r="P97" s="93">
        <v>649345.0396199997</v>
      </c>
      <c r="Q97" s="44">
        <v>1.0197327327077417</v>
      </c>
      <c r="R97" s="39"/>
      <c r="S97" s="129">
        <v>0.14194183541417188</v>
      </c>
      <c r="T97" s="129">
        <v>0.1384400165175006</v>
      </c>
      <c r="U97" s="45"/>
      <c r="V97" s="43">
        <v>0</v>
      </c>
      <c r="W97" s="46">
        <v>-0.43880246123593236</v>
      </c>
      <c r="X97" s="81" t="s">
        <v>69</v>
      </c>
      <c r="Y97" s="45"/>
      <c r="Z97" s="62"/>
      <c r="AA97" s="93">
        <v>807544.4444444445</v>
      </c>
      <c r="AB97" s="93">
        <v>780290.29999999935</v>
      </c>
      <c r="AC97" s="98"/>
      <c r="AD97" s="93">
        <v>113936.61116726256</v>
      </c>
      <c r="AE97" s="93">
        <v>115793.82836999999</v>
      </c>
      <c r="AF97" s="112">
        <v>1.0163004427085425</v>
      </c>
      <c r="AG97" s="98"/>
      <c r="AH97" s="93">
        <v>115419.12176999995</v>
      </c>
      <c r="AI97" s="93">
        <v>3405314.010869998</v>
      </c>
      <c r="AJ97" s="112">
        <v>1.0181300684983976</v>
      </c>
      <c r="AK97" s="98"/>
      <c r="AL97" s="102">
        <v>0.14194183541417188</v>
      </c>
      <c r="AM97" s="97">
        <v>0.14839839527673238</v>
      </c>
      <c r="AN97" s="98"/>
      <c r="AO97" s="103">
        <v>1.4383631797036662</v>
      </c>
      <c r="AP97" s="42">
        <v>0</v>
      </c>
      <c r="AQ97" s="10"/>
    </row>
    <row r="98" spans="1:43" ht="14.5" x14ac:dyDescent="0.35">
      <c r="D98" s="55"/>
      <c r="E98" s="54"/>
      <c r="F98" s="118"/>
      <c r="G98" s="55"/>
      <c r="H98" s="56"/>
      <c r="I98" s="48"/>
      <c r="J98" s="56"/>
      <c r="K98" s="51"/>
      <c r="L98" s="34"/>
      <c r="M98" s="56"/>
      <c r="N98" s="48"/>
      <c r="O98" s="48"/>
      <c r="P98" s="48"/>
      <c r="Q98" s="47"/>
      <c r="R98" s="34"/>
      <c r="S98" s="49"/>
      <c r="T98" s="49"/>
      <c r="U98" s="34"/>
      <c r="V98" s="50"/>
      <c r="W98" s="50"/>
      <c r="X98" s="48"/>
      <c r="Y98" s="34"/>
      <c r="Z98" s="63"/>
      <c r="AA98" s="47"/>
      <c r="AB98" s="47"/>
      <c r="AC98" s="36"/>
      <c r="AD98" s="48"/>
      <c r="AE98" s="48"/>
      <c r="AF98" s="47"/>
      <c r="AG98" s="36"/>
      <c r="AH98" s="48"/>
      <c r="AI98" s="48"/>
      <c r="AJ98" s="47"/>
      <c r="AK98" s="36"/>
      <c r="AL98" s="49"/>
      <c r="AM98" s="53"/>
      <c r="AN98" s="36"/>
      <c r="AO98" s="52"/>
      <c r="AP98" s="47"/>
    </row>
    <row r="99" spans="1:43" ht="14.5" x14ac:dyDescent="0.35">
      <c r="D99" s="55"/>
      <c r="E99" s="54"/>
      <c r="F99" s="118"/>
      <c r="G99" s="55"/>
      <c r="H99" s="48"/>
      <c r="I99" s="56"/>
      <c r="J99" s="56"/>
      <c r="K99" s="51"/>
      <c r="L99" s="34"/>
      <c r="M99" s="56"/>
      <c r="N99" s="56"/>
      <c r="O99" s="56"/>
      <c r="P99" s="56"/>
      <c r="Q99" s="47"/>
      <c r="R99" s="34"/>
      <c r="S99" s="49"/>
      <c r="T99" s="49"/>
      <c r="U99" s="34"/>
      <c r="V99" s="50"/>
      <c r="W99" s="50"/>
      <c r="X99" s="48"/>
      <c r="Y99" s="34"/>
      <c r="Z99" s="63"/>
      <c r="AA99" s="59"/>
      <c r="AB99" s="59"/>
      <c r="AC99" s="36"/>
      <c r="AD99" s="56"/>
      <c r="AE99" s="56"/>
      <c r="AF99" s="47"/>
      <c r="AG99" s="36"/>
      <c r="AH99" s="56"/>
      <c r="AI99" s="56"/>
      <c r="AJ99" s="59"/>
      <c r="AK99" s="36"/>
      <c r="AL99" s="49"/>
      <c r="AM99" s="53"/>
      <c r="AN99" s="36"/>
      <c r="AO99" s="52"/>
      <c r="AP99" s="47"/>
    </row>
    <row r="100" spans="1:43" ht="14.5" x14ac:dyDescent="0.35">
      <c r="D100" s="55"/>
      <c r="E100" s="54"/>
      <c r="F100" s="118"/>
      <c r="G100" s="55"/>
      <c r="H100" s="48"/>
      <c r="I100" s="56"/>
      <c r="J100" s="56"/>
      <c r="K100" s="51"/>
      <c r="L100" s="34"/>
      <c r="M100" s="56"/>
      <c r="N100" s="56"/>
      <c r="O100" s="56"/>
      <c r="P100" s="56"/>
      <c r="Q100" s="47"/>
      <c r="R100" s="34"/>
      <c r="S100" s="49"/>
      <c r="T100" s="49"/>
      <c r="U100" s="34"/>
      <c r="V100" s="50"/>
      <c r="W100" s="50"/>
      <c r="X100" s="48"/>
      <c r="Y100" s="34"/>
      <c r="Z100" s="63"/>
      <c r="AA100" s="59"/>
      <c r="AB100" s="59"/>
      <c r="AC100" s="36"/>
      <c r="AD100" s="56"/>
      <c r="AE100" s="56"/>
      <c r="AF100" s="47"/>
      <c r="AG100" s="36"/>
      <c r="AH100" s="56"/>
      <c r="AI100" s="56"/>
      <c r="AJ100" s="59"/>
      <c r="AK100" s="36"/>
      <c r="AL100" s="49"/>
      <c r="AM100" s="53"/>
      <c r="AN100" s="36"/>
      <c r="AO100" s="52"/>
      <c r="AP100" s="47"/>
    </row>
    <row r="101" spans="1:43" ht="14.5" x14ac:dyDescent="0.35">
      <c r="D101" s="55"/>
      <c r="E101" s="54"/>
      <c r="F101" s="118"/>
      <c r="G101" s="55"/>
      <c r="H101" s="48"/>
      <c r="I101" s="48"/>
      <c r="J101" s="56"/>
      <c r="K101" s="51"/>
      <c r="L101" s="34"/>
      <c r="M101" s="56"/>
      <c r="N101" s="56"/>
      <c r="O101" s="56"/>
      <c r="P101" s="56"/>
      <c r="Q101" s="47"/>
      <c r="R101" s="34"/>
      <c r="S101" s="49"/>
      <c r="T101" s="49"/>
      <c r="U101" s="34"/>
      <c r="V101" s="50"/>
      <c r="W101" s="50"/>
      <c r="X101" s="48"/>
      <c r="Y101" s="34"/>
      <c r="Z101" s="63"/>
      <c r="AA101" s="59"/>
      <c r="AB101" s="59"/>
      <c r="AC101" s="36"/>
      <c r="AD101" s="56"/>
      <c r="AE101" s="56"/>
      <c r="AF101" s="47"/>
      <c r="AG101" s="36"/>
      <c r="AH101" s="56"/>
      <c r="AI101" s="56"/>
      <c r="AJ101" s="59"/>
      <c r="AK101" s="36"/>
      <c r="AL101" s="49"/>
      <c r="AM101" s="53"/>
      <c r="AN101" s="36"/>
      <c r="AO101" s="52"/>
      <c r="AP101" s="47"/>
    </row>
    <row r="102" spans="1:43" ht="14.5" x14ac:dyDescent="0.35">
      <c r="D102" s="55"/>
      <c r="E102" s="54"/>
      <c r="F102" s="118"/>
      <c r="G102" s="55"/>
      <c r="H102" s="48"/>
      <c r="I102" s="48"/>
      <c r="J102" s="56"/>
      <c r="K102" s="51"/>
      <c r="L102" s="34"/>
      <c r="M102" s="56"/>
      <c r="N102" s="56"/>
      <c r="O102" s="56"/>
      <c r="P102" s="56"/>
      <c r="Q102" s="47"/>
      <c r="R102" s="34"/>
      <c r="S102" s="49"/>
      <c r="T102" s="49"/>
      <c r="U102" s="34"/>
      <c r="V102" s="50"/>
      <c r="W102" s="50"/>
      <c r="X102" s="48"/>
      <c r="Y102" s="34"/>
      <c r="Z102" s="63"/>
      <c r="AA102" s="59"/>
      <c r="AB102" s="59"/>
      <c r="AC102" s="36"/>
      <c r="AD102" s="56"/>
      <c r="AE102" s="56"/>
      <c r="AF102" s="47"/>
      <c r="AG102" s="36"/>
      <c r="AH102" s="56"/>
      <c r="AI102" s="56"/>
      <c r="AJ102" s="59"/>
      <c r="AK102" s="36"/>
      <c r="AL102" s="49"/>
      <c r="AM102" s="53"/>
      <c r="AN102" s="36"/>
      <c r="AO102" s="52"/>
      <c r="AP102" s="47"/>
    </row>
    <row r="103" spans="1:43" ht="14.5" x14ac:dyDescent="0.35">
      <c r="D103" s="55"/>
      <c r="E103" s="54"/>
      <c r="F103" s="118"/>
      <c r="G103" s="55"/>
      <c r="H103" s="48"/>
      <c r="I103" s="48"/>
      <c r="J103" s="56"/>
      <c r="K103" s="51"/>
      <c r="L103" s="34"/>
      <c r="M103" s="56"/>
      <c r="N103" s="56"/>
      <c r="O103" s="56"/>
      <c r="P103" s="56"/>
      <c r="Q103" s="47"/>
      <c r="R103" s="34"/>
      <c r="S103" s="49"/>
      <c r="T103" s="49"/>
      <c r="U103" s="34"/>
      <c r="V103" s="50"/>
      <c r="W103" s="50"/>
      <c r="X103" s="48"/>
      <c r="Y103" s="34"/>
      <c r="Z103" s="63"/>
      <c r="AA103" s="59"/>
      <c r="AB103" s="59"/>
      <c r="AC103" s="36"/>
      <c r="AD103" s="56"/>
      <c r="AE103" s="56"/>
      <c r="AF103" s="47"/>
      <c r="AG103" s="36"/>
      <c r="AH103" s="56"/>
      <c r="AI103" s="56"/>
      <c r="AJ103" s="59"/>
      <c r="AK103" s="36"/>
      <c r="AL103" s="49"/>
      <c r="AM103" s="53"/>
      <c r="AN103" s="36"/>
      <c r="AO103" s="52"/>
      <c r="AP103" s="47"/>
    </row>
    <row r="104" spans="1:43" ht="14.5" x14ac:dyDescent="0.35">
      <c r="D104" s="55"/>
      <c r="E104" s="54"/>
      <c r="F104" s="118"/>
      <c r="G104" s="55"/>
      <c r="H104" s="48"/>
      <c r="I104" s="48"/>
      <c r="J104" s="56"/>
      <c r="K104" s="51"/>
      <c r="L104" s="34"/>
      <c r="M104" s="56"/>
      <c r="N104" s="56"/>
      <c r="O104" s="56"/>
      <c r="P104" s="56"/>
      <c r="Q104" s="47"/>
      <c r="R104" s="34"/>
      <c r="S104" s="49"/>
      <c r="T104" s="49"/>
      <c r="U104" s="34"/>
      <c r="V104" s="50"/>
      <c r="W104" s="50"/>
      <c r="X104" s="48"/>
      <c r="Y104" s="34"/>
      <c r="Z104" s="63"/>
      <c r="AA104" s="59"/>
      <c r="AB104" s="59"/>
      <c r="AC104" s="36"/>
      <c r="AD104" s="56"/>
      <c r="AE104" s="56"/>
      <c r="AF104" s="47"/>
      <c r="AG104" s="36"/>
      <c r="AH104" s="56"/>
      <c r="AI104" s="56"/>
      <c r="AJ104" s="59"/>
      <c r="AK104" s="36"/>
      <c r="AL104" s="49"/>
      <c r="AM104" s="53"/>
      <c r="AN104" s="36"/>
      <c r="AO104" s="52"/>
      <c r="AP104" s="47"/>
    </row>
    <row r="105" spans="1:43" ht="14.5" x14ac:dyDescent="0.35">
      <c r="D105" s="55"/>
      <c r="E105" s="54"/>
      <c r="F105" s="118"/>
      <c r="G105" s="55"/>
      <c r="H105" s="48"/>
      <c r="I105" s="48"/>
      <c r="J105" s="56"/>
      <c r="K105" s="51"/>
      <c r="L105" s="34"/>
      <c r="M105" s="56"/>
      <c r="N105" s="56"/>
      <c r="O105" s="56"/>
      <c r="P105" s="56"/>
      <c r="Q105" s="47"/>
      <c r="R105" s="34"/>
      <c r="S105" s="49"/>
      <c r="T105" s="49"/>
      <c r="U105" s="34"/>
      <c r="V105" s="50"/>
      <c r="W105" s="50"/>
      <c r="X105" s="48"/>
      <c r="Y105" s="34"/>
      <c r="Z105" s="63"/>
      <c r="AA105" s="59"/>
      <c r="AB105" s="59"/>
      <c r="AC105" s="36"/>
      <c r="AD105" s="56"/>
      <c r="AE105" s="56"/>
      <c r="AF105" s="47"/>
      <c r="AG105" s="36"/>
      <c r="AH105" s="56"/>
      <c r="AI105" s="56"/>
      <c r="AJ105" s="59"/>
      <c r="AK105" s="36"/>
      <c r="AL105" s="49"/>
      <c r="AM105" s="53"/>
      <c r="AN105" s="36"/>
      <c r="AO105" s="52"/>
      <c r="AP105" s="47"/>
    </row>
    <row r="106" spans="1:43" ht="14.5" x14ac:dyDescent="0.35">
      <c r="D106" s="55"/>
      <c r="E106" s="54"/>
      <c r="F106" s="118"/>
      <c r="G106" s="55"/>
      <c r="H106" s="48"/>
      <c r="I106" s="48"/>
      <c r="J106" s="56"/>
      <c r="K106" s="51"/>
      <c r="L106" s="34"/>
      <c r="M106" s="56"/>
      <c r="N106" s="56"/>
      <c r="O106" s="56"/>
      <c r="P106" s="56"/>
      <c r="Q106" s="47"/>
      <c r="R106" s="34"/>
      <c r="S106" s="49"/>
      <c r="T106" s="49"/>
      <c r="U106" s="34"/>
      <c r="V106" s="50"/>
      <c r="W106" s="50"/>
      <c r="X106" s="48"/>
      <c r="Y106" s="34"/>
      <c r="Z106" s="63"/>
      <c r="AA106" s="59"/>
      <c r="AB106" s="59"/>
      <c r="AC106" s="36"/>
      <c r="AD106" s="56"/>
      <c r="AE106" s="56"/>
      <c r="AF106" s="47"/>
      <c r="AG106" s="36"/>
      <c r="AH106" s="56"/>
      <c r="AI106" s="56"/>
      <c r="AJ106" s="59"/>
      <c r="AK106" s="36"/>
      <c r="AL106" s="49"/>
      <c r="AM106" s="53"/>
      <c r="AN106" s="36"/>
      <c r="AO106" s="52"/>
      <c r="AP106" s="47"/>
    </row>
  </sheetData>
  <mergeCells count="29">
    <mergeCell ref="B8:B12"/>
    <mergeCell ref="B14:B18"/>
    <mergeCell ref="M5:Q5"/>
    <mergeCell ref="V5:X5"/>
    <mergeCell ref="B1:C5"/>
    <mergeCell ref="E5:F5"/>
    <mergeCell ref="H5:K5"/>
    <mergeCell ref="S5:T5"/>
    <mergeCell ref="E2:AP2"/>
    <mergeCell ref="H4:X4"/>
    <mergeCell ref="AL5:AM5"/>
    <mergeCell ref="AO5:AP5"/>
    <mergeCell ref="AA5:AB5"/>
    <mergeCell ref="AA4:AP4"/>
    <mergeCell ref="AD5:AJ5"/>
    <mergeCell ref="E3:F4"/>
    <mergeCell ref="B92:B97"/>
    <mergeCell ref="B20:B24"/>
    <mergeCell ref="B26:B30"/>
    <mergeCell ref="B32:B36"/>
    <mergeCell ref="B38:B42"/>
    <mergeCell ref="B44:B48"/>
    <mergeCell ref="B50:B54"/>
    <mergeCell ref="B56:B60"/>
    <mergeCell ref="B62:B66"/>
    <mergeCell ref="B68:B72"/>
    <mergeCell ref="B80:B84"/>
    <mergeCell ref="B86:B90"/>
    <mergeCell ref="B74:B78"/>
  </mergeCells>
  <conditionalFormatting sqref="E98:E106">
    <cfRule type="cellIs" dxfId="134" priority="41" operator="greaterThanOrEqual">
      <formula>0.91</formula>
    </cfRule>
    <cfRule type="cellIs" dxfId="133" priority="42" operator="between">
      <formula>0.71</formula>
      <formula>0.9</formula>
    </cfRule>
    <cfRule type="cellIs" dxfId="132" priority="43" operator="between">
      <formula>0.1</formula>
      <formula>0.79</formula>
    </cfRule>
  </conditionalFormatting>
  <conditionalFormatting sqref="F7">
    <cfRule type="cellIs" dxfId="131" priority="1191" operator="greaterThanOrEqual">
      <formula>0.91</formula>
    </cfRule>
    <cfRule type="cellIs" dxfId="130" priority="1192" operator="between">
      <formula>0.71</formula>
      <formula>0.9</formula>
    </cfRule>
    <cfRule type="cellIs" dxfId="129" priority="1193" operator="between">
      <formula>0.1</formula>
      <formula>0.79</formula>
    </cfRule>
  </conditionalFormatting>
  <conditionalFormatting sqref="F8:F12 F14:F18 F20:F24 F26:F30 F32:F36 F38:F42 F44:F48 F50:F54 F56:F60 F62:F66 F68:F72 F74:F78 F80:F84 F86:F90 F92:F95 F97">
    <cfRule type="cellIs" dxfId="128" priority="1175" operator="greaterThanOrEqual">
      <formula>0.9</formula>
    </cfRule>
    <cfRule type="cellIs" dxfId="127" priority="1176" operator="between">
      <formula>0.79</formula>
      <formula>0.9</formula>
    </cfRule>
    <cfRule type="cellIs" dxfId="126" priority="1177" operator="between">
      <formula>0.0001</formula>
      <formula>0.79</formula>
    </cfRule>
  </conditionalFormatting>
  <conditionalFormatting sqref="F13 F19 F25 F31 F37 F43 F49 F55 F61 F67 F79 F91 F98:F1048576">
    <cfRule type="cellIs" dxfId="125" priority="1198" operator="greaterThanOrEqual">
      <formula>0.91</formula>
    </cfRule>
    <cfRule type="cellIs" dxfId="124" priority="1199" operator="between">
      <formula>0.71</formula>
      <formula>0.9</formula>
    </cfRule>
    <cfRule type="cellIs" dxfId="123" priority="1200" operator="between">
      <formula>0.1</formula>
      <formula>0.79</formula>
    </cfRule>
  </conditionalFormatting>
  <conditionalFormatting sqref="F73">
    <cfRule type="cellIs" dxfId="122" priority="11" operator="greaterThanOrEqual">
      <formula>0.91</formula>
    </cfRule>
    <cfRule type="cellIs" dxfId="121" priority="12" operator="between">
      <formula>0.71</formula>
      <formula>0.9</formula>
    </cfRule>
    <cfRule type="cellIs" dxfId="120" priority="13" operator="between">
      <formula>0.1</formula>
      <formula>0.79</formula>
    </cfRule>
  </conditionalFormatting>
  <conditionalFormatting sqref="F85">
    <cfRule type="cellIs" dxfId="119" priority="221" operator="greaterThanOrEqual">
      <formula>0.91</formula>
    </cfRule>
    <cfRule type="cellIs" dxfId="118" priority="222" operator="between">
      <formula>0.71</formula>
      <formula>0.9</formula>
    </cfRule>
    <cfRule type="cellIs" dxfId="117" priority="223" operator="between">
      <formula>0.1</formula>
      <formula>0.79</formula>
    </cfRule>
  </conditionalFormatting>
  <conditionalFormatting sqref="F96">
    <cfRule type="cellIs" dxfId="116" priority="90" operator="greaterThanOrEqual">
      <formula>0.91</formula>
    </cfRule>
    <cfRule type="cellIs" dxfId="115" priority="91" operator="between">
      <formula>0.71</formula>
      <formula>0.9</formula>
    </cfRule>
    <cfRule type="cellIs" dxfId="114" priority="92" operator="between">
      <formula>0.1</formula>
      <formula>0.79</formula>
    </cfRule>
  </conditionalFormatting>
  <conditionalFormatting sqref="K7">
    <cfRule type="cellIs" dxfId="113" priority="1194" operator="greaterThanOrEqual">
      <formula>1</formula>
    </cfRule>
    <cfRule type="cellIs" dxfId="112" priority="1195" operator="between">
      <formula>0.9001</formula>
      <formula>0.9999</formula>
    </cfRule>
    <cfRule type="cellIs" dxfId="111" priority="1196" operator="lessThan">
      <formula>0.9</formula>
    </cfRule>
  </conditionalFormatting>
  <conditionalFormatting sqref="K8:K12 K14:K18 K20:K24 K26:K30 K32:K36 K38:K42 K44:K48 K50:K54 K56:K60 K62:K66 K68:K72 K74:K78 K80:K84 K86:K90">
    <cfRule type="cellIs" dxfId="110" priority="1189" operator="between">
      <formula>0.86</formula>
      <formula>0.9999</formula>
    </cfRule>
    <cfRule type="cellIs" dxfId="109" priority="1190" operator="greaterThanOrEqual">
      <formula>1</formula>
    </cfRule>
    <cfRule type="cellIs" dxfId="108" priority="1197" operator="lessThanOrEqual">
      <formula>0.86</formula>
    </cfRule>
  </conditionalFormatting>
  <conditionalFormatting sqref="K13 K19 K25 K31 K37 K43 K49 K55 K61 K67 K79 K91 K98:K1048576">
    <cfRule type="cellIs" dxfId="107" priority="1201" operator="greaterThanOrEqual">
      <formula>1</formula>
    </cfRule>
    <cfRule type="cellIs" dxfId="106" priority="1202" operator="between">
      <formula>0.9001</formula>
      <formula>0.9999</formula>
    </cfRule>
    <cfRule type="cellIs" dxfId="105" priority="1203" operator="lessThan">
      <formula>0.9</formula>
    </cfRule>
  </conditionalFormatting>
  <conditionalFormatting sqref="K73">
    <cfRule type="cellIs" dxfId="104" priority="14" operator="greaterThanOrEqual">
      <formula>1</formula>
    </cfRule>
    <cfRule type="cellIs" dxfId="103" priority="15" operator="between">
      <formula>0.9001</formula>
      <formula>0.9999</formula>
    </cfRule>
    <cfRule type="cellIs" dxfId="102" priority="16" operator="lessThan">
      <formula>0.9</formula>
    </cfRule>
  </conditionalFormatting>
  <conditionalFormatting sqref="K85">
    <cfRule type="cellIs" dxfId="101" priority="224" operator="greaterThanOrEqual">
      <formula>1</formula>
    </cfRule>
    <cfRule type="cellIs" dxfId="100" priority="225" operator="between">
      <formula>0.9001</formula>
      <formula>0.9999</formula>
    </cfRule>
    <cfRule type="cellIs" dxfId="99" priority="226" operator="lessThan">
      <formula>0.9</formula>
    </cfRule>
  </conditionalFormatting>
  <conditionalFormatting sqref="K92:K95 K97 X92:X95 X97">
    <cfRule type="cellIs" dxfId="98" priority="787" operator="lessThanOrEqual">
      <formula>0.86</formula>
    </cfRule>
  </conditionalFormatting>
  <conditionalFormatting sqref="K92:K95 K97">
    <cfRule type="cellIs" dxfId="97" priority="786" operator="between">
      <formula>0.86</formula>
      <formula>0.9999</formula>
    </cfRule>
  </conditionalFormatting>
  <conditionalFormatting sqref="K92:K95 X92:X95 K97 X97">
    <cfRule type="cellIs" dxfId="96" priority="784" operator="greaterThanOrEqual">
      <formula>1</formula>
    </cfRule>
  </conditionalFormatting>
  <conditionalFormatting sqref="K96">
    <cfRule type="cellIs" dxfId="95" priority="93" operator="greaterThanOrEqual">
      <formula>1</formula>
    </cfRule>
    <cfRule type="cellIs" dxfId="94" priority="94" operator="between">
      <formula>0.9001</formula>
      <formula>0.9999</formula>
    </cfRule>
    <cfRule type="cellIs" dxfId="93" priority="95" operator="lessThan">
      <formula>0.9</formula>
    </cfRule>
  </conditionalFormatting>
  <conditionalFormatting sqref="Q8:Q12 X8:X12 AF8:AF12 AJ8:AJ12 AP8:AP12 Q14:Q18 X14:X18 AF14:AF18 AJ14:AJ18 AP14:AP18 Q20:Q24 X20:X24 AF20:AF24 AJ20:AJ24 AP20:AP24 Q26:Q30 X26:X30 AF26:AF30 AJ26:AJ30 AP26:AP30 Q32:Q36 X32:X36 AF32:AF36 AJ32:AJ36 AP32:AP36 Q38:Q42 X38:X42 AF38:AF42 AJ38:AJ42 AP38:AP42 Q44:Q48 X44:X48 AF44:AF48 AJ44:AJ48 AP44:AP48 Q50:Q54 X50:X54 AF50:AF54 AJ50:AJ54 AP50:AP54 Q56:Q60 X56:X60 AF56:AF60 AJ56:AJ60 AP56:AP60 Q62:Q66 X62:X66 AF62:AF66 AJ62:AJ66 AP62:AP66 Q68:Q72 X68:X72 AF68:AF72 AJ68:AJ72 AP68:AP72 Q74:Q78 X74:X78 AF74:AF78 AJ74:AJ78 AP74:AP78 Q80:Q84 X80:X84 AF80:AF84 AJ80:AJ84 AP80:AP84 Q86:Q90 X86:X90 AF86:AF90 AJ86:AJ90 AP86:AP90 Q92:Q95 AF92:AF95 AJ92:AJ95 AP92:AP95 Q97 AF97 AJ97 AP97">
    <cfRule type="cellIs" dxfId="92" priority="1068" operator="greaterThanOrEqual">
      <formula>1</formula>
    </cfRule>
    <cfRule type="cellIs" dxfId="91" priority="1073" operator="between">
      <formula>0.86</formula>
      <formula>0.9999</formula>
    </cfRule>
  </conditionalFormatting>
  <conditionalFormatting sqref="S7:T7">
    <cfRule type="cellIs" dxfId="90" priority="1069" operator="greaterThanOrEqual">
      <formula>1</formula>
    </cfRule>
    <cfRule type="cellIs" dxfId="89" priority="1070" operator="between">
      <formula>0.9001</formula>
      <formula>0.9999</formula>
    </cfRule>
    <cfRule type="cellIs" dxfId="88" priority="1071" operator="lessThan">
      <formula>0.9</formula>
    </cfRule>
  </conditionalFormatting>
  <conditionalFormatting sqref="S13:T13 S19:T19 S25:T25 S31:T31 S37:T37 S43:T43 S49:T49 S55:T55 S61:T61 S67:T67 S79:T79 S91:T91 S98:T1048576">
    <cfRule type="cellIs" dxfId="87" priority="1074" operator="greaterThanOrEqual">
      <formula>1</formula>
    </cfRule>
    <cfRule type="cellIs" dxfId="86" priority="1075" operator="between">
      <formula>0.9001</formula>
      <formula>0.9999</formula>
    </cfRule>
    <cfRule type="cellIs" dxfId="85" priority="1076" operator="lessThan">
      <formula>0.9</formula>
    </cfRule>
  </conditionalFormatting>
  <conditionalFormatting sqref="S73:T73">
    <cfRule type="cellIs" dxfId="84" priority="8" operator="greaterThanOrEqual">
      <formula>1</formula>
    </cfRule>
    <cfRule type="cellIs" dxfId="83" priority="9" operator="between">
      <formula>0.9001</formula>
      <formula>0.9999</formula>
    </cfRule>
    <cfRule type="cellIs" dxfId="82" priority="10" operator="lessThan">
      <formula>0.9</formula>
    </cfRule>
  </conditionalFormatting>
  <conditionalFormatting sqref="S85:T85">
    <cfRule type="cellIs" dxfId="81" priority="218" operator="greaterThanOrEqual">
      <formula>1</formula>
    </cfRule>
    <cfRule type="cellIs" dxfId="80" priority="219" operator="between">
      <formula>0.9001</formula>
      <formula>0.9999</formula>
    </cfRule>
    <cfRule type="cellIs" dxfId="79" priority="220" operator="lessThan">
      <formula>0.9</formula>
    </cfRule>
  </conditionalFormatting>
  <conditionalFormatting sqref="S96:T96">
    <cfRule type="cellIs" dxfId="78" priority="87" operator="greaterThanOrEqual">
      <formula>1</formula>
    </cfRule>
    <cfRule type="cellIs" dxfId="77" priority="88" operator="between">
      <formula>0.9001</formula>
      <formula>0.9999</formula>
    </cfRule>
    <cfRule type="cellIs" dxfId="76" priority="89" operator="lessThan">
      <formula>0.9</formula>
    </cfRule>
  </conditionalFormatting>
  <conditionalFormatting sqref="X8:X12 AP92:AP95 AP97 X80:X84 X86:X90 AP8:AP12 AP80:AP84 AP86:AP90 X14:X18 AP14:AP18 X26:X30 AP26:AP30 X32:X36 AP32:AP36 X38:X42 AP38:AP42 X44:X48 AP44:AP48 X56:X60 AP56:AP60 X68:X72 AP68:AP72 X20:X24 AP20:AP24 X50:X54 AP50:AP54 X62:X66 AP62:AP66 X74:X78 AP74:AP78 Q8:Q12 AF8:AF12 AJ8:AJ12 Q14:Q18 AF14:AF18 AJ14:AJ18 Q20:Q24 AF20:AF24 AJ20:AJ24 Q26:Q30 AF26:AF30 AJ26:AJ30 Q32:Q36 AF32:AF36 AJ32:AJ36 Q38:Q42 AF38:AF42 AJ38:AJ42 Q44:Q48 AF44:AF48 AJ44:AJ48 Q50:Q54 AF50:AF54 AJ50:AJ54 Q56:Q60 AF56:AF60 AJ56:AJ60 Q62:Q66 AF62:AF66 AJ62:AJ66 Q68:Q72 AF68:AF72 AJ68:AJ72 Q74:Q78 AF74:AF78 AJ74:AJ78 Q80:Q84 AF80:AF84 AJ80:AJ84 Q86:Q90 AF86:AF90 AJ86:AJ90 Q92:Q95 AF92:AF95 AJ92:AJ95 Q97 AF97 AJ97">
    <cfRule type="cellIs" dxfId="75" priority="1072" operator="lessThanOrEqual">
      <formula>0.86</formula>
    </cfRule>
  </conditionalFormatting>
  <conditionalFormatting sqref="X8:X12">
    <cfRule type="cellIs" dxfId="74" priority="453" operator="lessThanOrEqual">
      <formula>0.85</formula>
    </cfRule>
    <cfRule type="cellIs" dxfId="73" priority="454" operator="between">
      <formula>0.86</formula>
      <formula>0.9999</formula>
    </cfRule>
  </conditionalFormatting>
  <conditionalFormatting sqref="X14:X18">
    <cfRule type="cellIs" dxfId="72" priority="82" operator="lessThanOrEqual">
      <formula>0.85</formula>
    </cfRule>
    <cfRule type="cellIs" dxfId="71" priority="83" operator="between">
      <formula>0.86</formula>
      <formula>0.9999</formula>
    </cfRule>
  </conditionalFormatting>
  <conditionalFormatting sqref="X20:X24">
    <cfRule type="cellIs" dxfId="70" priority="54" operator="lessThanOrEqual">
      <formula>0.85</formula>
    </cfRule>
    <cfRule type="cellIs" dxfId="69" priority="55" operator="between">
      <formula>0.86</formula>
      <formula>0.9999</formula>
    </cfRule>
  </conditionalFormatting>
  <conditionalFormatting sqref="X26:X30">
    <cfRule type="cellIs" dxfId="68" priority="78" operator="lessThanOrEqual">
      <formula>0.85</formula>
    </cfRule>
    <cfRule type="cellIs" dxfId="67" priority="79" operator="between">
      <formula>0.86</formula>
      <formula>0.9999</formula>
    </cfRule>
  </conditionalFormatting>
  <conditionalFormatting sqref="X32:X36">
    <cfRule type="cellIs" dxfId="66" priority="74" operator="lessThanOrEqual">
      <formula>0.85</formula>
    </cfRule>
    <cfRule type="cellIs" dxfId="65" priority="75" operator="between">
      <formula>0.86</formula>
      <formula>0.9999</formula>
    </cfRule>
  </conditionalFormatting>
  <conditionalFormatting sqref="X38:X42">
    <cfRule type="cellIs" dxfId="64" priority="70" operator="lessThanOrEqual">
      <formula>0.85</formula>
    </cfRule>
    <cfRule type="cellIs" dxfId="63" priority="71" operator="between">
      <formula>0.86</formula>
      <formula>0.9999</formula>
    </cfRule>
  </conditionalFormatting>
  <conditionalFormatting sqref="X44:X48">
    <cfRule type="cellIs" dxfId="62" priority="66" operator="lessThanOrEqual">
      <formula>0.85</formula>
    </cfRule>
    <cfRule type="cellIs" dxfId="61" priority="67" operator="between">
      <formula>0.86</formula>
      <formula>0.9999</formula>
    </cfRule>
  </conditionalFormatting>
  <conditionalFormatting sqref="X50:X54">
    <cfRule type="cellIs" dxfId="60" priority="50" operator="lessThanOrEqual">
      <formula>0.85</formula>
    </cfRule>
    <cfRule type="cellIs" dxfId="59" priority="51" operator="between">
      <formula>0.86</formula>
      <formula>0.9999</formula>
    </cfRule>
  </conditionalFormatting>
  <conditionalFormatting sqref="X56:X60">
    <cfRule type="cellIs" dxfId="58" priority="62" operator="lessThanOrEqual">
      <formula>0.85</formula>
    </cfRule>
    <cfRule type="cellIs" dxfId="57" priority="63" operator="between">
      <formula>0.86</formula>
      <formula>0.9999</formula>
    </cfRule>
  </conditionalFormatting>
  <conditionalFormatting sqref="X62:X66">
    <cfRule type="cellIs" dxfId="56" priority="46" operator="lessThanOrEqual">
      <formula>0.85</formula>
    </cfRule>
    <cfRule type="cellIs" dxfId="55" priority="47" operator="between">
      <formula>0.86</formula>
      <formula>0.9999</formula>
    </cfRule>
  </conditionalFormatting>
  <conditionalFormatting sqref="X68:X72">
    <cfRule type="cellIs" dxfId="54" priority="58" operator="lessThanOrEqual">
      <formula>0.85</formula>
    </cfRule>
    <cfRule type="cellIs" dxfId="53" priority="59" operator="between">
      <formula>0.86</formula>
      <formula>0.9999</formula>
    </cfRule>
  </conditionalFormatting>
  <conditionalFormatting sqref="X74:X78">
    <cfRule type="cellIs" dxfId="52" priority="6" operator="lessThanOrEqual">
      <formula>0.85</formula>
    </cfRule>
    <cfRule type="cellIs" dxfId="51" priority="7" operator="between">
      <formula>0.86</formula>
      <formula>0.9999</formula>
    </cfRule>
  </conditionalFormatting>
  <conditionalFormatting sqref="X80:X84 X86:X90">
    <cfRule type="cellIs" dxfId="50" priority="168" operator="lessThanOrEqual">
      <formula>0.85</formula>
    </cfRule>
    <cfRule type="cellIs" dxfId="49" priority="169" operator="between">
      <formula>0.86</formula>
      <formula>0.9999</formula>
    </cfRule>
  </conditionalFormatting>
  <conditionalFormatting sqref="X92:X95 X97">
    <cfRule type="cellIs" dxfId="48" priority="405" operator="between">
      <formula>0.86</formula>
      <formula>0.999999999</formula>
    </cfRule>
  </conditionalFormatting>
  <conditionalFormatting sqref="AL7">
    <cfRule type="cellIs" dxfId="47" priority="391" operator="greaterThanOrEqual">
      <formula>1</formula>
    </cfRule>
    <cfRule type="cellIs" dxfId="46" priority="392" operator="between">
      <formula>0.9001</formula>
      <formula>0.9999</formula>
    </cfRule>
    <cfRule type="cellIs" dxfId="45" priority="393" operator="lessThan">
      <formula>0.9</formula>
    </cfRule>
  </conditionalFormatting>
  <conditionalFormatting sqref="AL13 AL19 AL25 AL31 AL37 AL43 AL49 AL55 AL61 AL67 AL79 AL91">
    <cfRule type="cellIs" dxfId="44" priority="163" operator="greaterThanOrEqual">
      <formula>1</formula>
    </cfRule>
    <cfRule type="cellIs" dxfId="43" priority="164" operator="between">
      <formula>0.9001</formula>
      <formula>0.9999</formula>
    </cfRule>
    <cfRule type="cellIs" dxfId="42" priority="165" operator="lessThan">
      <formula>0.9</formula>
    </cfRule>
  </conditionalFormatting>
  <conditionalFormatting sqref="AL73">
    <cfRule type="cellIs" dxfId="41" priority="3" operator="greaterThanOrEqual">
      <formula>1</formula>
    </cfRule>
    <cfRule type="cellIs" dxfId="40" priority="4" operator="between">
      <formula>0.9001</formula>
      <formula>0.9999</formula>
    </cfRule>
    <cfRule type="cellIs" dxfId="39" priority="5" operator="lessThan">
      <formula>0.9</formula>
    </cfRule>
  </conditionalFormatting>
  <conditionalFormatting sqref="AL85">
    <cfRule type="cellIs" dxfId="38" priority="160" operator="greaterThanOrEqual">
      <formula>1</formula>
    </cfRule>
    <cfRule type="cellIs" dxfId="37" priority="161" operator="between">
      <formula>0.9001</formula>
      <formula>0.9999</formula>
    </cfRule>
    <cfRule type="cellIs" dxfId="36" priority="162" operator="lessThan">
      <formula>0.9</formula>
    </cfRule>
  </conditionalFormatting>
  <conditionalFormatting sqref="AL96">
    <cfRule type="cellIs" dxfId="35" priority="84" operator="greaterThanOrEqual">
      <formula>1</formula>
    </cfRule>
    <cfRule type="cellIs" dxfId="34" priority="85" operator="between">
      <formula>0.9001</formula>
      <formula>0.9999</formula>
    </cfRule>
    <cfRule type="cellIs" dxfId="33" priority="86" operator="lessThan">
      <formula>0.9</formula>
    </cfRule>
  </conditionalFormatting>
  <conditionalFormatting sqref="AL98:AL1048576">
    <cfRule type="cellIs" dxfId="32" priority="396" operator="greaterThanOrEqual">
      <formula>1</formula>
    </cfRule>
    <cfRule type="cellIs" dxfId="31" priority="397" operator="between">
      <formula>0.9001</formula>
      <formula>0.9999</formula>
    </cfRule>
    <cfRule type="cellIs" dxfId="30" priority="398" operator="lessThan">
      <formula>0.9</formula>
    </cfRule>
  </conditionalFormatting>
  <conditionalFormatting sqref="AP8:AP12">
    <cfRule type="cellIs" dxfId="29" priority="158" operator="lessThanOrEqual">
      <formula>0.85</formula>
    </cfRule>
    <cfRule type="cellIs" dxfId="28" priority="159" operator="between">
      <formula>0.86</formula>
      <formula>0.9999</formula>
    </cfRule>
  </conditionalFormatting>
  <conditionalFormatting sqref="AP14:AP18">
    <cfRule type="cellIs" dxfId="27" priority="80" operator="lessThanOrEqual">
      <formula>0.85</formula>
    </cfRule>
    <cfRule type="cellIs" dxfId="26" priority="81" operator="between">
      <formula>0.86</formula>
      <formula>0.9999</formula>
    </cfRule>
  </conditionalFormatting>
  <conditionalFormatting sqref="AP20:AP24">
    <cfRule type="cellIs" dxfId="25" priority="52" operator="lessThanOrEqual">
      <formula>0.85</formula>
    </cfRule>
    <cfRule type="cellIs" dxfId="24" priority="53" operator="between">
      <formula>0.86</formula>
      <formula>0.9999</formula>
    </cfRule>
  </conditionalFormatting>
  <conditionalFormatting sqref="AP26:AP30">
    <cfRule type="cellIs" dxfId="23" priority="76" operator="lessThanOrEqual">
      <formula>0.85</formula>
    </cfRule>
    <cfRule type="cellIs" dxfId="22" priority="77" operator="between">
      <formula>0.86</formula>
      <formula>0.9999</formula>
    </cfRule>
  </conditionalFormatting>
  <conditionalFormatting sqref="AP32:AP36">
    <cfRule type="cellIs" dxfId="21" priority="72" operator="lessThanOrEqual">
      <formula>0.85</formula>
    </cfRule>
    <cfRule type="cellIs" dxfId="20" priority="73" operator="between">
      <formula>0.86</formula>
      <formula>0.9999</formula>
    </cfRule>
  </conditionalFormatting>
  <conditionalFormatting sqref="AP38:AP42">
    <cfRule type="cellIs" dxfId="19" priority="68" operator="lessThanOrEqual">
      <formula>0.85</formula>
    </cfRule>
    <cfRule type="cellIs" dxfId="18" priority="69" operator="between">
      <formula>0.86</formula>
      <formula>0.9999</formula>
    </cfRule>
  </conditionalFormatting>
  <conditionalFormatting sqref="AP44:AP48">
    <cfRule type="cellIs" dxfId="17" priority="64" operator="lessThanOrEqual">
      <formula>0.85</formula>
    </cfRule>
    <cfRule type="cellIs" dxfId="16" priority="65" operator="between">
      <formula>0.86</formula>
      <formula>0.9999</formula>
    </cfRule>
  </conditionalFormatting>
  <conditionalFormatting sqref="AP50:AP54">
    <cfRule type="cellIs" dxfId="15" priority="48" operator="lessThanOrEqual">
      <formula>0.85</formula>
    </cfRule>
    <cfRule type="cellIs" dxfId="14" priority="49" operator="between">
      <formula>0.86</formula>
      <formula>0.9999</formula>
    </cfRule>
  </conditionalFormatting>
  <conditionalFormatting sqref="AP56:AP60">
    <cfRule type="cellIs" dxfId="13" priority="60" operator="lessThanOrEqual">
      <formula>0.85</formula>
    </cfRule>
    <cfRule type="cellIs" dxfId="12" priority="61" operator="between">
      <formula>0.86</formula>
      <formula>0.9999</formula>
    </cfRule>
  </conditionalFormatting>
  <conditionalFormatting sqref="AP62:AP66">
    <cfRule type="cellIs" dxfId="11" priority="44" operator="lessThanOrEqual">
      <formula>0.85</formula>
    </cfRule>
    <cfRule type="cellIs" dxfId="10" priority="45" operator="between">
      <formula>0.86</formula>
      <formula>0.9999</formula>
    </cfRule>
  </conditionalFormatting>
  <conditionalFormatting sqref="AP68:AP72">
    <cfRule type="cellIs" dxfId="9" priority="56" operator="lessThanOrEqual">
      <formula>0.85</formula>
    </cfRule>
    <cfRule type="cellIs" dxfId="8" priority="57" operator="between">
      <formula>0.86</formula>
      <formula>0.9999</formula>
    </cfRule>
  </conditionalFormatting>
  <conditionalFormatting sqref="AP74:AP78">
    <cfRule type="cellIs" dxfId="7" priority="1" operator="lessThanOrEqual">
      <formula>0.85</formula>
    </cfRule>
    <cfRule type="cellIs" dxfId="6" priority="2" operator="between">
      <formula>0.86</formula>
      <formula>0.9999</formula>
    </cfRule>
  </conditionalFormatting>
  <conditionalFormatting sqref="AP80:AP84">
    <cfRule type="cellIs" dxfId="5" priority="102" operator="lessThanOrEqual">
      <formula>0.85</formula>
    </cfRule>
    <cfRule type="cellIs" dxfId="4" priority="103" operator="between">
      <formula>0.86</formula>
      <formula>0.9999</formula>
    </cfRule>
  </conditionalFormatting>
  <conditionalFormatting sqref="AP86:AP90">
    <cfRule type="cellIs" dxfId="3" priority="96" operator="lessThanOrEqual">
      <formula>0.85</formula>
    </cfRule>
    <cfRule type="cellIs" dxfId="2" priority="97" operator="between">
      <formula>0.86</formula>
      <formula>0.9999</formula>
    </cfRule>
  </conditionalFormatting>
  <conditionalFormatting sqref="AP92:AP95 AP97">
    <cfRule type="cellIs" dxfId="1" priority="230" operator="lessThanOrEqual">
      <formula>0.85</formula>
    </cfRule>
    <cfRule type="cellIs" dxfId="0" priority="231" operator="between">
      <formula>0.86</formula>
      <formula>0.9999</formula>
    </cfRule>
  </conditionalFormatting>
  <printOptions horizontalCentered="1"/>
  <pageMargins left="0" right="0" top="0" bottom="0" header="0" footer="0"/>
  <pageSetup paperSize="9" scale="31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PAD - DISTRIBUIÇÃO</vt:lpstr>
      <vt:lpstr>PAD - LOJAS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francislanias</dc:creator>
  <cp:lastModifiedBy>LEONARDO SANTOS DE SOUZA</cp:lastModifiedBy>
  <cp:lastPrinted>2026-10-07T13:19:45Z</cp:lastPrinted>
  <dcterms:created xsi:type="dcterms:W3CDTF">2013-12-24T17:42:15Z</dcterms:created>
  <dcterms:modified xsi:type="dcterms:W3CDTF">2026-10-07T13:21:40Z</dcterms:modified>
</cp:coreProperties>
</file>