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<sst xmlns="http://schemas.openxmlformats.org/spreadsheetml/2006/main" count="333" uniqueCount="92">
  <si>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</si>
  <si>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</si>
  <si>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</si>
  <si>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</si>
  <si>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</si>
  <si>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</si>
  <si>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</si>
  <si>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</si>
  <si>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</si>
  <si>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</si>
  <si>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</si>
  <si>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</si>
  <si>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</si>
  <si>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</si>
  <si>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</si>
  <si>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</si>
  <si>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</si>
  <si>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</si>
  <si>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</si>
  <si>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</si>
  <si>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</si>
  <si>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</si>
  <si>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</si>
  <si>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</si>
  <si>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</si>
  <si>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</si>
  <si>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</si>
  <si>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</si>
  <si>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</si>
  <si>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</si>
  <si>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</si>
  <si>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</si>
  <si>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</si>
  <si>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</si>
  <si>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</si>
  <si>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</si>
  <si>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</si>
  <si>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</si>
  <si>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ceasa</t>
  </si>
  <si>
    <t>casa</t>
  </si>
  <si>
    <t>imb</t>
  </si>
  <si>
    <t>lojão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</si>
  <si>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</si>
  <si>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</si>
  <si>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</si>
  <si>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</si>
  <si>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</si>
  <si>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</si>
  <si>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</si>
  <si>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</si>
  <si>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</si>
  <si>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</si>
  <si>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</si>
  <si>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</si>
  <si>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</si>
  <si>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</si>
  <si>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</si>
  <si>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</si>
  <si>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</si>
  <si>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</si>
  <si>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</si>
  <si>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</si>
  <si>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</si>
  <si>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</si>
  <si>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</si>
  <si>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</si>
  <si>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</si>
  <si>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</si>
  <si>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</si>
  <si>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</si>
  <si>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</si>
  <si>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</si>
  <si>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</si>
  <si>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</si>
  <si>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</si>
  <si>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</si>
  <si>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</si>
  <si>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</si>
  <si>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</si>
  <si>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</si>
  <si>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</si>
  <si>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</si>
  <si>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</si>
  <si>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</si>
  <si>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</si>
  <si>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</si>
  <si>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fim de semana</t>
  </si>
  <si>
    <t>fim de samana</t>
  </si>
  <si>
    <t>ULTIMA SEMANA AJUSTA PARA 21 DIAS</t>
  </si>
  <si>
    <t>CEASA E LOJÃO NÃO CONTA O DOMINGO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</si>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</sst>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8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11"/>
      <color theme="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1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b/>
      <sz val="8"/>
      <color theme="0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4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164" fontId="17" fillId="4" borderId="1" xfId="0" applyNumberFormat="1" applyFont="1" applyFill="1" applyBorder="1" applyAlignment="1">
      <alignment vertical="center"/>
    </xf>
    <xf numFmtId="0" fontId="18" fillId="0" borderId="0" xfId="0" applyFont="1"/>
    <xf numFmtId="164" fontId="18" fillId="4" borderId="1" xfId="0" applyNumberFormat="1" applyFont="1" applyFill="1" applyBorder="1" applyAlignment="1">
      <alignment vertical="center"/>
    </xf>
    <xf numFmtId="165" fontId="18" fillId="4" borderId="1" xfId="2" applyNumberFormat="1" applyFont="1" applyFill="1" applyBorder="1" applyAlignment="1">
      <alignment horizontal="center" vertical="center"/>
    </xf>
    <xf numFmtId="165" fontId="17" fillId="4" borderId="1" xfId="2" applyNumberFormat="1" applyFont="1" applyFill="1" applyBorder="1" applyAlignment="1">
      <alignment horizontal="center" vertical="center"/>
    </xf>
    <xf numFmtId="43" fontId="17" fillId="4" borderId="1" xfId="1" applyFont="1" applyFill="1" applyBorder="1" applyAlignment="1">
      <alignment vertical="center"/>
    </xf>
    <xf numFmtId="164" fontId="20" fillId="2" borderId="1" xfId="1" applyNumberFormat="1" applyFont="1" applyFill="1" applyBorder="1"/>
    <xf numFmtId="0" fontId="21" fillId="0" borderId="0" xfId="0" applyFont="1"/>
    <xf numFmtId="164" fontId="21" fillId="2" borderId="1" xfId="1" applyNumberFormat="1" applyFont="1" applyFill="1" applyBorder="1"/>
    <xf numFmtId="0" fontId="20" fillId="0" borderId="0" xfId="0" applyFont="1"/>
    <xf numFmtId="164" fontId="20" fillId="2" borderId="2" xfId="1" applyNumberFormat="1" applyFont="1" applyFill="1" applyBorder="1" applyAlignment="1">
      <alignment horizontal="center"/>
    </xf>
    <xf numFmtId="43" fontId="20" fillId="2" borderId="1" xfId="1" applyFont="1" applyFill="1" applyBorder="1"/>
    <xf numFmtId="0" fontId="17" fillId="0" borderId="0" xfId="0" applyFont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4" fontId="23" fillId="3" borderId="1" xfId="0" applyNumberFormat="1" applyFont="1" applyFill="1" applyBorder="1" applyAlignment="1">
      <alignment vertical="center"/>
    </xf>
    <xf numFmtId="165" fontId="18" fillId="3" borderId="1" xfId="2" applyNumberFormat="1" applyFont="1" applyFill="1" applyBorder="1" applyAlignment="1">
      <alignment horizontal="center" vertical="center"/>
    </xf>
    <xf numFmtId="43" fontId="23" fillId="3" borderId="1" xfId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43" fontId="22" fillId="3" borderId="1" xfId="1" applyFont="1" applyFill="1" applyBorder="1" applyAlignment="1">
      <alignment vertical="center"/>
    </xf>
    <xf numFmtId="0" fontId="20" fillId="2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43" fontId="21" fillId="2" borderId="0" xfId="1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164" fontId="20" fillId="2" borderId="0" xfId="1" applyNumberFormat="1" applyFont="1" applyFill="1"/>
    <xf numFmtId="165" fontId="20" fillId="2" borderId="0" xfId="2" applyNumberFormat="1" applyFont="1" applyFill="1"/>
    <xf numFmtId="0" fontId="24" fillId="0" borderId="0" xfId="0" applyFont="1"/>
    <xf numFmtId="164" fontId="21" fillId="2" borderId="0" xfId="0" applyNumberFormat="1" applyFont="1" applyFill="1"/>
    <xf numFmtId="0" fontId="25" fillId="0" borderId="0" xfId="0" applyFont="1" applyAlignment="1">
      <alignment vertical="center"/>
    </xf>
    <xf numFmtId="0" fontId="26" fillId="0" borderId="0" xfId="0" applyFont="1"/>
    <xf numFmtId="0" fontId="27" fillId="0" borderId="0" xfId="0" applyFont="1"/>
    <xf numFmtId="164" fontId="20" fillId="2" borderId="0" xfId="0" applyNumberFormat="1" applyFont="1" applyFill="1"/>
    <xf numFmtId="164" fontId="8" fillId="2" borderId="0" xfId="0" applyNumberFormat="1" applyFont="1" applyFill="1"/>
    <xf numFmtId="0" fontId="0" fillId="5" borderId="0" xfId="0" applyFill="1"/>
    <xf numFmtId="0" fontId="15" fillId="0" borderId="0" xfId="0" applyFont="1"/>
    <xf numFmtId="9" fontId="19" fillId="0" borderId="0" xfId="2" applyFont="1" applyFill="1"/>
    <xf numFmtId="0" fontId="19" fillId="0" borderId="0" xfId="0" applyFont="1"/>
    <xf numFmtId="0" fontId="16" fillId="0" borderId="0" xfId="0" applyFont="1" applyAlignment="1">
      <alignment horizontal="center"/>
    </xf>
    <xf numFmtId="0" fontId="28" fillId="0" borderId="0" xfId="0" applyFont="1"/>
    <xf numFmtId="43" fontId="7" fillId="0" borderId="0" xfId="1" applyFont="1" applyFill="1"/>
    <xf numFmtId="43" fontId="8" fillId="0" borderId="0" xfId="1" applyFont="1" applyFill="1"/>
    <xf numFmtId="164" fontId="22" fillId="6" borderId="1" xfId="0" applyNumberFormat="1" applyFont="1" applyFill="1" applyBorder="1" applyAlignment="1">
      <alignment vertical="center"/>
    </xf>
    <xf numFmtId="165" fontId="18" fillId="0" borderId="1" xfId="2" applyNumberFormat="1" applyFont="1" applyFill="1" applyBorder="1" applyAlignment="1">
      <alignment horizontal="center" vertical="center"/>
    </xf>
    <xf numFmtId="165" fontId="17" fillId="0" borderId="1" xfId="2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2" fillId="0" borderId="3" xfId="0" applyNumberFormat="1" applyFont="1" applyBorder="1" applyAlignment="1">
      <alignment vertical="center"/>
    </xf>
    <xf numFmtId="0" fontId="23" fillId="0" borderId="3" xfId="0" applyFont="1" applyBorder="1" applyAlignment="1">
      <alignment vertical="center"/>
    </xf>
    <xf numFmtId="164" fontId="23" fillId="0" borderId="3" xfId="0" applyNumberFormat="1" applyFont="1" applyBorder="1" applyAlignment="1">
      <alignment vertical="center"/>
    </xf>
    <xf numFmtId="165" fontId="18" fillId="0" borderId="3" xfId="2" applyNumberFormat="1" applyFont="1" applyFill="1" applyBorder="1" applyAlignment="1">
      <alignment horizontal="center" vertical="center"/>
    </xf>
    <xf numFmtId="43" fontId="23" fillId="0" borderId="3" xfId="1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10" fontId="18" fillId="4" borderId="1" xfId="2" applyNumberFormat="1" applyFont="1" applyFill="1" applyBorder="1" applyAlignment="1">
      <alignment horizontal="center" vertical="center"/>
    </xf>
    <xf numFmtId="10" fontId="18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7" fillId="0" borderId="1" xfId="0" applyNumberFormat="1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64" fontId="29" fillId="0" borderId="1" xfId="0" applyNumberFormat="1" applyFont="1" applyBorder="1" applyAlignment="1">
      <alignment horizontal="center" vertical="center"/>
    </xf>
    <xf numFmtId="0" fontId="17" fillId="0" borderId="0" xfId="0" applyFont="1"/>
    <xf numFmtId="43" fontId="18" fillId="0" borderId="1" xfId="0" applyNumberFormat="1" applyFont="1" applyBorder="1" applyAlignment="1">
      <alignment vertical="center"/>
    </xf>
    <xf numFmtId="43" fontId="29" fillId="0" borderId="1" xfId="0" applyNumberFormat="1" applyFont="1" applyBorder="1" applyAlignment="1">
      <alignment horizontal="center" vertical="center"/>
    </xf>
    <xf numFmtId="164" fontId="30" fillId="0" borderId="1" xfId="1" applyNumberFormat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horizontal="center" vertical="center"/>
    </xf>
    <xf numFmtId="165" fontId="17" fillId="0" borderId="0" xfId="0" applyNumberFormat="1" applyFont="1"/>
    <xf numFmtId="165" fontId="20" fillId="0" borderId="0" xfId="0" applyNumberFormat="1" applyFont="1"/>
    <xf numFmtId="164" fontId="22" fillId="6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8" fillId="3" borderId="14" xfId="2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10" fontId="23" fillId="3" borderId="14" xfId="2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43" fontId="23" fillId="3" borderId="14" xfId="1" applyFont="1" applyFill="1" applyBorder="1" applyAlignment="1">
      <alignment vertical="center"/>
    </xf>
    <xf numFmtId="10" fontId="18" fillId="3" borderId="14" xfId="2" applyNumberFormat="1" applyFont="1" applyFill="1" applyBorder="1" applyAlignment="1">
      <alignment horizontal="center" vertical="center"/>
    </xf>
    <xf numFmtId="9" fontId="19" fillId="0" borderId="14" xfId="2" applyFont="1" applyFill="1" applyBorder="1"/>
    <xf numFmtId="165" fontId="23" fillId="3" borderId="14" xfId="2" applyNumberFormat="1" applyFont="1" applyFill="1" applyBorder="1" applyAlignment="1">
      <alignment horizontal="center" vertical="center"/>
    </xf>
    <xf numFmtId="43" fontId="22" fillId="3" borderId="14" xfId="1" applyFont="1" applyFill="1" applyBorder="1" applyAlignment="1">
      <alignment vertical="center"/>
    </xf>
    <xf numFmtId="164" fontId="21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37" fillId="7" borderId="0" xfId="0" applyFont="1" applyFill="1" applyAlignment="1">
      <alignment horizontal="center" vertical="center"/>
    </xf>
    <xf numFmtId="0" fontId="44" fillId="0" borderId="5" xfId="0" applyFont="1" applyBorder="1" applyAlignment="1">
      <alignment horizontal="center"/>
    </xf>
    <xf numFmtId="0" fontId="45" fillId="0" borderId="0" xfId="0" applyFont="1"/>
    <xf numFmtId="10" fontId="21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7" fillId="0" borderId="3" xfId="2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horizontal="center"/>
    </xf>
    <xf numFmtId="165" fontId="17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6" fillId="2" borderId="0" xfId="0" applyFont="1" applyFill="1"/>
    <xf numFmtId="165" fontId="17" fillId="2" borderId="1" xfId="2" applyNumberFormat="1" applyFont="1" applyFill="1" applyBorder="1" applyAlignment="1">
      <alignment horizontal="center" vertical="center"/>
    </xf>
    <xf numFmtId="0" fontId="46" fillId="0" borderId="0" xfId="0" applyFont="1"/>
    <xf numFmtId="165" fontId="43" fillId="2" borderId="0" xfId="2" applyNumberFormat="1" applyFont="1" applyFill="1" applyAlignment="1">
      <alignment horizontal="center"/>
    </xf>
    <xf numFmtId="165" fontId="17" fillId="2" borderId="0" xfId="2" applyNumberFormat="1" applyFont="1" applyFill="1"/>
    <xf numFmtId="165" fontId="48" fillId="2" borderId="0" xfId="2" applyNumberFormat="1" applyFont="1" applyFill="1"/>
    <xf numFmtId="165" fontId="49" fillId="0" borderId="1" xfId="2" applyNumberFormat="1" applyFont="1" applyFill="1" applyBorder="1" applyAlignment="1">
      <alignment horizontal="center" vertical="center"/>
    </xf>
    <xf numFmtId="165" fontId="49" fillId="0" borderId="3" xfId="2" applyNumberFormat="1" applyFont="1" applyFill="1" applyBorder="1" applyAlignment="1">
      <alignment horizontal="center" vertical="center"/>
    </xf>
    <xf numFmtId="165" fontId="49" fillId="6" borderId="1" xfId="2" applyNumberFormat="1" applyFont="1" applyFill="1" applyBorder="1" applyAlignment="1">
      <alignment horizontal="center" vertical="center"/>
    </xf>
    <xf numFmtId="165" fontId="50" fillId="2" borderId="1" xfId="2" applyNumberFormat="1" applyFont="1" applyFill="1" applyBorder="1" applyAlignment="1">
      <alignment horizontal="center" vertical="center"/>
    </xf>
    <xf numFmtId="165" fontId="50" fillId="4" borderId="1" xfId="2" applyNumberFormat="1" applyFont="1" applyFill="1" applyBorder="1" applyAlignment="1">
      <alignment horizontal="center" vertical="center"/>
    </xf>
    <xf numFmtId="165" fontId="51" fillId="2" borderId="0" xfId="2" applyNumberFormat="1" applyFont="1" applyFill="1" applyAlignment="1">
      <alignment horizontal="center"/>
    </xf>
    <xf numFmtId="165" fontId="50" fillId="6" borderId="14" xfId="2" applyNumberFormat="1" applyFont="1" applyFill="1" applyBorder="1" applyAlignment="1">
      <alignment horizontal="center" vertical="center"/>
    </xf>
    <xf numFmtId="10" fontId="20" fillId="0" borderId="1" xfId="2" applyNumberFormat="1" applyFont="1" applyFill="1" applyBorder="1" applyAlignment="1">
      <alignment horizontal="center"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22" fillId="3" borderId="14" xfId="2" applyNumberFormat="1" applyFont="1" applyFill="1" applyBorder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164" fontId="21" fillId="0" borderId="1" xfId="1" applyNumberFormat="1" applyFont="1" applyFill="1" applyBorder="1"/>
    <xf numFmtId="165" fontId="57" fillId="2" borderId="1" xfId="2" applyNumberFormat="1" applyFont="1" applyFill="1" applyBorder="1" applyAlignment="1">
      <alignment horizontal="center" vertical="center"/>
    </xf>
    <xf numFmtId="0" fontId="31" fillId="9" borderId="0" xfId="0" applyFont="1" applyFill="1"/>
    <xf numFmtId="0" fontId="12" fillId="9" borderId="0" xfId="0" applyFont="1" applyFill="1" applyAlignment="1">
      <alignment horizontal="center"/>
    </xf>
    <xf numFmtId="0" fontId="33" fillId="9" borderId="0" xfId="0" applyFont="1" applyFill="1" applyAlignment="1">
      <alignment vertical="center"/>
    </xf>
    <xf numFmtId="0" fontId="61" fillId="9" borderId="0" xfId="0" applyFont="1" applyFill="1" applyAlignment="1">
      <alignment vertical="center"/>
    </xf>
    <xf numFmtId="0" fontId="40" fillId="9" borderId="6" xfId="0" applyFont="1" applyFill="1" applyBorder="1"/>
    <xf numFmtId="43" fontId="43" fillId="9" borderId="6" xfId="1" applyFont="1" applyFill="1" applyBorder="1" applyAlignment="1">
      <alignment horizontal="center" vertical="center" wrapText="1"/>
    </xf>
    <xf numFmtId="0" fontId="40" fillId="9" borderId="0" xfId="0" applyFont="1" applyFill="1"/>
    <xf numFmtId="43" fontId="50" fillId="9" borderId="6" xfId="1" applyFont="1" applyFill="1" applyBorder="1" applyAlignment="1">
      <alignment horizontal="center" vertical="center" wrapText="1"/>
    </xf>
    <xf numFmtId="43" fontId="59" fillId="9" borderId="6" xfId="1" applyFont="1" applyFill="1" applyBorder="1" applyAlignment="1">
      <alignment horizontal="center" vertical="center" wrapText="1"/>
    </xf>
    <xf numFmtId="43" fontId="43" fillId="9" borderId="7" xfId="1" applyFont="1" applyFill="1" applyBorder="1" applyAlignment="1">
      <alignment horizontal="center" vertical="center" wrapText="1"/>
    </xf>
    <xf numFmtId="0" fontId="55" fillId="9" borderId="0" xfId="0" applyFont="1" applyFill="1"/>
    <xf numFmtId="165" fontId="55" fillId="9" borderId="0" xfId="2" applyNumberFormat="1" applyFont="1" applyFill="1"/>
    <xf numFmtId="0" fontId="56" fillId="9" borderId="0" xfId="0" applyFont="1" applyFill="1"/>
    <xf numFmtId="0" fontId="55" fillId="9" borderId="0" xfId="0" applyFont="1" applyFill="1" applyAlignment="1">
      <alignment horizontal="center"/>
    </xf>
    <xf numFmtId="43" fontId="55" fillId="9" borderId="0" xfId="1" applyFont="1" applyFill="1"/>
    <xf numFmtId="0" fontId="52" fillId="9" borderId="0" xfId="0" applyFont="1" applyFill="1" applyAlignment="1">
      <alignment horizontal="center"/>
    </xf>
    <xf numFmtId="0" fontId="53" fillId="9" borderId="0" xfId="0" applyFont="1" applyFill="1"/>
    <xf numFmtId="43" fontId="40" fillId="9" borderId="0" xfId="1" applyFont="1" applyFill="1"/>
    <xf numFmtId="0" fontId="54" fillId="9" borderId="0" xfId="0" applyFont="1" applyFill="1"/>
    <xf numFmtId="0" fontId="39" fillId="9" borderId="0" xfId="0" applyFont="1" applyFill="1"/>
    <xf numFmtId="43" fontId="62" fillId="9" borderId="6" xfId="1" applyFont="1" applyFill="1" applyBorder="1" applyAlignment="1">
      <alignment horizontal="center" vertical="center" wrapText="1"/>
    </xf>
    <xf numFmtId="0" fontId="61" fillId="9" borderId="0" xfId="0" applyFont="1" applyFill="1"/>
    <xf numFmtId="43" fontId="4" fillId="9" borderId="7" xfId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166" fontId="60" fillId="9" borderId="10" xfId="0" applyNumberFormat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/>
    </xf>
    <xf numFmtId="0" fontId="38" fillId="0" borderId="5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" fillId="0" borderId="0" xfId="0" applyFont="1"/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0" fillId="3" borderId="0" xfId="0" applyFill="1"/>
    <xf numFmtId="0" fontId="37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33" fillId="4" borderId="8" xfId="0" applyFont="1" applyFill="1" applyBorder="1" applyAlignment="1">
      <alignment vertical="center"/>
    </xf>
    <xf numFmtId="0" fontId="31" fillId="4" borderId="16" xfId="0" applyFont="1" applyFill="1" applyBorder="1"/>
    <xf numFmtId="0" fontId="32" fillId="4" borderId="16" xfId="0" applyFont="1" applyFill="1" applyBorder="1"/>
    <xf numFmtId="165" fontId="47" fillId="4" borderId="16" xfId="2" applyNumberFormat="1" applyFont="1" applyFill="1" applyBorder="1"/>
    <xf numFmtId="0" fontId="15" fillId="4" borderId="16" xfId="0" applyFont="1" applyFill="1" applyBorder="1" applyAlignment="1">
      <alignment horizontal="center"/>
    </xf>
    <xf numFmtId="0" fontId="15" fillId="4" borderId="16" xfId="0" applyFont="1" applyFill="1" applyBorder="1"/>
    <xf numFmtId="0" fontId="32" fillId="4" borderId="16" xfId="0" applyFont="1" applyFill="1" applyBorder="1" applyAlignment="1">
      <alignment horizontal="center"/>
    </xf>
    <xf numFmtId="43" fontId="32" fillId="4" borderId="16" xfId="1" applyFont="1" applyFill="1" applyBorder="1"/>
    <xf numFmtId="164" fontId="15" fillId="4" borderId="16" xfId="1" applyNumberFormat="1" applyFont="1" applyFill="1" applyBorder="1"/>
    <xf numFmtId="43" fontId="15" fillId="4" borderId="16" xfId="1" applyFont="1" applyFill="1" applyBorder="1"/>
    <xf numFmtId="0" fontId="15" fillId="4" borderId="19" xfId="0" applyFont="1" applyFill="1" applyBorder="1"/>
    <xf numFmtId="0" fontId="32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166" fontId="41" fillId="4" borderId="0" xfId="0" applyNumberFormat="1" applyFont="1" applyFill="1" applyAlignment="1">
      <alignment horizontal="center" vertical="center"/>
    </xf>
    <xf numFmtId="0" fontId="40" fillId="4" borderId="0" xfId="0" applyFont="1" applyFill="1" applyAlignment="1">
      <alignment horizontal="center"/>
    </xf>
    <xf numFmtId="0" fontId="33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0" fillId="9" borderId="17" xfId="0" applyFont="1" applyFill="1" applyBorder="1"/>
    <xf numFmtId="0" fontId="46" fillId="9" borderId="17" xfId="0" applyFont="1" applyFill="1" applyBorder="1"/>
    <xf numFmtId="0" fontId="40" fillId="9" borderId="12" xfId="0" applyFont="1" applyFill="1" applyBorder="1"/>
    <xf numFmtId="0" fontId="64" fillId="0" borderId="0" xfId="0" applyFont="1" applyAlignment="1">
      <alignment horizontal="center"/>
    </xf>
    <xf numFmtId="0" fontId="64" fillId="9" borderId="0" xfId="0" applyFont="1" applyFill="1" applyAlignment="1">
      <alignment horizontal="center"/>
    </xf>
    <xf numFmtId="0" fontId="64" fillId="8" borderId="0" xfId="0" applyFont="1" applyFill="1" applyAlignment="1">
      <alignment horizontal="center"/>
    </xf>
    <xf numFmtId="0" fontId="64" fillId="4" borderId="0" xfId="0" applyFont="1" applyFill="1" applyAlignment="1">
      <alignment horizontal="center"/>
    </xf>
    <xf numFmtId="0" fontId="65" fillId="4" borderId="20" xfId="0" applyFont="1" applyFill="1" applyBorder="1" applyAlignment="1">
      <alignment horizontal="center"/>
    </xf>
    <xf numFmtId="0" fontId="64" fillId="3" borderId="0" xfId="0" applyFont="1" applyFill="1" applyAlignment="1">
      <alignment horizontal="center"/>
    </xf>
    <xf numFmtId="0" fontId="35" fillId="2" borderId="0" xfId="0" applyFont="1" applyFill="1" applyAlignment="1">
      <alignment horizontal="center"/>
    </xf>
    <xf numFmtId="0" fontId="67" fillId="9" borderId="0" xfId="0" applyFont="1" applyFill="1" applyAlignment="1">
      <alignment horizontal="center"/>
    </xf>
    <xf numFmtId="0" fontId="66" fillId="9" borderId="0" xfId="0" applyFont="1" applyFill="1" applyAlignment="1">
      <alignment horizontal="center"/>
    </xf>
    <xf numFmtId="164" fontId="66" fillId="9" borderId="0" xfId="1" applyNumberFormat="1" applyFont="1" applyFill="1" applyAlignment="1">
      <alignment horizontal="center"/>
    </xf>
    <xf numFmtId="0" fontId="32" fillId="9" borderId="16" xfId="0" applyFont="1" applyFill="1" applyBorder="1" applyAlignment="1">
      <alignment horizontal="center" vertical="center"/>
    </xf>
    <xf numFmtId="0" fontId="32" fillId="9" borderId="17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58" fillId="9" borderId="9" xfId="0" applyFont="1" applyFill="1" applyBorder="1" applyAlignment="1">
      <alignment horizontal="center" vertical="center" wrapText="1"/>
    </xf>
    <xf numFmtId="0" fontId="58" fillId="9" borderId="10" xfId="0" applyFont="1" applyFill="1" applyBorder="1" applyAlignment="1">
      <alignment horizontal="center" vertical="center" wrapText="1"/>
    </xf>
    <xf numFmtId="0" fontId="58" fillId="9" borderId="11" xfId="0" applyFont="1" applyFill="1" applyBorder="1" applyAlignment="1">
      <alignment horizontal="center" vertical="center" wrapText="1"/>
    </xf>
    <xf numFmtId="166" fontId="60" fillId="9" borderId="9" xfId="0" applyNumberFormat="1" applyFont="1" applyFill="1" applyBorder="1" applyAlignment="1">
      <alignment horizontal="center" vertical="center"/>
    </xf>
    <xf numFmtId="166" fontId="60" fillId="9" borderId="10" xfId="0" applyNumberFormat="1" applyFont="1" applyFill="1" applyBorder="1" applyAlignment="1">
      <alignment horizontal="center" vertical="center"/>
    </xf>
    <xf numFmtId="166" fontId="60" fillId="9" borderId="11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43" fillId="9" borderId="9" xfId="0" applyFont="1" applyFill="1" applyBorder="1" applyAlignment="1">
      <alignment horizontal="center" vertical="center"/>
    </xf>
    <xf numFmtId="0" fontId="43" fillId="9" borderId="1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textRotation="255"/>
    </xf>
    <xf numFmtId="0" fontId="13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50" fillId="4" borderId="7" xfId="0" applyFont="1" applyFill="1" applyBorder="1" applyAlignment="1">
      <alignment horizontal="center" vertical="center" wrapText="1"/>
    </xf>
    <xf numFmtId="0" fontId="32" fillId="4" borderId="18" xfId="0" applyFont="1" applyFill="1" applyBorder="1" applyAlignment="1">
      <alignment horizontal="center" vertical="center"/>
    </xf>
    <xf numFmtId="0" fontId="32" fillId="4" borderId="16" xfId="0" applyFont="1" applyFill="1" applyBorder="1" applyAlignment="1">
      <alignment horizontal="center" vertical="center"/>
    </xf>
    <xf numFmtId="0" fontId="32" fillId="4" borderId="8" xfId="0" applyFont="1" applyFill="1" applyBorder="1" applyAlignment="1">
      <alignment horizontal="center" vertical="center"/>
    </xf>
    <xf numFmtId="0" fontId="32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3" fillId="4" borderId="7" xfId="0" applyFont="1" applyFill="1" applyBorder="1" applyAlignment="1">
      <alignment horizontal="center" vertical="center"/>
    </xf>
    <xf numFmtId="0" fontId="58" fillId="4" borderId="9" xfId="0" applyFont="1" applyFill="1" applyBorder="1" applyAlignment="1">
      <alignment horizontal="center" vertical="center" wrapText="1"/>
    </xf>
    <xf numFmtId="0" fontId="58" fillId="4" borderId="10" xfId="0" applyFont="1" applyFill="1" applyBorder="1" applyAlignment="1">
      <alignment horizontal="center" vertical="center" wrapText="1"/>
    </xf>
    <xf numFmtId="0" fontId="58" fillId="4" borderId="11" xfId="0" applyFont="1" applyFill="1" applyBorder="1" applyAlignment="1">
      <alignment horizontal="center" vertical="center" wrapText="1"/>
    </xf>
    <xf numFmtId="166" fontId="60" fillId="4" borderId="9" xfId="0" applyNumberFormat="1" applyFont="1" applyFill="1" applyBorder="1" applyAlignment="1">
      <alignment horizontal="center" vertical="center"/>
    </xf>
    <xf numFmtId="166" fontId="60" fillId="4" borderId="10" xfId="0" applyNumberFormat="1" applyFont="1" applyFill="1" applyBorder="1" applyAlignment="1">
      <alignment horizontal="center" vertical="center"/>
    </xf>
    <xf numFmtId="166" fontId="60" fillId="4" borderId="11" xfId="0" applyNumberFormat="1" applyFont="1" applyFill="1" applyBorder="1" applyAlignment="1">
      <alignment horizontal="center" vertical="center"/>
    </xf>
    <xf numFmtId="0" fontId="63" fillId="4" borderId="12" xfId="0" applyFont="1" applyFill="1" applyBorder="1" applyAlignment="1">
      <alignment horizontal="center" vertical="center"/>
    </xf>
    <xf numFmtId="0" fontId="63" fillId="4" borderId="13" xfId="0" applyFont="1" applyFill="1" applyBorder="1" applyAlignment="1">
      <alignment horizontal="center" vertical="center"/>
    </xf>
    <xf numFmtId="0" fontId="63" fillId="4" borderId="7" xfId="0" applyFont="1" applyFill="1" applyBorder="1" applyAlignment="1">
      <alignment horizontal="center" vertical="center" wrapText="1"/>
    </xf>
    <xf numFmtId="0" fontId="43" fillId="4" borderId="12" xfId="0" applyFont="1" applyFill="1" applyBorder="1" applyAlignment="1">
      <alignment horizontal="center" vertical="center"/>
    </xf>
    <xf numFmtId="0" fontId="43" fillId="4" borderId="13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textRotation="255" wrapText="1"/>
    </xf>
    <xf numFmtId="0" fontId="13" fillId="3" borderId="4" xfId="0" applyFont="1" applyFill="1" applyBorder="1" applyAlignment="1">
      <alignment horizontal="center" vertical="center" textRotation="255"/>
    </xf>
    <xf numFmtId="0" fontId="13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 val="0"/>
        <i val="0"/>
        <color rgb="FF008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B1" sqref="B1:B5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2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2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9" bestFit="1" customWidth="1"/>
    <col min="23" max="23" width="7.83203125" style="19" bestFit="1" customWidth="1"/>
    <col min="24" max="24" width="6.5" style="20" customWidth="1"/>
    <col min="25" max="25" width="6.6640625" style="19" customWidth="1"/>
    <col min="26" max="26" width="0.58203125" style="14" customWidth="1"/>
    <col min="27" max="27" width="7.83203125" style="1" bestFit="1" customWidth="1"/>
    <col min="28" max="28" width="7.6640625" style="1" customWidth="1"/>
    <col min="29" max="29" width="7.1640625" style="1" customWidth="1"/>
    <col min="30" max="30" width="3.1640625" customWidth="1"/>
    <col min="31" max="31" width="5.6640625" customWidth="1"/>
    <col min="32" max="16384" width="9" style="12"/>
  </cols>
  <sheetData>
    <row r="1" spans="1:32" s="1" customFormat="1" ht="14.5" thickBot="1" x14ac:dyDescent="0.35">
      <c r="A1" s="165"/>
      <c r="B1" s="211"/>
      <c r="C1" s="139"/>
      <c r="D1" s="149"/>
      <c r="E1" s="150"/>
      <c r="F1" s="151"/>
      <c r="G1" s="149"/>
      <c r="H1" s="149"/>
      <c r="I1" s="149"/>
      <c r="J1" s="152"/>
      <c r="K1" s="149"/>
      <c r="L1" s="153"/>
      <c r="M1" s="153"/>
      <c r="N1" s="149"/>
      <c r="O1" s="149"/>
      <c r="P1" s="149"/>
      <c r="Q1" s="149"/>
      <c r="R1" s="149"/>
      <c r="S1" s="149"/>
      <c r="T1" s="149"/>
      <c r="U1" s="149"/>
      <c r="V1" s="154"/>
      <c r="W1" s="155"/>
      <c r="X1" s="156"/>
      <c r="Y1" s="145"/>
      <c r="Z1" s="145"/>
      <c r="AA1" s="157"/>
      <c r="AB1" s="157"/>
      <c r="AC1" s="157"/>
      <c r="AD1" s="63"/>
      <c r="AE1" s="136">
        <v>21</v>
      </c>
      <c r="AF1" s="136">
        <v>1</v>
      </c>
    </row>
    <row r="2" spans="1:32" s="2" customFormat="1" ht="33.75" customHeight="1" thickBot="1" x14ac:dyDescent="0.4">
      <c r="A2" s="165"/>
      <c r="B2" s="211"/>
      <c r="C2" s="158"/>
      <c r="D2" s="212" t="s">
        <v>90</v>
      </c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4"/>
      <c r="AD2" s="63"/>
      <c r="AE2" s="84">
        <v>20</v>
      </c>
    </row>
    <row r="3" spans="1:32" s="196" customFormat="1" ht="12.75" customHeight="1" thickBot="1" x14ac:dyDescent="0.3">
      <c r="B3" s="211"/>
      <c r="C3" s="197"/>
      <c r="D3" s="206"/>
      <c r="E3" s="206"/>
      <c r="F3" s="197"/>
      <c r="G3" s="197">
        <v>10</v>
      </c>
      <c r="H3" s="197"/>
      <c r="I3" s="197"/>
      <c r="J3" s="197"/>
      <c r="K3" s="197"/>
      <c r="L3" s="197">
        <v>33</v>
      </c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4"/>
      <c r="X3" s="205"/>
      <c r="Y3" s="204"/>
      <c r="Z3" s="204"/>
      <c r="AA3" s="203"/>
      <c r="AB3" s="203"/>
      <c r="AC3" s="203"/>
      <c r="AD3" s="198"/>
      <c r="AE3" s="198"/>
    </row>
    <row r="4" spans="1:32" s="8" customFormat="1" ht="20.25" customHeight="1" thickBot="1" x14ac:dyDescent="0.35">
      <c r="A4" s="164"/>
      <c r="B4" s="211"/>
      <c r="C4" s="140"/>
      <c r="D4" s="207"/>
      <c r="E4" s="207"/>
      <c r="F4" s="140"/>
      <c r="G4" s="215" t="s">
        <v>35</v>
      </c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7"/>
      <c r="U4" s="163"/>
      <c r="V4" s="216" t="s">
        <v>6</v>
      </c>
      <c r="W4" s="216"/>
      <c r="X4" s="216"/>
      <c r="Y4" s="216"/>
      <c r="Z4" s="216"/>
      <c r="AA4" s="216"/>
      <c r="AB4" s="216"/>
      <c r="AC4" s="217"/>
      <c r="AD4" s="59"/>
      <c r="AE4" s="59">
        <v>1</v>
      </c>
      <c r="AF4" s="202" t="s">
        <v>87</v>
      </c>
    </row>
    <row r="5" spans="1:32" s="58" customFormat="1" ht="25.5" customHeight="1" thickBot="1" x14ac:dyDescent="0.35">
      <c r="A5" s="166"/>
      <c r="B5" s="211"/>
      <c r="C5" s="141"/>
      <c r="D5" s="218" t="s">
        <v>5</v>
      </c>
      <c r="E5" s="219"/>
      <c r="F5" s="142"/>
      <c r="G5" s="218" t="s">
        <v>36</v>
      </c>
      <c r="H5" s="220"/>
      <c r="I5" s="220"/>
      <c r="J5" s="219"/>
      <c r="K5" s="142"/>
      <c r="L5" s="218" t="s">
        <v>51</v>
      </c>
      <c r="M5" s="220"/>
      <c r="N5" s="219"/>
      <c r="O5" s="142"/>
      <c r="P5" s="218" t="s">
        <v>49</v>
      </c>
      <c r="Q5" s="220"/>
      <c r="R5" s="220"/>
      <c r="S5" s="220"/>
      <c r="T5" s="219"/>
      <c r="U5" s="162"/>
      <c r="V5" s="221" t="s">
        <v>36</v>
      </c>
      <c r="W5" s="222"/>
      <c r="X5" s="208" t="s">
        <v>51</v>
      </c>
      <c r="Y5" s="209"/>
      <c r="Z5" s="142"/>
      <c r="AA5" s="208" t="s">
        <v>49</v>
      </c>
      <c r="AB5" s="210"/>
      <c r="AC5" s="209"/>
      <c r="AD5" s="59"/>
      <c r="AE5" s="59" t="s">
        <v>88</v>
      </c>
    </row>
    <row r="6" spans="1:32" s="60" customFormat="1" ht="33" customHeight="1" thickBot="1" x14ac:dyDescent="0.35">
      <c r="A6" s="167"/>
      <c r="B6" s="159" t="s">
        <v>0</v>
      </c>
      <c r="C6" s="160"/>
      <c r="D6" s="144" t="s">
        <v>2</v>
      </c>
      <c r="E6" s="144" t="s">
        <v>13</v>
      </c>
      <c r="F6" s="160"/>
      <c r="G6" s="144" t="s">
        <v>1</v>
      </c>
      <c r="H6" s="147" t="s">
        <v>37</v>
      </c>
      <c r="I6" s="144" t="s">
        <v>2</v>
      </c>
      <c r="J6" s="144" t="s">
        <v>3</v>
      </c>
      <c r="K6" s="160"/>
      <c r="L6" s="144" t="s">
        <v>1</v>
      </c>
      <c r="M6" s="144" t="s">
        <v>2</v>
      </c>
      <c r="N6" s="144" t="s">
        <v>3</v>
      </c>
      <c r="O6" s="160"/>
      <c r="P6" s="144" t="s">
        <v>1</v>
      </c>
      <c r="Q6" s="144" t="s">
        <v>2</v>
      </c>
      <c r="R6" s="144" t="s">
        <v>11</v>
      </c>
      <c r="S6" s="144" t="s">
        <v>47</v>
      </c>
      <c r="T6" s="144" t="s">
        <v>3</v>
      </c>
      <c r="U6" s="144"/>
      <c r="V6" s="144" t="s">
        <v>50</v>
      </c>
      <c r="W6" s="144" t="s">
        <v>2</v>
      </c>
      <c r="X6" s="144" t="s">
        <v>2</v>
      </c>
      <c r="Y6" s="161" t="s">
        <v>3</v>
      </c>
      <c r="Z6" s="160"/>
      <c r="AA6" s="144" t="s">
        <v>1</v>
      </c>
      <c r="AB6" s="144" t="s">
        <v>2</v>
      </c>
      <c r="AC6" s="144" t="s">
        <v>3</v>
      </c>
      <c r="AD6" s="59"/>
      <c r="AE6" s="59"/>
    </row>
    <row r="7" spans="1:32" ht="6" customHeight="1" x14ac:dyDescent="0.3">
      <c r="C7" s="23"/>
      <c r="D7" s="13"/>
      <c r="E7" s="24"/>
      <c r="F7" s="13"/>
      <c r="G7" s="23"/>
      <c r="H7" s="62"/>
      <c r="I7" s="13"/>
      <c r="J7" s="22"/>
      <c r="L7" s="25"/>
      <c r="M7" s="70"/>
      <c r="N7" s="23"/>
      <c r="P7" s="13"/>
      <c r="Q7" s="13"/>
      <c r="R7" s="13"/>
      <c r="S7" s="13"/>
      <c r="T7" s="23"/>
      <c r="U7" s="23"/>
      <c r="X7" s="69"/>
      <c r="AA7" s="13"/>
      <c r="AB7" s="13"/>
      <c r="AC7" s="23"/>
    </row>
    <row r="8" spans="1:32" s="15" customFormat="1" ht="14.25" customHeight="1" x14ac:dyDescent="0.3">
      <c r="A8" s="67" t="s">
        <v>4</v>
      </c>
      <c r="B8" s="110" t="s">
        <v>64</v>
      </c>
      <c r="C8" s="67"/>
      <c r="D8" s="88">
        <v>28228180.43</v>
      </c>
      <c r="E8" s="126">
        <v>3.8471198501408979</v>
      </c>
      <c r="F8" s="67"/>
      <c r="G8" s="89">
        <v>7337484.021706827</v>
      </c>
      <c r="H8" s="89">
        <v>6988080.0206731688</v>
      </c>
      <c r="I8" s="90">
        <v>7456827.1600000495</v>
      </c>
      <c r="J8" s="73">
        <v>1.0670781012724759</v>
      </c>
      <c r="K8" s="91"/>
      <c r="L8" s="92">
        <v>2.95</v>
      </c>
      <c r="M8" s="93">
        <v>-3.6363275597225888</v>
      </c>
      <c r="N8" s="73">
        <v>-1.2326534100754538</v>
      </c>
      <c r="O8" s="91"/>
      <c r="P8" s="89">
        <v>206148.36060985847</v>
      </c>
      <c r="Q8" s="89">
        <v>-271154.66109996103</v>
      </c>
      <c r="R8" s="88">
        <v>4414.5</v>
      </c>
      <c r="S8" s="90">
        <v>-266740.16109996103</v>
      </c>
      <c r="T8" s="73">
        <v>-1.293923271137597</v>
      </c>
      <c r="U8" s="72"/>
      <c r="V8" s="88">
        <v>349404.00103365845</v>
      </c>
      <c r="W8" s="94">
        <v>263441.78999999975</v>
      </c>
      <c r="X8" s="95">
        <v>-2.5204733083541289</v>
      </c>
      <c r="Y8" s="73">
        <v>-0.8543977316454674</v>
      </c>
      <c r="Z8" s="96"/>
      <c r="AA8" s="90">
        <v>10307.418030492925</v>
      </c>
      <c r="AB8" s="90">
        <v>-6639.9800000003306</v>
      </c>
      <c r="AC8" s="73">
        <v>-0.64419430553383616</v>
      </c>
      <c r="AD8" s="10"/>
      <c r="AE8" s="10"/>
    </row>
    <row r="9" spans="1:32" s="15" customFormat="1" ht="14.25" customHeight="1" x14ac:dyDescent="0.3">
      <c r="A9" s="67" t="s">
        <v>24</v>
      </c>
      <c r="B9" s="87" t="s">
        <v>52</v>
      </c>
      <c r="C9" s="29"/>
      <c r="D9" s="88">
        <v>1164688.3899999997</v>
      </c>
      <c r="E9" s="126">
        <v>0.71240828271648338</v>
      </c>
      <c r="F9" s="29"/>
      <c r="G9" s="89">
        <v>1634860.8210434155</v>
      </c>
      <c r="H9" s="89">
        <v>1557010.3057556339</v>
      </c>
      <c r="I9" s="90">
        <v>1420932.3000000047</v>
      </c>
      <c r="J9" s="73">
        <v>0.9126030153733703</v>
      </c>
      <c r="K9" s="91"/>
      <c r="L9" s="92">
        <v>3.55</v>
      </c>
      <c r="M9" s="93">
        <v>-1.83007507113413</v>
      </c>
      <c r="N9" s="73">
        <v>-0.51551410454482538</v>
      </c>
      <c r="O9" s="91"/>
      <c r="P9" s="89">
        <v>55273.865854324999</v>
      </c>
      <c r="Q9" s="89">
        <v>-26004.127799992915</v>
      </c>
      <c r="R9" s="88">
        <v>2686.0699999999997</v>
      </c>
      <c r="S9" s="90">
        <v>-23318.057799992916</v>
      </c>
      <c r="T9" s="73">
        <v>-0.4218640661293343</v>
      </c>
      <c r="U9" s="72"/>
      <c r="V9" s="88">
        <v>77850.515287781687</v>
      </c>
      <c r="W9" s="94">
        <v>45918.23000000004</v>
      </c>
      <c r="X9" s="95">
        <v>-1.1834079841491061</v>
      </c>
      <c r="Y9" s="73">
        <v>-0.33335436173214256</v>
      </c>
      <c r="Z9" s="96"/>
      <c r="AA9" s="90">
        <v>2763.6932927162497</v>
      </c>
      <c r="AB9" s="90">
        <v>-543.39999999995052</v>
      </c>
      <c r="AC9" s="73">
        <v>-0.19662094973855762</v>
      </c>
      <c r="AD9" s="10"/>
      <c r="AE9" s="10"/>
    </row>
    <row r="10" spans="1:32" s="15" customFormat="1" ht="14.25" customHeight="1" x14ac:dyDescent="0.3">
      <c r="A10" s="67" t="s">
        <v>14</v>
      </c>
      <c r="B10" s="87" t="s">
        <v>65</v>
      </c>
      <c r="C10" s="29"/>
      <c r="D10" s="88">
        <v>12509517.709999997</v>
      </c>
      <c r="E10" s="126">
        <v>0.70539667969211306</v>
      </c>
      <c r="F10" s="29"/>
      <c r="G10" s="89">
        <v>17734018.418487694</v>
      </c>
      <c r="H10" s="89">
        <v>16889541.35094066</v>
      </c>
      <c r="I10" s="90">
        <v>16817233.990000878</v>
      </c>
      <c r="J10" s="73">
        <v>0.99571880849590066</v>
      </c>
      <c r="K10" s="91"/>
      <c r="L10" s="92">
        <v>3.7</v>
      </c>
      <c r="M10" s="93">
        <v>0.46779302336599604</v>
      </c>
      <c r="N10" s="73">
        <v>0.12643054685567459</v>
      </c>
      <c r="O10" s="91"/>
      <c r="P10" s="89">
        <v>624913.02998480445</v>
      </c>
      <c r="Q10" s="89">
        <v>78669.847328359043</v>
      </c>
      <c r="R10" s="88">
        <v>4000</v>
      </c>
      <c r="S10" s="90">
        <v>82669.847328359043</v>
      </c>
      <c r="T10" s="73">
        <v>0.13229016416951533</v>
      </c>
      <c r="U10" s="72"/>
      <c r="V10" s="88">
        <v>844477.06754703308</v>
      </c>
      <c r="W10" s="94">
        <v>888652.9499999996</v>
      </c>
      <c r="X10" s="95">
        <v>-7.468510626111355</v>
      </c>
      <c r="Y10" s="73">
        <v>-2.0185163854355013</v>
      </c>
      <c r="Z10" s="96"/>
      <c r="AA10" s="90">
        <v>31245.651499240226</v>
      </c>
      <c r="AB10" s="90">
        <v>-66369.140000001993</v>
      </c>
      <c r="AC10" s="73">
        <v>-2.1241080539356281</v>
      </c>
      <c r="AD10" s="10"/>
      <c r="AE10" s="10"/>
    </row>
    <row r="11" spans="1:32" s="15" customFormat="1" ht="14.25" customHeight="1" x14ac:dyDescent="0.3">
      <c r="A11" s="67" t="s">
        <v>18</v>
      </c>
      <c r="B11" s="87" t="s">
        <v>68</v>
      </c>
      <c r="C11" s="29"/>
      <c r="D11" s="88">
        <v>5934427.3600000003</v>
      </c>
      <c r="E11" s="126">
        <v>0.68369255623834124</v>
      </c>
      <c r="F11" s="29"/>
      <c r="G11" s="89">
        <v>8679964.8553306852</v>
      </c>
      <c r="H11" s="89">
        <v>8266633.1955530327</v>
      </c>
      <c r="I11" s="90">
        <v>7417282.3400003128</v>
      </c>
      <c r="J11" s="73">
        <v>0.89725552888815474</v>
      </c>
      <c r="K11" s="91"/>
      <c r="L11" s="92">
        <v>3.7</v>
      </c>
      <c r="M11" s="93">
        <v>-1.061017965775602</v>
      </c>
      <c r="N11" s="73">
        <v>-0.28676161237178432</v>
      </c>
      <c r="O11" s="91"/>
      <c r="P11" s="89">
        <v>305865.42823546223</v>
      </c>
      <c r="Q11" s="89">
        <v>-78698.698199704289</v>
      </c>
      <c r="R11" s="88">
        <v>0</v>
      </c>
      <c r="S11" s="90">
        <v>-78698.698199704289</v>
      </c>
      <c r="T11" s="73">
        <v>-0.25729844217346531</v>
      </c>
      <c r="U11" s="72"/>
      <c r="V11" s="88">
        <v>413331.65977765166</v>
      </c>
      <c r="W11" s="94">
        <v>368339.99000000022</v>
      </c>
      <c r="X11" s="95">
        <v>-5.6802108291311777</v>
      </c>
      <c r="Y11" s="73">
        <v>-1.5351921159813993</v>
      </c>
      <c r="Z11" s="96"/>
      <c r="AA11" s="90">
        <v>15293.271411773114</v>
      </c>
      <c r="AB11" s="90">
        <v>-20922.488000000711</v>
      </c>
      <c r="AC11" s="73">
        <v>-1.3680845279378286</v>
      </c>
      <c r="AD11" s="10"/>
      <c r="AE11" s="10"/>
    </row>
    <row r="12" spans="1:32" s="15" customFormat="1" ht="14.25" customHeight="1" x14ac:dyDescent="0.3">
      <c r="A12" s="67" t="s">
        <v>16</v>
      </c>
      <c r="B12" s="87" t="s">
        <v>66</v>
      </c>
      <c r="C12" s="29"/>
      <c r="D12" s="88">
        <v>36897314.959999993</v>
      </c>
      <c r="E12" s="126">
        <v>1.4028250471280277</v>
      </c>
      <c r="F12" s="29"/>
      <c r="G12" s="89">
        <v>26302150.104561534</v>
      </c>
      <c r="H12" s="89">
        <v>25049666.766249083</v>
      </c>
      <c r="I12" s="90">
        <v>25453119.410000034</v>
      </c>
      <c r="J12" s="73">
        <v>1.0161061082175571</v>
      </c>
      <c r="K12" s="91"/>
      <c r="L12" s="92">
        <v>2.95</v>
      </c>
      <c r="M12" s="93">
        <v>-5.1051677665470541</v>
      </c>
      <c r="N12" s="73">
        <v>-1.7305653445922216</v>
      </c>
      <c r="O12" s="91"/>
      <c r="P12" s="89">
        <v>738965.1696043479</v>
      </c>
      <c r="Q12" s="89">
        <v>-1299424.4477000535</v>
      </c>
      <c r="R12" s="88">
        <v>2078.3200000000002</v>
      </c>
      <c r="S12" s="90">
        <v>-1297346.1277000534</v>
      </c>
      <c r="T12" s="73">
        <v>-1.7556255437515009</v>
      </c>
      <c r="U12" s="72"/>
      <c r="V12" s="88">
        <v>1252483.3383124541</v>
      </c>
      <c r="W12" s="94">
        <v>938566.28999999946</v>
      </c>
      <c r="X12" s="95">
        <v>-4.1978448107272914</v>
      </c>
      <c r="Y12" s="73">
        <v>-1.4229982409245054</v>
      </c>
      <c r="Z12" s="96"/>
      <c r="AA12" s="90">
        <v>36948.258480217395</v>
      </c>
      <c r="AB12" s="90">
        <v>-39399.556300000637</v>
      </c>
      <c r="AC12" s="73">
        <v>-1.0663440692636623</v>
      </c>
      <c r="AD12" s="10"/>
      <c r="AE12" s="10"/>
    </row>
    <row r="13" spans="1:32" s="15" customFormat="1" ht="14.25" customHeight="1" x14ac:dyDescent="0.3">
      <c r="A13" s="67" t="s">
        <v>19</v>
      </c>
      <c r="B13" s="87" t="s">
        <v>67</v>
      </c>
      <c r="C13" s="29"/>
      <c r="D13" s="88">
        <v>2857265.52</v>
      </c>
      <c r="E13" s="126">
        <v>1.1328053913773599</v>
      </c>
      <c r="F13" s="29"/>
      <c r="G13" s="89">
        <v>2522291.597258287</v>
      </c>
      <c r="H13" s="89">
        <v>2402182.4735793211</v>
      </c>
      <c r="I13" s="90">
        <v>2800997.4499999993</v>
      </c>
      <c r="J13" s="73">
        <v>1.1660219324747767</v>
      </c>
      <c r="K13" s="91"/>
      <c r="L13" s="92">
        <v>4.05</v>
      </c>
      <c r="M13" s="93">
        <v>-4.1740768025333947</v>
      </c>
      <c r="N13" s="73">
        <v>-1.0306362475391098</v>
      </c>
      <c r="O13" s="91"/>
      <c r="P13" s="89">
        <v>97288.390179962502</v>
      </c>
      <c r="Q13" s="89">
        <v>-116915.78480000189</v>
      </c>
      <c r="R13" s="88">
        <v>1232.95</v>
      </c>
      <c r="S13" s="90">
        <v>-115682.83480000189</v>
      </c>
      <c r="T13" s="73">
        <v>-1.1890713227550957</v>
      </c>
      <c r="U13" s="72"/>
      <c r="V13" s="88">
        <v>120109.12367896605</v>
      </c>
      <c r="W13" s="94">
        <v>162976.25999999992</v>
      </c>
      <c r="X13" s="95">
        <v>-11.357551154996587</v>
      </c>
      <c r="Y13" s="73">
        <v>-2.8043336185176759</v>
      </c>
      <c r="Z13" s="97"/>
      <c r="AA13" s="90">
        <v>4864.4195089981249</v>
      </c>
      <c r="AB13" s="90">
        <v>-18510.112100000231</v>
      </c>
      <c r="AC13" s="73">
        <v>-3.8052047249955567</v>
      </c>
      <c r="AD13" s="10"/>
      <c r="AE13" s="10"/>
    </row>
    <row r="14" spans="1:32" s="15" customFormat="1" ht="14.25" customHeight="1" x14ac:dyDescent="0.3">
      <c r="A14" s="67" t="s">
        <v>20</v>
      </c>
      <c r="B14" s="87" t="s">
        <v>56</v>
      </c>
      <c r="C14" s="29"/>
      <c r="D14" s="88">
        <v>2123009.9600000014</v>
      </c>
      <c r="E14" s="126">
        <v>1.0828961938352319</v>
      </c>
      <c r="F14" s="29"/>
      <c r="G14" s="89">
        <v>1960492.5865341325</v>
      </c>
      <c r="H14" s="89">
        <v>1867135.7966991737</v>
      </c>
      <c r="I14" s="90">
        <v>1892033.4599999904</v>
      </c>
      <c r="J14" s="73">
        <v>1.0133346826432401</v>
      </c>
      <c r="K14" s="91"/>
      <c r="L14" s="92">
        <v>4.05</v>
      </c>
      <c r="M14" s="93">
        <v>-1.2967667918521335</v>
      </c>
      <c r="N14" s="73">
        <v>-0.32018933132151445</v>
      </c>
      <c r="O14" s="91"/>
      <c r="P14" s="89">
        <v>75618.999766316541</v>
      </c>
      <c r="Q14" s="89">
        <v>-24535.261600010796</v>
      </c>
      <c r="R14" s="88">
        <v>0</v>
      </c>
      <c r="S14" s="90">
        <v>-24535.261600010796</v>
      </c>
      <c r="T14" s="73">
        <v>-0.32445895444043804</v>
      </c>
      <c r="U14" s="72"/>
      <c r="V14" s="88">
        <v>93356.78983495869</v>
      </c>
      <c r="W14" s="94">
        <v>85449.800000000061</v>
      </c>
      <c r="X14" s="95">
        <v>0.67987286102488287</v>
      </c>
      <c r="Y14" s="73">
        <v>0.16786984222836615</v>
      </c>
      <c r="Z14" s="96"/>
      <c r="AA14" s="90">
        <v>3780.9499883158264</v>
      </c>
      <c r="AB14" s="90">
        <v>580.95000000004075</v>
      </c>
      <c r="AC14" s="73">
        <v>0.15365186045711679</v>
      </c>
      <c r="AD14" s="10"/>
      <c r="AE14" s="10"/>
    </row>
    <row r="15" spans="1:32" s="15" customFormat="1" ht="14.25" customHeight="1" x14ac:dyDescent="0.3">
      <c r="A15" s="67" t="s">
        <v>17</v>
      </c>
      <c r="B15" s="87" t="s">
        <v>76</v>
      </c>
      <c r="C15" s="29"/>
      <c r="D15" s="88">
        <v>8322492.5800000019</v>
      </c>
      <c r="E15" s="126">
        <v>0.52839285727035334</v>
      </c>
      <c r="F15" s="29"/>
      <c r="G15" s="89">
        <v>15750577.36963651</v>
      </c>
      <c r="H15" s="89">
        <v>15000549.875844296</v>
      </c>
      <c r="I15" s="90">
        <v>14020042.380000243</v>
      </c>
      <c r="J15" s="73">
        <v>0.93463522977761071</v>
      </c>
      <c r="K15" s="91"/>
      <c r="L15" s="92">
        <v>3</v>
      </c>
      <c r="M15" s="93">
        <v>-8.400841873915434</v>
      </c>
      <c r="N15" s="73">
        <v>-2.8002806246384782</v>
      </c>
      <c r="O15" s="91"/>
      <c r="P15" s="89">
        <v>450016.49627532886</v>
      </c>
      <c r="Q15" s="89">
        <v>-1177801.5909997504</v>
      </c>
      <c r="R15" s="88">
        <v>0</v>
      </c>
      <c r="S15" s="90">
        <v>-1177801.5909997504</v>
      </c>
      <c r="T15" s="73">
        <v>-2.6172409250507753</v>
      </c>
      <c r="U15" s="72"/>
      <c r="V15" s="88">
        <v>750027.49379221478</v>
      </c>
      <c r="W15" s="94">
        <v>535937.00000000081</v>
      </c>
      <c r="X15" s="95">
        <v>-8.7374817189334575</v>
      </c>
      <c r="Y15" s="73">
        <v>-2.9124939063111523</v>
      </c>
      <c r="Z15" s="96"/>
      <c r="AA15" s="90">
        <v>22500.824813766441</v>
      </c>
      <c r="AB15" s="90">
        <v>-46827.397400000475</v>
      </c>
      <c r="AC15" s="73">
        <v>-2.081141370931014</v>
      </c>
      <c r="AD15" s="10"/>
      <c r="AE15" s="10"/>
    </row>
    <row r="16" spans="1:32" s="15" customFormat="1" x14ac:dyDescent="0.3">
      <c r="A16" s="67" t="s">
        <v>22</v>
      </c>
      <c r="B16" s="87" t="s">
        <v>55</v>
      </c>
      <c r="C16" s="29"/>
      <c r="D16" s="88">
        <v>16688434.729999993</v>
      </c>
      <c r="E16" s="126">
        <v>0.93497030809678572</v>
      </c>
      <c r="F16" s="29"/>
      <c r="G16" s="89">
        <v>17849160.112871144</v>
      </c>
      <c r="H16" s="89">
        <v>16999200.107496329</v>
      </c>
      <c r="I16" s="90">
        <v>16095799.560000425</v>
      </c>
      <c r="J16" s="73">
        <v>0.94685629077938083</v>
      </c>
      <c r="K16" s="91"/>
      <c r="L16" s="92">
        <v>2.6</v>
      </c>
      <c r="M16" s="93">
        <v>-4.6333984336688712</v>
      </c>
      <c r="N16" s="73">
        <v>-1.7820763206418735</v>
      </c>
      <c r="O16" s="91"/>
      <c r="P16" s="89">
        <v>441979.20279490459</v>
      </c>
      <c r="Q16" s="89">
        <v>-745782.52469954069</v>
      </c>
      <c r="R16" s="88">
        <v>1436.3</v>
      </c>
      <c r="S16" s="90">
        <v>-744346.22469954065</v>
      </c>
      <c r="T16" s="73">
        <v>-1.6841204744308886</v>
      </c>
      <c r="U16" s="72"/>
      <c r="V16" s="88">
        <v>849960.00537481636</v>
      </c>
      <c r="W16" s="94">
        <v>882773.99000000011</v>
      </c>
      <c r="X16" s="95">
        <v>-7.0065093331533896</v>
      </c>
      <c r="Y16" s="73">
        <v>-2.6948112819820729</v>
      </c>
      <c r="Z16" s="96"/>
      <c r="AA16" s="90">
        <v>22098.960139745228</v>
      </c>
      <c r="AB16" s="90">
        <v>-61851.642000000582</v>
      </c>
      <c r="AC16" s="73">
        <v>-2.7988485254000577</v>
      </c>
      <c r="AD16" s="10"/>
      <c r="AE16" s="10"/>
    </row>
    <row r="17" spans="1:31" s="15" customFormat="1" x14ac:dyDescent="0.3">
      <c r="A17" s="67" t="s">
        <v>72</v>
      </c>
      <c r="B17" s="87" t="s">
        <v>81</v>
      </c>
      <c r="C17" s="29"/>
      <c r="D17" s="88">
        <v>59627.71</v>
      </c>
      <c r="E17" s="126"/>
      <c r="F17" s="29"/>
      <c r="G17" s="89"/>
      <c r="H17" s="89"/>
      <c r="I17" s="90">
        <v>0</v>
      </c>
      <c r="J17" s="73" t="s">
        <v>73</v>
      </c>
      <c r="K17" s="91"/>
      <c r="L17" s="92"/>
      <c r="M17" s="93">
        <v>0</v>
      </c>
      <c r="N17" s="73" t="s">
        <v>73</v>
      </c>
      <c r="O17" s="91"/>
      <c r="P17" s="89">
        <v>0</v>
      </c>
      <c r="Q17" s="89">
        <v>0</v>
      </c>
      <c r="R17" s="88">
        <v>0</v>
      </c>
      <c r="S17" s="90">
        <v>0</v>
      </c>
      <c r="T17" s="73" t="s">
        <v>73</v>
      </c>
      <c r="U17" s="72"/>
      <c r="V17" s="88">
        <v>0</v>
      </c>
      <c r="W17" s="94">
        <v>0</v>
      </c>
      <c r="X17" s="95">
        <v>0</v>
      </c>
      <c r="Y17" s="73">
        <v>0</v>
      </c>
      <c r="Z17" s="96"/>
      <c r="AA17" s="90">
        <v>0</v>
      </c>
      <c r="AB17" s="90">
        <v>0</v>
      </c>
      <c r="AC17" s="73" t="s">
        <v>73</v>
      </c>
      <c r="AD17" s="10"/>
      <c r="AE17" s="10"/>
    </row>
    <row r="18" spans="1:31" s="15" customFormat="1" x14ac:dyDescent="0.3">
      <c r="A18" s="67" t="s">
        <v>63</v>
      </c>
      <c r="B18" s="87" t="s">
        <v>77</v>
      </c>
      <c r="C18" s="29"/>
      <c r="D18" s="88">
        <v>5351.4800000000005</v>
      </c>
      <c r="E18" s="126"/>
      <c r="F18" s="29"/>
      <c r="G18" s="89"/>
      <c r="H18" s="89"/>
      <c r="I18" s="90">
        <v>3092.92</v>
      </c>
      <c r="J18" s="73" t="s">
        <v>73</v>
      </c>
      <c r="K18" s="91"/>
      <c r="L18" s="92"/>
      <c r="M18" s="93">
        <v>6.2982553703296471</v>
      </c>
      <c r="N18" s="73" t="s">
        <v>73</v>
      </c>
      <c r="O18" s="91"/>
      <c r="P18" s="89">
        <v>0</v>
      </c>
      <c r="Q18" s="89">
        <v>194.7999999999997</v>
      </c>
      <c r="R18" s="88">
        <v>0</v>
      </c>
      <c r="S18" s="90">
        <v>194.7999999999997</v>
      </c>
      <c r="T18" s="73" t="s">
        <v>73</v>
      </c>
      <c r="U18" s="72"/>
      <c r="V18" s="88">
        <v>0</v>
      </c>
      <c r="W18" s="94">
        <v>16</v>
      </c>
      <c r="X18" s="95">
        <v>1.0624999999999996</v>
      </c>
      <c r="Y18" s="73">
        <v>0</v>
      </c>
      <c r="Z18" s="96"/>
      <c r="AA18" s="90">
        <v>0</v>
      </c>
      <c r="AB18" s="90">
        <v>0.16999999999999993</v>
      </c>
      <c r="AC18" s="73" t="s">
        <v>73</v>
      </c>
      <c r="AD18" s="10"/>
      <c r="AE18" s="10"/>
    </row>
    <row r="19" spans="1:31" s="15" customFormat="1" hidden="1" x14ac:dyDescent="0.3">
      <c r="A19" s="67"/>
      <c r="B19" s="87"/>
      <c r="C19" s="29"/>
      <c r="D19" s="88"/>
      <c r="E19" s="126"/>
      <c r="F19" s="29"/>
      <c r="G19" s="89"/>
      <c r="H19" s="89"/>
      <c r="I19" s="90"/>
      <c r="J19" s="73"/>
      <c r="K19" s="91"/>
      <c r="L19" s="92"/>
      <c r="M19" s="93"/>
      <c r="N19" s="73"/>
      <c r="O19" s="91"/>
      <c r="P19" s="89"/>
      <c r="Q19" s="89"/>
      <c r="R19" s="88"/>
      <c r="S19" s="90"/>
      <c r="T19" s="73"/>
      <c r="U19" s="72"/>
      <c r="V19" s="88"/>
      <c r="W19" s="94"/>
      <c r="X19" s="95"/>
      <c r="Y19" s="73"/>
      <c r="Z19" s="91"/>
      <c r="AA19" s="90"/>
      <c r="AB19" s="90"/>
      <c r="AC19" s="73"/>
      <c r="AD19" s="10"/>
      <c r="AE19" s="10"/>
    </row>
    <row r="20" spans="1:31" s="15" customFormat="1" hidden="1" x14ac:dyDescent="0.3">
      <c r="A20" s="67"/>
      <c r="B20" s="87"/>
      <c r="C20" s="29"/>
      <c r="D20" s="88"/>
      <c r="E20" s="126"/>
      <c r="F20" s="29"/>
      <c r="G20" s="89"/>
      <c r="H20" s="89"/>
      <c r="I20" s="90"/>
      <c r="J20" s="73"/>
      <c r="K20" s="91"/>
      <c r="L20" s="92"/>
      <c r="M20" s="93"/>
      <c r="N20" s="73"/>
      <c r="O20" s="91"/>
      <c r="P20" s="89"/>
      <c r="Q20" s="89"/>
      <c r="R20" s="88"/>
      <c r="S20" s="90"/>
      <c r="T20" s="73"/>
      <c r="U20" s="72"/>
      <c r="V20" s="88"/>
      <c r="W20" s="94"/>
      <c r="X20" s="95"/>
      <c r="Y20" s="73"/>
      <c r="Z20" s="91"/>
      <c r="AA20" s="90"/>
      <c r="AB20" s="90"/>
      <c r="AC20" s="73"/>
      <c r="AD20" s="10"/>
      <c r="AE20" s="10"/>
    </row>
    <row r="21" spans="1:31" s="83" customFormat="1" hidden="1" x14ac:dyDescent="0.3">
      <c r="A21" s="74"/>
      <c r="B21" s="75"/>
      <c r="C21" s="77"/>
      <c r="D21" s="76"/>
      <c r="E21" s="127"/>
      <c r="F21" s="77"/>
      <c r="G21" s="78"/>
      <c r="H21" s="78"/>
      <c r="I21" s="78"/>
      <c r="J21" s="116"/>
      <c r="K21" s="81"/>
      <c r="L21" s="80"/>
      <c r="M21" s="80"/>
      <c r="N21" s="116"/>
      <c r="O21" s="81"/>
      <c r="P21" s="78"/>
      <c r="Q21" s="78"/>
      <c r="R21" s="76"/>
      <c r="S21" s="78"/>
      <c r="T21" s="116"/>
      <c r="U21" s="79"/>
      <c r="V21" s="76"/>
      <c r="W21" s="79"/>
      <c r="X21" s="79"/>
      <c r="Y21" s="79"/>
      <c r="Z21" s="81"/>
      <c r="AA21" s="78"/>
      <c r="AB21" s="78"/>
      <c r="AC21" s="116"/>
      <c r="AD21" s="82"/>
      <c r="AE21" s="82"/>
    </row>
    <row r="22" spans="1:31" s="15" customFormat="1" x14ac:dyDescent="0.3">
      <c r="A22" s="27"/>
      <c r="B22" s="26" t="s">
        <v>53</v>
      </c>
      <c r="C22" s="29"/>
      <c r="D22" s="71">
        <v>114790310.82999998</v>
      </c>
      <c r="E22" s="128">
        <v>1.1505378412516241</v>
      </c>
      <c r="F22" s="29"/>
      <c r="G22" s="42">
        <v>99770999.887430221</v>
      </c>
      <c r="H22" s="42">
        <v>95019999.892790705</v>
      </c>
      <c r="I22" s="42">
        <v>93377360.970001951</v>
      </c>
      <c r="J22" s="45">
        <v>0.98271270338200256</v>
      </c>
      <c r="K22" s="46"/>
      <c r="L22" s="44">
        <v>3.153092976937192</v>
      </c>
      <c r="M22" s="44">
        <v>-3.9211350712159456</v>
      </c>
      <c r="N22" s="45">
        <v>-1.2435837128484564</v>
      </c>
      <c r="O22" s="46"/>
      <c r="P22" s="42">
        <v>2996068.9433053108</v>
      </c>
      <c r="Q22" s="42">
        <v>-3661452.4495706568</v>
      </c>
      <c r="R22" s="41">
        <v>15848.14</v>
      </c>
      <c r="S22" s="42">
        <v>-3645604.3095706566</v>
      </c>
      <c r="T22" s="45">
        <v>-1.216795867704155</v>
      </c>
      <c r="U22" s="43"/>
      <c r="V22" s="41">
        <v>4750999.9946395345</v>
      </c>
      <c r="W22" s="41">
        <v>4172072.3000000003</v>
      </c>
      <c r="X22" s="47">
        <v>-6.2434823049448323</v>
      </c>
      <c r="Y22" s="45">
        <v>-1.9801136061041689</v>
      </c>
      <c r="Z22" s="46"/>
      <c r="AA22" s="42">
        <v>149803.44716526553</v>
      </c>
      <c r="AB22" s="42">
        <v>-260482.59580000487</v>
      </c>
      <c r="AC22" s="45">
        <v>-1.738829117280835</v>
      </c>
      <c r="AD22" s="10"/>
      <c r="AE22" s="10"/>
    </row>
    <row r="23" spans="1:31" ht="14.5" x14ac:dyDescent="0.35">
      <c r="C23" s="56"/>
      <c r="D23" s="61"/>
      <c r="E23" s="55"/>
      <c r="F23" s="56"/>
      <c r="G23" s="109"/>
      <c r="H23" s="49"/>
      <c r="I23" s="49"/>
      <c r="J23" s="50"/>
      <c r="K23" s="35"/>
      <c r="L23" s="51"/>
      <c r="M23" s="51"/>
      <c r="N23" s="49"/>
      <c r="O23" s="35"/>
      <c r="P23" s="49"/>
      <c r="Q23" s="49"/>
      <c r="R23" s="49"/>
      <c r="S23" s="49"/>
      <c r="T23" s="49"/>
      <c r="U23" s="49"/>
      <c r="V23" s="48"/>
      <c r="W23" s="48"/>
      <c r="X23" s="53"/>
      <c r="Y23" s="48"/>
      <c r="Z23" s="37"/>
      <c r="AA23" s="49"/>
      <c r="AB23" s="49"/>
      <c r="AC23" s="49"/>
    </row>
    <row r="24" spans="1:31" ht="14.5" x14ac:dyDescent="0.35">
      <c r="C24" s="56"/>
      <c r="D24" s="61"/>
      <c r="E24" s="55"/>
      <c r="F24" s="56"/>
      <c r="G24" s="57"/>
      <c r="H24" s="49"/>
      <c r="I24" s="57"/>
      <c r="J24" s="50"/>
      <c r="K24" s="35"/>
      <c r="L24" s="51"/>
      <c r="M24" s="51"/>
      <c r="N24" s="49"/>
      <c r="O24" s="35"/>
      <c r="P24" s="57"/>
      <c r="Q24" s="57"/>
      <c r="R24" s="57"/>
      <c r="S24" s="57"/>
      <c r="T24" s="49"/>
      <c r="U24" s="49"/>
      <c r="V24" s="48"/>
      <c r="W24" s="61"/>
      <c r="X24" s="53"/>
      <c r="Y24" s="48"/>
      <c r="Z24" s="37"/>
      <c r="AA24" s="57"/>
      <c r="AB24" s="57"/>
      <c r="AC24" s="49"/>
      <c r="AD24" s="12"/>
    </row>
    <row r="25" spans="1:31" ht="14.5" x14ac:dyDescent="0.35">
      <c r="A25" s="68"/>
      <c r="B25" s="12"/>
      <c r="C25" s="56"/>
      <c r="D25" s="61"/>
      <c r="E25" s="55"/>
      <c r="F25" s="56"/>
      <c r="G25" s="57"/>
      <c r="H25" s="49"/>
      <c r="I25" s="49"/>
      <c r="J25" s="50"/>
      <c r="K25" s="35"/>
      <c r="L25" s="51"/>
      <c r="M25" s="51"/>
      <c r="N25" s="49"/>
      <c r="O25" s="35"/>
      <c r="P25" s="49"/>
      <c r="Q25" s="49"/>
      <c r="R25" s="49"/>
      <c r="S25" s="49"/>
      <c r="T25" s="49"/>
      <c r="U25" s="49"/>
      <c r="V25" s="48"/>
      <c r="W25" s="48"/>
      <c r="X25" s="53"/>
      <c r="Y25" s="48"/>
      <c r="Z25" s="37"/>
      <c r="AA25" s="49"/>
      <c r="AB25" s="49"/>
      <c r="AC25" s="49"/>
      <c r="AE25" s="12"/>
    </row>
    <row r="26" spans="1:31" x14ac:dyDescent="0.3">
      <c r="A26" s="68"/>
      <c r="B26" s="12"/>
      <c r="AD26" s="12"/>
      <c r="AE26" s="12"/>
    </row>
    <row r="27" spans="1:31" x14ac:dyDescent="0.3">
      <c r="A27" s="68"/>
      <c r="B27" s="12"/>
      <c r="AD27" s="12"/>
      <c r="AE27" s="12"/>
    </row>
    <row r="28" spans="1:31" x14ac:dyDescent="0.3">
      <c r="A28" s="68"/>
      <c r="B28" s="12"/>
      <c r="AD28" s="12"/>
      <c r="AE28" s="12"/>
    </row>
    <row r="29" spans="1:31" x14ac:dyDescent="0.3">
      <c r="I29" s="115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7" operator="between">
      <formula>0.1</formula>
      <formula>0.79</formula>
    </cfRule>
    <cfRule type="cellIs" dxfId="182" priority="686" operator="between">
      <formula>0.71</formula>
      <formula>0.9</formula>
    </cfRule>
    <cfRule type="cellIs" dxfId="181" priority="685" operator="greaterThanOrEqual">
      <formula>0.91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8" operator="between">
      <formula>0.0001</formula>
      <formula>0.79</formula>
    </cfRule>
    <cfRule type="cellIs" dxfId="176" priority="377" operator="between">
      <formula>0.79</formula>
      <formula>0.9</formula>
    </cfRule>
    <cfRule type="cellIs" dxfId="175" priority="376" operator="greaterThanOrEqual">
      <formula>0.9</formula>
    </cfRule>
    <cfRule type="cellIs" dxfId="174" priority="374" operator="between">
      <formula>0.71</formula>
      <formula>0.9</formula>
    </cfRule>
    <cfRule type="cellIs" dxfId="173" priority="375" operator="between">
      <formula>0.1</formula>
      <formula>0.79</formula>
    </cfRule>
    <cfRule type="cellIs" dxfId="172" priority="373" operator="greaterThanOrEqual">
      <formula>0.91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9" operator="between">
      <formula>0.9001</formula>
      <formula>0.9999</formula>
    </cfRule>
    <cfRule type="cellIs" dxfId="164" priority="688" operator="greaterThanOrEqual">
      <formula>1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7" operator="lessThan">
      <formula>0.9</formula>
    </cfRule>
    <cfRule type="cellIs" dxfId="156" priority="695" operator="greaterThanOrEqual">
      <formula>1</formula>
    </cfRule>
    <cfRule type="cellIs" dxfId="155" priority="696" operator="between">
      <formula>0.9001</formula>
      <formula>0.9999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84" operator="between">
      <formula>0.86</formula>
      <formula>0.9999</formula>
    </cfRule>
    <cfRule type="cellIs" dxfId="148" priority="83" operator="lessThanOrEqual">
      <formula>0.86</formula>
    </cfRule>
    <cfRule type="cellIs" dxfId="147" priority="79" operator="greaterThanOrEqual">
      <formula>1</formula>
    </cfRule>
  </conditionalFormatting>
  <conditionalFormatting sqref="T22:U22">
    <cfRule type="cellIs" dxfId="146" priority="78" operator="between">
      <formula>0.86</formula>
      <formula>0.9999</formula>
    </cfRule>
    <cfRule type="cellIs" dxfId="145" priority="77" operator="lessThanOrEqual">
      <formula>0.86</formula>
    </cfRule>
    <cfRule type="cellIs" dxfId="144" priority="76" operator="greaterThanOrEqual">
      <formula>1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2" operator="between">
      <formula>0.86</formula>
      <formula>0.9999</formula>
    </cfRule>
    <cfRule type="cellIs" dxfId="138" priority="11" operator="lessThanOrEqual">
      <formula>0.86</formula>
    </cfRule>
  </conditionalFormatting>
  <conditionalFormatting sqref="AC22">
    <cfRule type="cellIs" dxfId="137" priority="51" operator="between">
      <formula>0.86</formula>
      <formula>0.9999</formula>
    </cfRule>
    <cfRule type="cellIs" dxfId="136" priority="50" operator="lessThanOrEqual">
      <formula>0.86</formula>
    </cfRule>
    <cfRule type="cellIs" dxfId="135" priority="49" operator="greaterThanOrEqual">
      <formula>1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W106"/>
  <sheetViews>
    <sheetView showGridLines="0" zoomScale="80" zoomScaleNormal="80" workbookViewId="0">
      <pane xSplit="3" ySplit="7" topLeftCell="D56" activePane="bottomRight" state="frozen"/>
      <selection activeCell="H8" sqref="H8"/>
      <selection pane="topRight" activeCell="H8" sqref="H8"/>
      <selection pane="bottomLeft" activeCell="H8" sqref="H8"/>
      <selection pane="bottomRight" activeCell="K59" sqref="K59"/>
    </sheetView>
  </sheetViews>
  <sheetFormatPr defaultColWidth="9" defaultRowHeight="14" x14ac:dyDescent="0.3"/>
  <cols>
    <col min="1" max="1" width="10.08203125" style="7" hidden="1" customWidth="1"/>
    <col min="2" max="2" width="7.1640625" style="18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25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9" customWidth="1"/>
    <col min="12" max="12" width="0.6640625" style="12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9" bestFit="1" customWidth="1"/>
    <col min="18" max="18" width="0.6640625" style="12" customWidth="1"/>
    <col min="19" max="19" width="9.9140625" style="3" customWidth="1"/>
    <col min="20" max="20" width="8.33203125" style="3" customWidth="1"/>
    <col min="21" max="21" width="0.6640625" style="12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2" customWidth="1"/>
    <col min="26" max="26" width="2.08203125" style="64" customWidth="1"/>
    <col min="27" max="27" width="7.08203125" style="19" bestFit="1" customWidth="1"/>
    <col min="28" max="28" width="8.5" style="19" customWidth="1"/>
    <col min="29" max="29" width="0.58203125" style="14" customWidth="1"/>
    <col min="30" max="31" width="7.83203125" style="1" bestFit="1" customWidth="1"/>
    <col min="32" max="32" width="8.5" style="19" bestFit="1" customWidth="1"/>
    <col min="33" max="33" width="0.58203125" style="14" customWidth="1"/>
    <col min="34" max="34" width="7.58203125" style="1" customWidth="1"/>
    <col min="35" max="35" width="9.1640625" style="1" customWidth="1"/>
    <col min="36" max="36" width="9.1640625" style="19" customWidth="1"/>
    <col min="37" max="37" width="0.58203125" style="14" customWidth="1"/>
    <col min="38" max="38" width="8.83203125" style="3" bestFit="1" customWidth="1"/>
    <col min="39" max="39" width="8.5" style="21" customWidth="1"/>
    <col min="40" max="40" width="0.58203125" style="14" customWidth="1"/>
    <col min="41" max="41" width="9.4140625" style="20" customWidth="1"/>
    <col min="42" max="42" width="6.6640625" style="19" hidden="1" customWidth="1"/>
    <col min="43" max="43" width="3.1640625" customWidth="1"/>
    <col min="44" max="46" width="5.6640625" customWidth="1"/>
    <col min="47" max="47" width="6.33203125" bestFit="1" customWidth="1"/>
    <col min="48" max="49" width="8.6640625" customWidth="1"/>
    <col min="50" max="16384" width="9" style="12"/>
  </cols>
  <sheetData>
    <row r="1" spans="1:49" ht="14.5" thickBot="1" x14ac:dyDescent="0.35">
      <c r="A1" s="168"/>
      <c r="B1" s="227"/>
      <c r="C1" s="228"/>
      <c r="D1" s="176"/>
      <c r="E1" s="177"/>
      <c r="F1" s="178"/>
      <c r="G1" s="176"/>
      <c r="H1" s="177"/>
      <c r="I1" s="177"/>
      <c r="J1" s="177"/>
      <c r="K1" s="179"/>
      <c r="L1" s="177"/>
      <c r="M1" s="177"/>
      <c r="N1" s="177"/>
      <c r="O1" s="177"/>
      <c r="P1" s="177"/>
      <c r="Q1" s="180"/>
      <c r="R1" s="177"/>
      <c r="S1" s="181"/>
      <c r="T1" s="181"/>
      <c r="U1" s="177"/>
      <c r="V1" s="182"/>
      <c r="W1" s="182"/>
      <c r="X1" s="177"/>
      <c r="Y1" s="177"/>
      <c r="Z1" s="180"/>
      <c r="AA1" s="180"/>
      <c r="AB1" s="180"/>
      <c r="AC1" s="180"/>
      <c r="AD1" s="177"/>
      <c r="AE1" s="177"/>
      <c r="AF1" s="180"/>
      <c r="AG1" s="180"/>
      <c r="AH1" s="177"/>
      <c r="AI1" s="177"/>
      <c r="AJ1" s="180"/>
      <c r="AK1" s="180"/>
      <c r="AL1" s="181"/>
      <c r="AM1" s="183"/>
      <c r="AN1" s="180"/>
      <c r="AO1" s="184"/>
      <c r="AP1" s="185"/>
      <c r="AQ1" s="172"/>
      <c r="AR1" s="173">
        <v>26</v>
      </c>
      <c r="AS1" s="173">
        <v>31</v>
      </c>
      <c r="AT1" s="173">
        <v>31</v>
      </c>
      <c r="AU1" s="173">
        <v>26</v>
      </c>
    </row>
    <row r="2" spans="1:49" s="169" customFormat="1" ht="30.65" customHeight="1" thickBot="1" x14ac:dyDescent="0.4">
      <c r="A2" s="168"/>
      <c r="B2" s="229"/>
      <c r="C2" s="230"/>
      <c r="D2" s="186"/>
      <c r="E2" s="233" t="s">
        <v>91</v>
      </c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5"/>
      <c r="AQ2" s="172"/>
      <c r="AR2" s="111">
        <v>23</v>
      </c>
      <c r="AS2" s="111">
        <v>27</v>
      </c>
      <c r="AT2" s="111">
        <v>27</v>
      </c>
      <c r="AU2" s="111">
        <v>23</v>
      </c>
      <c r="AV2"/>
      <c r="AW2"/>
    </row>
    <row r="3" spans="1:49" s="196" customFormat="1" ht="12" thickBot="1" x14ac:dyDescent="0.3">
      <c r="B3" s="229"/>
      <c r="C3" s="230"/>
      <c r="D3" s="199"/>
      <c r="E3" s="244"/>
      <c r="F3" s="244"/>
      <c r="G3" s="199"/>
      <c r="H3" s="199">
        <v>10</v>
      </c>
      <c r="I3" s="199"/>
      <c r="J3" s="199">
        <v>3</v>
      </c>
      <c r="K3" s="199"/>
      <c r="L3" s="199"/>
      <c r="M3" s="199">
        <v>71</v>
      </c>
      <c r="N3" s="199"/>
      <c r="O3" s="199"/>
      <c r="P3" s="199">
        <v>6</v>
      </c>
      <c r="Q3" s="199"/>
      <c r="R3" s="199"/>
      <c r="S3" s="199"/>
      <c r="T3" s="199"/>
      <c r="U3" s="199"/>
      <c r="V3" s="199">
        <v>30</v>
      </c>
      <c r="W3" s="199">
        <v>5</v>
      </c>
      <c r="X3" s="199"/>
      <c r="Y3" s="199"/>
      <c r="Z3" s="199"/>
      <c r="AA3" s="199">
        <v>9</v>
      </c>
      <c r="AB3" s="199">
        <v>8</v>
      </c>
      <c r="AC3" s="199"/>
      <c r="AD3" s="199">
        <v>6</v>
      </c>
      <c r="AE3" s="199">
        <v>11</v>
      </c>
      <c r="AF3" s="199"/>
      <c r="AG3" s="199"/>
      <c r="AH3" s="199">
        <v>6</v>
      </c>
      <c r="AI3" s="199">
        <v>6</v>
      </c>
      <c r="AJ3" s="199">
        <v>6</v>
      </c>
      <c r="AK3" s="199"/>
      <c r="AL3" s="199"/>
      <c r="AM3" s="199"/>
      <c r="AN3" s="199"/>
      <c r="AO3" s="199">
        <v>10</v>
      </c>
      <c r="AP3" s="200"/>
      <c r="AQ3" s="201"/>
      <c r="AR3" s="201" t="s">
        <v>38</v>
      </c>
      <c r="AS3" s="201" t="s">
        <v>39</v>
      </c>
      <c r="AT3" s="201" t="s">
        <v>40</v>
      </c>
      <c r="AU3" s="201" t="s">
        <v>41</v>
      </c>
    </row>
    <row r="4" spans="1:49" s="164" customFormat="1" ht="21.75" customHeight="1" thickBot="1" x14ac:dyDescent="0.3">
      <c r="A4" s="170"/>
      <c r="B4" s="229"/>
      <c r="C4" s="230"/>
      <c r="D4" s="187"/>
      <c r="E4" s="245"/>
      <c r="F4" s="245"/>
      <c r="G4" s="187"/>
      <c r="H4" s="236" t="s">
        <v>35</v>
      </c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8"/>
      <c r="Y4" s="188"/>
      <c r="Z4" s="189"/>
      <c r="AA4" s="236" t="s">
        <v>6</v>
      </c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8"/>
      <c r="AQ4" s="174"/>
      <c r="AR4" s="174"/>
      <c r="AS4" s="174"/>
      <c r="AT4" s="174"/>
      <c r="AU4" s="174"/>
    </row>
    <row r="5" spans="1:49" s="58" customFormat="1" ht="23.5" customHeight="1" thickBot="1" x14ac:dyDescent="0.35">
      <c r="A5" s="171"/>
      <c r="B5" s="229"/>
      <c r="C5" s="230"/>
      <c r="D5" s="190"/>
      <c r="E5" s="231" t="s">
        <v>5</v>
      </c>
      <c r="F5" s="231"/>
      <c r="G5" s="190"/>
      <c r="H5" s="225" t="s">
        <v>36</v>
      </c>
      <c r="I5" s="225"/>
      <c r="J5" s="225"/>
      <c r="K5" s="225"/>
      <c r="L5" s="190"/>
      <c r="M5" s="225" t="s">
        <v>45</v>
      </c>
      <c r="N5" s="225"/>
      <c r="O5" s="225"/>
      <c r="P5" s="225"/>
      <c r="Q5" s="225"/>
      <c r="R5" s="190"/>
      <c r="S5" s="232" t="s">
        <v>44</v>
      </c>
      <c r="T5" s="232"/>
      <c r="U5" s="191"/>
      <c r="V5" s="226" t="s">
        <v>46</v>
      </c>
      <c r="W5" s="226"/>
      <c r="X5" s="226"/>
      <c r="Y5" s="190"/>
      <c r="Z5" s="192"/>
      <c r="AA5" s="242" t="s">
        <v>36</v>
      </c>
      <c r="AB5" s="243"/>
      <c r="AC5" s="191"/>
      <c r="AD5" s="225" t="s">
        <v>45</v>
      </c>
      <c r="AE5" s="225"/>
      <c r="AF5" s="225"/>
      <c r="AG5" s="225"/>
      <c r="AH5" s="225"/>
      <c r="AI5" s="225"/>
      <c r="AJ5" s="225"/>
      <c r="AK5" s="175"/>
      <c r="AL5" s="239" t="s">
        <v>44</v>
      </c>
      <c r="AM5" s="240"/>
      <c r="AN5" s="191"/>
      <c r="AO5" s="241" t="s">
        <v>46</v>
      </c>
      <c r="AP5" s="241"/>
      <c r="AQ5" s="172"/>
      <c r="AR5" s="173">
        <v>3</v>
      </c>
      <c r="AS5" s="173">
        <v>4</v>
      </c>
      <c r="AT5" s="173">
        <v>4</v>
      </c>
      <c r="AU5" s="173">
        <v>3</v>
      </c>
      <c r="AV5"/>
      <c r="AW5"/>
    </row>
    <row r="6" spans="1:49" s="113" customFormat="1" ht="27" customHeight="1" thickBot="1" x14ac:dyDescent="0.35">
      <c r="A6" s="112"/>
      <c r="B6" s="143"/>
      <c r="C6" s="144" t="s">
        <v>0</v>
      </c>
      <c r="D6" s="193"/>
      <c r="E6" s="144" t="s">
        <v>2</v>
      </c>
      <c r="F6" s="146" t="s">
        <v>13</v>
      </c>
      <c r="G6" s="193"/>
      <c r="H6" s="144" t="s">
        <v>1</v>
      </c>
      <c r="I6" s="147" t="s">
        <v>37</v>
      </c>
      <c r="J6" s="144" t="s">
        <v>2</v>
      </c>
      <c r="K6" s="144" t="s">
        <v>3</v>
      </c>
      <c r="L6" s="193"/>
      <c r="M6" s="144" t="s">
        <v>1</v>
      </c>
      <c r="N6" s="147" t="s">
        <v>37</v>
      </c>
      <c r="O6" s="144" t="s">
        <v>11</v>
      </c>
      <c r="P6" s="144" t="s">
        <v>47</v>
      </c>
      <c r="Q6" s="144" t="s">
        <v>3</v>
      </c>
      <c r="R6" s="193"/>
      <c r="S6" s="144" t="s">
        <v>48</v>
      </c>
      <c r="T6" s="144" t="s">
        <v>2</v>
      </c>
      <c r="U6" s="194"/>
      <c r="V6" s="144" t="s">
        <v>1</v>
      </c>
      <c r="W6" s="144" t="s">
        <v>2</v>
      </c>
      <c r="X6" s="144" t="s">
        <v>3</v>
      </c>
      <c r="Y6" s="193"/>
      <c r="Z6" s="193"/>
      <c r="AA6" s="144" t="s">
        <v>1</v>
      </c>
      <c r="AB6" s="144" t="s">
        <v>2</v>
      </c>
      <c r="AC6" s="194"/>
      <c r="AD6" s="144" t="s">
        <v>1</v>
      </c>
      <c r="AE6" s="144" t="s">
        <v>2</v>
      </c>
      <c r="AF6" s="144" t="s">
        <v>3</v>
      </c>
      <c r="AG6" s="194"/>
      <c r="AH6" s="144" t="s">
        <v>69</v>
      </c>
      <c r="AI6" s="144" t="s">
        <v>43</v>
      </c>
      <c r="AJ6" s="144" t="s">
        <v>42</v>
      </c>
      <c r="AK6" s="195"/>
      <c r="AL6" s="144" t="s">
        <v>48</v>
      </c>
      <c r="AM6" s="148" t="s">
        <v>2</v>
      </c>
      <c r="AN6" s="194"/>
      <c r="AO6" s="148" t="s">
        <v>2</v>
      </c>
      <c r="AP6" s="148" t="s">
        <v>3</v>
      </c>
      <c r="AQ6"/>
      <c r="AR6">
        <v>2</v>
      </c>
      <c r="AS6">
        <v>3</v>
      </c>
      <c r="AT6">
        <v>3</v>
      </c>
      <c r="AU6">
        <v>2</v>
      </c>
      <c r="AV6" s="113" t="s">
        <v>86</v>
      </c>
    </row>
    <row r="7" spans="1:49" ht="6.5" customHeight="1" x14ac:dyDescent="0.3">
      <c r="B7" s="17"/>
      <c r="D7" s="13"/>
      <c r="E7" s="13"/>
      <c r="F7" s="123"/>
      <c r="G7" s="13"/>
      <c r="H7" s="23"/>
      <c r="I7" s="62"/>
      <c r="J7" s="13"/>
      <c r="K7" s="117"/>
      <c r="M7" s="13"/>
      <c r="N7" s="13"/>
      <c r="O7" s="13"/>
      <c r="P7" s="13"/>
      <c r="Q7" s="120"/>
      <c r="S7" s="22"/>
      <c r="T7" s="22"/>
      <c r="V7" s="25"/>
      <c r="W7" s="70"/>
      <c r="X7" s="23"/>
      <c r="AD7" s="13"/>
      <c r="AE7" s="13"/>
      <c r="AF7" s="120"/>
      <c r="AH7" s="13"/>
      <c r="AI7" s="13"/>
      <c r="AJ7" s="122"/>
      <c r="AL7" s="22"/>
      <c r="AO7" s="69"/>
    </row>
    <row r="8" spans="1:49" ht="12.75" customHeight="1" x14ac:dyDescent="0.3">
      <c r="A8" s="7" t="s">
        <v>4</v>
      </c>
      <c r="B8" s="223" t="s">
        <v>15</v>
      </c>
      <c r="C8" s="6" t="s">
        <v>8</v>
      </c>
      <c r="D8" s="7"/>
      <c r="E8" s="34">
        <v>46178.969999999972</v>
      </c>
      <c r="F8" s="129">
        <v>0.59203807692307653</v>
      </c>
      <c r="G8" s="7"/>
      <c r="H8" s="36">
        <v>78000</v>
      </c>
      <c r="I8" s="36">
        <v>69000</v>
      </c>
      <c r="J8" s="36">
        <v>65558.160000000193</v>
      </c>
      <c r="K8" s="73">
        <v>0.95011826086956797</v>
      </c>
      <c r="L8" s="37"/>
      <c r="M8" s="36">
        <v>15522</v>
      </c>
      <c r="N8" s="36">
        <v>13731</v>
      </c>
      <c r="O8" s="38">
        <v>0</v>
      </c>
      <c r="P8" s="36">
        <v>14675.090000000002</v>
      </c>
      <c r="Q8" s="121">
        <v>1.0687560993372662</v>
      </c>
      <c r="R8" s="37"/>
      <c r="S8" s="133">
        <v>0.19900000000000001</v>
      </c>
      <c r="T8" s="133">
        <v>0.22384841185292509</v>
      </c>
      <c r="U8" s="37"/>
      <c r="V8" s="36"/>
      <c r="W8" s="39">
        <v>5.2045237389215355</v>
      </c>
      <c r="X8" s="72" t="s">
        <v>73</v>
      </c>
      <c r="Y8" s="37"/>
      <c r="Z8" s="65"/>
      <c r="AA8" s="34">
        <v>3000</v>
      </c>
      <c r="AB8" s="34">
        <v>6139.77</v>
      </c>
      <c r="AC8" s="37"/>
      <c r="AD8" s="36">
        <v>597</v>
      </c>
      <c r="AE8" s="36">
        <v>782.22</v>
      </c>
      <c r="AF8" s="121">
        <v>1.310251256281407</v>
      </c>
      <c r="AG8" s="37"/>
      <c r="AH8" s="36">
        <v>638.04739130434791</v>
      </c>
      <c r="AI8" s="36">
        <v>16589.232173913046</v>
      </c>
      <c r="AJ8" s="121">
        <v>1.0687560993372662</v>
      </c>
      <c r="AK8" s="37"/>
      <c r="AL8" s="114">
        <v>0.19900000000000001</v>
      </c>
      <c r="AM8" s="114">
        <v>0.12740216653066808</v>
      </c>
      <c r="AN8" s="37"/>
      <c r="AO8" s="39">
        <v>-4.9423675479700053</v>
      </c>
      <c r="AP8" s="73">
        <v>0</v>
      </c>
    </row>
    <row r="9" spans="1:49" ht="12.75" customHeight="1" x14ac:dyDescent="0.3">
      <c r="A9" s="7" t="s">
        <v>4</v>
      </c>
      <c r="B9" s="223"/>
      <c r="C9" s="6" t="s">
        <v>9</v>
      </c>
      <c r="D9" s="7"/>
      <c r="E9" s="34">
        <v>93783.389999999941</v>
      </c>
      <c r="F9" s="129">
        <v>0.81550773913043428</v>
      </c>
      <c r="G9" s="7"/>
      <c r="H9" s="36">
        <v>115000</v>
      </c>
      <c r="I9" s="36">
        <v>100161.29032258064</v>
      </c>
      <c r="J9" s="36">
        <v>98363.639999999912</v>
      </c>
      <c r="K9" s="73">
        <v>0.98205244444444362</v>
      </c>
      <c r="L9" s="37"/>
      <c r="M9" s="36">
        <v>23000</v>
      </c>
      <c r="N9" s="36">
        <v>20032.258064516129</v>
      </c>
      <c r="O9" s="38">
        <v>0</v>
      </c>
      <c r="P9" s="36">
        <v>23064.799999999956</v>
      </c>
      <c r="Q9" s="121">
        <v>1.1513829307568415</v>
      </c>
      <c r="R9" s="37"/>
      <c r="S9" s="133">
        <v>0.2</v>
      </c>
      <c r="T9" s="133">
        <v>0.23448501905785488</v>
      </c>
      <c r="U9" s="37"/>
      <c r="V9" s="36"/>
      <c r="W9" s="39">
        <v>8.0011170794408262</v>
      </c>
      <c r="X9" s="72" t="s">
        <v>73</v>
      </c>
      <c r="Y9" s="37"/>
      <c r="Z9" s="65"/>
      <c r="AA9" s="34">
        <v>3709.6774193548385</v>
      </c>
      <c r="AB9" s="34">
        <v>11645.669999999996</v>
      </c>
      <c r="AC9" s="37"/>
      <c r="AD9" s="36">
        <v>741.93548387096769</v>
      </c>
      <c r="AE9" s="36">
        <v>1373.9199999999996</v>
      </c>
      <c r="AF9" s="121">
        <v>1.851805217391304</v>
      </c>
      <c r="AG9" s="37"/>
      <c r="AH9" s="36">
        <v>854.25185185185023</v>
      </c>
      <c r="AI9" s="36">
        <v>26481.807407407356</v>
      </c>
      <c r="AJ9" s="121">
        <v>1.1513829307568415</v>
      </c>
      <c r="AK9" s="37"/>
      <c r="AL9" s="114">
        <v>0.2</v>
      </c>
      <c r="AM9" s="114">
        <v>0.11797689613392789</v>
      </c>
      <c r="AN9" s="37"/>
      <c r="AO9" s="39">
        <v>-4.542117370662285</v>
      </c>
      <c r="AP9" s="73">
        <v>0</v>
      </c>
      <c r="AT9" t="s">
        <v>89</v>
      </c>
    </row>
    <row r="10" spans="1:49" ht="12.75" customHeight="1" x14ac:dyDescent="0.3">
      <c r="A10" s="7" t="s">
        <v>4</v>
      </c>
      <c r="B10" s="223"/>
      <c r="C10" s="6" t="s">
        <v>10</v>
      </c>
      <c r="D10" s="7"/>
      <c r="E10" s="34">
        <v>158213.76999999993</v>
      </c>
      <c r="F10" s="129">
        <v>0.83270405263157854</v>
      </c>
      <c r="G10" s="7"/>
      <c r="H10" s="36">
        <v>190000</v>
      </c>
      <c r="I10" s="36">
        <v>165483.87096774194</v>
      </c>
      <c r="J10" s="36">
        <v>173287.67999999711</v>
      </c>
      <c r="K10" s="73">
        <v>1.0471575204678187</v>
      </c>
      <c r="L10" s="37"/>
      <c r="M10" s="36">
        <v>36480</v>
      </c>
      <c r="N10" s="36">
        <v>31772.903225806451</v>
      </c>
      <c r="O10" s="38">
        <v>0</v>
      </c>
      <c r="P10" s="36">
        <v>35154.760000000133</v>
      </c>
      <c r="Q10" s="121">
        <v>1.1064383934373012</v>
      </c>
      <c r="R10" s="37"/>
      <c r="S10" s="133">
        <v>0.192</v>
      </c>
      <c r="T10" s="133">
        <v>0.20286935574416323</v>
      </c>
      <c r="U10" s="37"/>
      <c r="V10" s="36"/>
      <c r="W10" s="39">
        <v>5.2346998932626683</v>
      </c>
      <c r="X10" s="72" t="s">
        <v>73</v>
      </c>
      <c r="Y10" s="37"/>
      <c r="Z10" s="65"/>
      <c r="AA10" s="34">
        <v>6129.0322580645161</v>
      </c>
      <c r="AB10" s="34">
        <v>12141.269999999977</v>
      </c>
      <c r="AC10" s="37"/>
      <c r="AD10" s="36">
        <v>1176.7741935483871</v>
      </c>
      <c r="AE10" s="36">
        <v>1615.909999999998</v>
      </c>
      <c r="AF10" s="121">
        <v>1.3731691337719283</v>
      </c>
      <c r="AG10" s="37"/>
      <c r="AH10" s="36">
        <v>1302.0281481481532</v>
      </c>
      <c r="AI10" s="36">
        <v>40362.87259259275</v>
      </c>
      <c r="AJ10" s="121">
        <v>1.1064383934373012</v>
      </c>
      <c r="AK10" s="37"/>
      <c r="AL10" s="114">
        <v>0.192</v>
      </c>
      <c r="AM10" s="114">
        <v>0.13309233712782939</v>
      </c>
      <c r="AN10" s="37"/>
      <c r="AO10" s="39">
        <v>-2.4326120743548771</v>
      </c>
      <c r="AP10" s="73">
        <v>0</v>
      </c>
    </row>
    <row r="11" spans="1:49" ht="12.75" customHeight="1" x14ac:dyDescent="0.3">
      <c r="A11" s="7" t="s">
        <v>4</v>
      </c>
      <c r="B11" s="223"/>
      <c r="C11" s="6" t="s">
        <v>12</v>
      </c>
      <c r="D11" s="7"/>
      <c r="E11" s="34">
        <v>25545.919999999998</v>
      </c>
      <c r="F11" s="129">
        <v>0.53220666666666661</v>
      </c>
      <c r="G11" s="7"/>
      <c r="H11" s="36">
        <v>48000</v>
      </c>
      <c r="I11" s="36">
        <v>42461.538461538461</v>
      </c>
      <c r="J11" s="36">
        <v>80629.45</v>
      </c>
      <c r="K11" s="73">
        <v>1.898881974637681</v>
      </c>
      <c r="L11" s="37"/>
      <c r="M11" s="36">
        <v>5760</v>
      </c>
      <c r="N11" s="36">
        <v>5095.3846153846152</v>
      </c>
      <c r="O11" s="38">
        <v>0</v>
      </c>
      <c r="P11" s="36">
        <v>16768.82</v>
      </c>
      <c r="Q11" s="121">
        <v>3.2909821859903383</v>
      </c>
      <c r="R11" s="37"/>
      <c r="S11" s="133">
        <v>0.12</v>
      </c>
      <c r="T11" s="133">
        <v>0.20797388547236773</v>
      </c>
      <c r="U11" s="37"/>
      <c r="V11" s="36"/>
      <c r="W11" s="39">
        <v>3.107474998279157</v>
      </c>
      <c r="X11" s="72" t="s">
        <v>73</v>
      </c>
      <c r="Y11" s="37"/>
      <c r="Z11" s="65"/>
      <c r="AA11" s="34">
        <v>1846.1538461538462</v>
      </c>
      <c r="AB11" s="34">
        <v>8263.7900000000009</v>
      </c>
      <c r="AC11" s="37"/>
      <c r="AD11" s="36">
        <v>221.53846153846155</v>
      </c>
      <c r="AE11" s="36">
        <v>1340.8</v>
      </c>
      <c r="AF11" s="121">
        <v>6.0522222222222215</v>
      </c>
      <c r="AG11" s="37"/>
      <c r="AH11" s="36">
        <v>729.07913043478254</v>
      </c>
      <c r="AI11" s="36">
        <v>18956.057391304344</v>
      </c>
      <c r="AJ11" s="121">
        <v>3.2909821859903374</v>
      </c>
      <c r="AK11" s="37"/>
      <c r="AL11" s="114">
        <v>0.12</v>
      </c>
      <c r="AM11" s="114">
        <v>0.16225000877321422</v>
      </c>
      <c r="AN11" s="37"/>
      <c r="AO11" s="39">
        <v>0.16058007282373385</v>
      </c>
      <c r="AP11" s="73">
        <v>0</v>
      </c>
    </row>
    <row r="12" spans="1:49" s="16" customFormat="1" ht="14.25" customHeight="1" x14ac:dyDescent="0.3">
      <c r="A12" s="27"/>
      <c r="B12" s="223"/>
      <c r="C12" s="9" t="s">
        <v>54</v>
      </c>
      <c r="D12" s="27"/>
      <c r="E12" s="28">
        <v>323722.04999999987</v>
      </c>
      <c r="F12" s="130">
        <v>0.75109524361948932</v>
      </c>
      <c r="G12" s="27"/>
      <c r="H12" s="30">
        <v>431000</v>
      </c>
      <c r="I12" s="30">
        <v>377106.69975186099</v>
      </c>
      <c r="J12" s="30">
        <v>417838.9299999972</v>
      </c>
      <c r="K12" s="32">
        <v>1.1080124810164824</v>
      </c>
      <c r="L12" s="40"/>
      <c r="M12" s="30">
        <v>80762</v>
      </c>
      <c r="N12" s="30">
        <v>70631.545905707186</v>
      </c>
      <c r="O12" s="28">
        <v>0</v>
      </c>
      <c r="P12" s="30">
        <v>89663.470000000088</v>
      </c>
      <c r="Q12" s="32">
        <v>1.2694535968347691</v>
      </c>
      <c r="R12" s="40"/>
      <c r="S12" s="134">
        <v>0.18738283062645011</v>
      </c>
      <c r="T12" s="134">
        <v>0.21458859757275534</v>
      </c>
      <c r="U12" s="40"/>
      <c r="V12" s="30"/>
      <c r="W12" s="33">
        <v>5.4707228931486123</v>
      </c>
      <c r="X12" s="31" t="s">
        <v>73</v>
      </c>
      <c r="Y12" s="40"/>
      <c r="Z12" s="65"/>
      <c r="AA12" s="28">
        <v>14684.863523573202</v>
      </c>
      <c r="AB12" s="28">
        <v>38190.499999999971</v>
      </c>
      <c r="AC12" s="40"/>
      <c r="AD12" s="30">
        <v>2737.2481389578165</v>
      </c>
      <c r="AE12" s="30">
        <v>5112.8499999999976</v>
      </c>
      <c r="AF12" s="32">
        <v>1.8678796150160764</v>
      </c>
      <c r="AG12" s="40"/>
      <c r="AH12" s="30">
        <v>3523.406521739134</v>
      </c>
      <c r="AI12" s="30">
        <v>102389.9695652175</v>
      </c>
      <c r="AJ12" s="32">
        <v>1.2677988356555991</v>
      </c>
      <c r="AK12" s="40"/>
      <c r="AL12" s="85">
        <v>0.18738283062645011</v>
      </c>
      <c r="AM12" s="85">
        <v>0.13387753498906801</v>
      </c>
      <c r="AN12" s="40"/>
      <c r="AO12" s="33">
        <v>0</v>
      </c>
      <c r="AP12" s="32">
        <v>0</v>
      </c>
      <c r="AQ12" s="11"/>
      <c r="AR12" s="11"/>
      <c r="AS12" s="11"/>
      <c r="AT12" s="11"/>
      <c r="AU12" s="11"/>
      <c r="AV12" s="11"/>
      <c r="AW12" s="11"/>
    </row>
    <row r="13" spans="1:49" ht="8" customHeight="1" x14ac:dyDescent="0.3">
      <c r="B13" s="17"/>
      <c r="D13" s="35"/>
      <c r="E13" s="48"/>
      <c r="F13" s="131"/>
      <c r="G13" s="35"/>
      <c r="H13" s="49"/>
      <c r="I13" s="49"/>
      <c r="J13" s="49"/>
      <c r="K13" s="52"/>
      <c r="L13" s="35"/>
      <c r="M13" s="49"/>
      <c r="N13" s="49"/>
      <c r="O13" s="52"/>
      <c r="P13" s="49"/>
      <c r="Q13" s="48"/>
      <c r="R13" s="35"/>
      <c r="S13" s="52"/>
      <c r="T13" s="52"/>
      <c r="U13" s="35"/>
      <c r="V13" s="49"/>
      <c r="W13" s="53"/>
      <c r="X13" s="49"/>
      <c r="Y13" s="35"/>
      <c r="Z13" s="65"/>
      <c r="AA13" s="48"/>
      <c r="AB13" s="48"/>
      <c r="AC13" s="37"/>
      <c r="AD13" s="49"/>
      <c r="AE13" s="49"/>
      <c r="AF13" s="48"/>
      <c r="AG13" s="37"/>
      <c r="AH13" s="49"/>
      <c r="AI13" s="49"/>
      <c r="AJ13" s="48"/>
      <c r="AK13" s="37"/>
      <c r="AL13" s="50"/>
      <c r="AM13" s="54"/>
      <c r="AN13" s="37"/>
      <c r="AO13" s="53"/>
      <c r="AP13" s="48"/>
    </row>
    <row r="14" spans="1:49" ht="12" customHeight="1" x14ac:dyDescent="0.3">
      <c r="A14" s="7" t="s">
        <v>24</v>
      </c>
      <c r="B14" s="224" t="s">
        <v>25</v>
      </c>
      <c r="C14" s="6" t="s">
        <v>8</v>
      </c>
      <c r="D14" s="35"/>
      <c r="E14" s="34">
        <v>900481.16000000038</v>
      </c>
      <c r="F14" s="138">
        <v>1.7831310099009909</v>
      </c>
      <c r="G14" s="7"/>
      <c r="H14" s="36">
        <v>505000</v>
      </c>
      <c r="I14" s="36">
        <v>446730.76923076919</v>
      </c>
      <c r="J14" s="36">
        <v>462824.33999998833</v>
      </c>
      <c r="K14" s="73">
        <v>1.0360252122255444</v>
      </c>
      <c r="L14" s="37"/>
      <c r="M14" s="36">
        <v>51510</v>
      </c>
      <c r="N14" s="36">
        <v>45566.538461538461</v>
      </c>
      <c r="O14" s="38">
        <v>694.72</v>
      </c>
      <c r="P14" s="36">
        <v>49789.846850000133</v>
      </c>
      <c r="Q14" s="121">
        <v>1.0926844243836178</v>
      </c>
      <c r="R14" s="37"/>
      <c r="S14" s="133">
        <v>0.10199999999999999</v>
      </c>
      <c r="T14" s="133">
        <v>0.10757828088730464</v>
      </c>
      <c r="U14" s="37"/>
      <c r="V14" s="36"/>
      <c r="W14" s="39">
        <v>-2.7039016575740125E-2</v>
      </c>
      <c r="X14" s="72" t="s">
        <v>73</v>
      </c>
      <c r="Y14" s="37"/>
      <c r="Z14" s="65"/>
      <c r="AA14" s="34">
        <v>19423.076923076922</v>
      </c>
      <c r="AB14" s="34">
        <v>29585.420000000027</v>
      </c>
      <c r="AC14" s="37"/>
      <c r="AD14" s="36">
        <v>1981.1538461538462</v>
      </c>
      <c r="AE14" s="36">
        <v>2682.5534500000012</v>
      </c>
      <c r="AF14" s="121">
        <v>1.3540359095321304</v>
      </c>
      <c r="AG14" s="37"/>
      <c r="AH14" s="36">
        <v>2164.7759500000057</v>
      </c>
      <c r="AI14" s="36">
        <v>56284.174700000149</v>
      </c>
      <c r="AJ14" s="121">
        <v>1.0926844243836178</v>
      </c>
      <c r="AK14" s="37"/>
      <c r="AL14" s="114">
        <v>0.10199999999999999</v>
      </c>
      <c r="AM14" s="114">
        <v>9.0671467567470687E-2</v>
      </c>
      <c r="AN14" s="37"/>
      <c r="AO14" s="39">
        <v>-2.6579867718625168</v>
      </c>
      <c r="AP14" s="73">
        <v>0</v>
      </c>
    </row>
    <row r="15" spans="1:49" ht="12.75" customHeight="1" x14ac:dyDescent="0.3">
      <c r="A15" s="7" t="s">
        <v>24</v>
      </c>
      <c r="B15" s="224"/>
      <c r="C15" s="6" t="s">
        <v>9</v>
      </c>
      <c r="D15" s="35"/>
      <c r="E15" s="34">
        <v>1215444.4499999983</v>
      </c>
      <c r="F15" s="138">
        <v>1.4215724561403489</v>
      </c>
      <c r="G15" s="7"/>
      <c r="H15" s="36">
        <v>855000</v>
      </c>
      <c r="I15" s="36">
        <v>744677.41935483867</v>
      </c>
      <c r="J15" s="36">
        <v>770017.84999994177</v>
      </c>
      <c r="K15" s="73">
        <v>1.0340287351093003</v>
      </c>
      <c r="L15" s="37"/>
      <c r="M15" s="36">
        <v>106020</v>
      </c>
      <c r="N15" s="36">
        <v>92340</v>
      </c>
      <c r="O15" s="38">
        <v>0</v>
      </c>
      <c r="P15" s="36">
        <v>104007.8209000015</v>
      </c>
      <c r="Q15" s="121">
        <v>1.1263571680745235</v>
      </c>
      <c r="R15" s="37"/>
      <c r="S15" s="133">
        <v>0.124</v>
      </c>
      <c r="T15" s="133">
        <v>0.13507196086429604</v>
      </c>
      <c r="U15" s="37"/>
      <c r="V15" s="36"/>
      <c r="W15" s="39">
        <v>3.4428735515611071</v>
      </c>
      <c r="X15" s="72" t="s">
        <v>73</v>
      </c>
      <c r="Y15" s="37"/>
      <c r="Z15" s="65"/>
      <c r="AA15" s="34">
        <v>27580.645161290322</v>
      </c>
      <c r="AB15" s="34">
        <v>42141.620000000286</v>
      </c>
      <c r="AC15" s="37"/>
      <c r="AD15" s="36">
        <v>3420</v>
      </c>
      <c r="AE15" s="36">
        <v>3948.029799999998</v>
      </c>
      <c r="AF15" s="121">
        <v>1.1543946783625725</v>
      </c>
      <c r="AG15" s="37"/>
      <c r="AH15" s="36">
        <v>3852.1415148148703</v>
      </c>
      <c r="AI15" s="36">
        <v>119416.38695926098</v>
      </c>
      <c r="AJ15" s="121">
        <v>1.1263571680745235</v>
      </c>
      <c r="AK15" s="37"/>
      <c r="AL15" s="114">
        <v>0.124</v>
      </c>
      <c r="AM15" s="114">
        <v>9.3684813255873203E-2</v>
      </c>
      <c r="AN15" s="37"/>
      <c r="AO15" s="39">
        <v>-1.7184441414443041</v>
      </c>
      <c r="AP15" s="73">
        <v>0</v>
      </c>
    </row>
    <row r="16" spans="1:49" ht="12.75" customHeight="1" x14ac:dyDescent="0.3">
      <c r="A16" s="7" t="s">
        <v>24</v>
      </c>
      <c r="B16" s="224"/>
      <c r="C16" s="6" t="s">
        <v>10</v>
      </c>
      <c r="D16" s="35"/>
      <c r="E16" s="34">
        <v>1822479.6199999999</v>
      </c>
      <c r="F16" s="138">
        <v>1.4816907479674797</v>
      </c>
      <c r="G16" s="7"/>
      <c r="H16" s="36">
        <v>1230000</v>
      </c>
      <c r="I16" s="36">
        <v>1071290.3225806453</v>
      </c>
      <c r="J16" s="36">
        <v>1088492.5599999065</v>
      </c>
      <c r="K16" s="73">
        <v>1.016057493525959</v>
      </c>
      <c r="L16" s="37"/>
      <c r="M16" s="36">
        <v>170891.33832238274</v>
      </c>
      <c r="N16" s="36">
        <v>148840.84305497853</v>
      </c>
      <c r="O16" s="38">
        <v>10706.92</v>
      </c>
      <c r="P16" s="36">
        <v>147363.43380000073</v>
      </c>
      <c r="Q16" s="121">
        <v>0.99007389890668596</v>
      </c>
      <c r="R16" s="37"/>
      <c r="S16" s="133">
        <v>0.13893604741657134</v>
      </c>
      <c r="T16" s="133">
        <v>0.13538304184643521</v>
      </c>
      <c r="U16" s="37"/>
      <c r="V16" s="36"/>
      <c r="W16" s="39">
        <v>2.7303019691665358</v>
      </c>
      <c r="X16" s="72" t="s">
        <v>73</v>
      </c>
      <c r="Y16" s="37"/>
      <c r="Z16" s="65"/>
      <c r="AA16" s="34">
        <v>39677.419354838712</v>
      </c>
      <c r="AB16" s="34">
        <v>66493.250000000247</v>
      </c>
      <c r="AC16" s="37"/>
      <c r="AD16" s="36">
        <v>5512.6238168510563</v>
      </c>
      <c r="AE16" s="36">
        <v>5510.9478500000087</v>
      </c>
      <c r="AF16" s="121">
        <v>0.99969597656093923</v>
      </c>
      <c r="AG16" s="37"/>
      <c r="AH16" s="36">
        <v>5457.9049555555821</v>
      </c>
      <c r="AI16" s="36">
        <v>169195.05362222306</v>
      </c>
      <c r="AJ16" s="121">
        <v>0.99007389890668607</v>
      </c>
      <c r="AK16" s="37"/>
      <c r="AL16" s="114">
        <v>0.13893604741657134</v>
      </c>
      <c r="AM16" s="114">
        <v>8.2879808852778111E-2</v>
      </c>
      <c r="AN16" s="37"/>
      <c r="AO16" s="39">
        <v>-2.158117026915733</v>
      </c>
      <c r="AP16" s="73">
        <v>0</v>
      </c>
    </row>
    <row r="17" spans="1:49" ht="12.75" customHeight="1" x14ac:dyDescent="0.3">
      <c r="A17" s="7" t="s">
        <v>24</v>
      </c>
      <c r="B17" s="224"/>
      <c r="C17" s="6" t="s">
        <v>12</v>
      </c>
      <c r="D17" s="35"/>
      <c r="E17" s="34">
        <v>47662.599999999969</v>
      </c>
      <c r="F17" s="138">
        <v>1.0361434782608689</v>
      </c>
      <c r="G17" s="7"/>
      <c r="H17" s="36">
        <v>46000</v>
      </c>
      <c r="I17" s="36">
        <v>40692.307692307695</v>
      </c>
      <c r="J17" s="36">
        <v>33159.700000000455</v>
      </c>
      <c r="K17" s="73">
        <v>0.81488865784500164</v>
      </c>
      <c r="L17" s="37"/>
      <c r="M17" s="36">
        <v>6566.3465285347293</v>
      </c>
      <c r="N17" s="36">
        <v>5808.6911598576453</v>
      </c>
      <c r="O17" s="38">
        <v>0</v>
      </c>
      <c r="P17" s="36">
        <v>4945.6200000000026</v>
      </c>
      <c r="Q17" s="121">
        <v>0.85141727523368727</v>
      </c>
      <c r="R17" s="37"/>
      <c r="S17" s="133">
        <v>0.14274666366379846</v>
      </c>
      <c r="T17" s="133">
        <v>0.14914549890378787</v>
      </c>
      <c r="U17" s="37"/>
      <c r="V17" s="36"/>
      <c r="W17" s="39">
        <v>3.9072126708032706</v>
      </c>
      <c r="X17" s="72" t="s">
        <v>73</v>
      </c>
      <c r="Y17" s="37"/>
      <c r="Z17" s="65"/>
      <c r="AA17" s="34">
        <v>1769.2307692307693</v>
      </c>
      <c r="AB17" s="34">
        <v>2977.0899999999997</v>
      </c>
      <c r="AC17" s="37"/>
      <c r="AD17" s="36">
        <v>252.55178955902804</v>
      </c>
      <c r="AE17" s="36">
        <v>461.5</v>
      </c>
      <c r="AF17" s="121">
        <v>1.8273479701165818</v>
      </c>
      <c r="AG17" s="37"/>
      <c r="AH17" s="36">
        <v>215.02695652173924</v>
      </c>
      <c r="AI17" s="36">
        <v>5590.7008695652203</v>
      </c>
      <c r="AJ17" s="121">
        <v>0.85141727523368727</v>
      </c>
      <c r="AK17" s="37"/>
      <c r="AL17" s="114">
        <v>0.14274666366379846</v>
      </c>
      <c r="AM17" s="114">
        <v>0.15501714761730417</v>
      </c>
      <c r="AN17" s="37"/>
      <c r="AO17" s="39">
        <v>2.7617572864777133</v>
      </c>
      <c r="AP17" s="73">
        <v>0</v>
      </c>
    </row>
    <row r="18" spans="1:49" s="16" customFormat="1" ht="14.25" customHeight="1" x14ac:dyDescent="0.3">
      <c r="A18" s="27"/>
      <c r="B18" s="224"/>
      <c r="C18" s="9" t="s">
        <v>26</v>
      </c>
      <c r="D18" s="29"/>
      <c r="E18" s="28">
        <v>3986067.8299999987</v>
      </c>
      <c r="F18" s="130">
        <v>1.5121653376327764</v>
      </c>
      <c r="G18" s="27"/>
      <c r="H18" s="30">
        <v>2636000</v>
      </c>
      <c r="I18" s="30">
        <v>2303390.8188585606</v>
      </c>
      <c r="J18" s="30">
        <v>2354494.4499998372</v>
      </c>
      <c r="K18" s="32">
        <v>1.0221862615422774</v>
      </c>
      <c r="L18" s="40"/>
      <c r="M18" s="30">
        <v>334987.68485091749</v>
      </c>
      <c r="N18" s="30">
        <v>292556.07267637469</v>
      </c>
      <c r="O18" s="28">
        <v>11401.64</v>
      </c>
      <c r="P18" s="30">
        <v>306106.72155000234</v>
      </c>
      <c r="Q18" s="32">
        <v>1.0463181254439977</v>
      </c>
      <c r="R18" s="40"/>
      <c r="S18" s="134">
        <v>0.12708182278107644</v>
      </c>
      <c r="T18" s="134">
        <v>0.13000953200379109</v>
      </c>
      <c r="U18" s="40"/>
      <c r="V18" s="30"/>
      <c r="W18" s="33">
        <v>2.4379055788324893</v>
      </c>
      <c r="X18" s="31" t="s">
        <v>73</v>
      </c>
      <c r="Y18" s="40"/>
      <c r="Z18" s="65"/>
      <c r="AA18" s="28">
        <v>88450.372208436718</v>
      </c>
      <c r="AB18" s="28">
        <v>141197.38000000056</v>
      </c>
      <c r="AC18" s="40"/>
      <c r="AD18" s="30">
        <v>11166.329452563928</v>
      </c>
      <c r="AE18" s="30">
        <v>12603.031100000007</v>
      </c>
      <c r="AF18" s="32">
        <v>1.1286637344473294</v>
      </c>
      <c r="AG18" s="40"/>
      <c r="AH18" s="30">
        <v>11689.849376892198</v>
      </c>
      <c r="AI18" s="30">
        <v>350486.31615104945</v>
      </c>
      <c r="AJ18" s="32">
        <v>1.0462662718691569</v>
      </c>
      <c r="AK18" s="40"/>
      <c r="AL18" s="85">
        <v>0.12708182278107644</v>
      </c>
      <c r="AM18" s="85">
        <v>8.9258250400963232E-2</v>
      </c>
      <c r="AN18" s="40"/>
      <c r="AO18" s="33">
        <v>0</v>
      </c>
      <c r="AP18" s="32">
        <v>0</v>
      </c>
      <c r="AQ18" s="11"/>
      <c r="AR18" s="11"/>
      <c r="AS18" s="11"/>
      <c r="AT18" s="11"/>
      <c r="AU18" s="11"/>
      <c r="AV18" s="11"/>
      <c r="AW18" s="11"/>
    </row>
    <row r="19" spans="1:49" ht="8" customHeight="1" x14ac:dyDescent="0.3">
      <c r="B19" s="17"/>
      <c r="D19" s="35"/>
      <c r="E19" s="48"/>
      <c r="F19" s="131"/>
      <c r="G19" s="35"/>
      <c r="H19" s="49"/>
      <c r="I19" s="49"/>
      <c r="J19" s="49"/>
      <c r="K19" s="52"/>
      <c r="L19" s="35"/>
      <c r="M19" s="49"/>
      <c r="N19" s="49"/>
      <c r="O19" s="52"/>
      <c r="P19" s="49"/>
      <c r="Q19" s="48"/>
      <c r="R19" s="35"/>
      <c r="S19" s="52"/>
      <c r="T19" s="52"/>
      <c r="U19" s="35"/>
      <c r="V19" s="49"/>
      <c r="W19" s="53"/>
      <c r="X19" s="49"/>
      <c r="Y19" s="35"/>
      <c r="Z19" s="65"/>
      <c r="AA19" s="48"/>
      <c r="AB19" s="48"/>
      <c r="AC19" s="37"/>
      <c r="AD19" s="49"/>
      <c r="AE19" s="49"/>
      <c r="AF19" s="48"/>
      <c r="AG19" s="37"/>
      <c r="AH19" s="49"/>
      <c r="AI19" s="49"/>
      <c r="AJ19" s="48"/>
      <c r="AK19" s="37"/>
      <c r="AL19" s="50"/>
      <c r="AM19" s="54"/>
      <c r="AN19" s="37"/>
      <c r="AO19" s="53"/>
      <c r="AP19" s="48"/>
    </row>
    <row r="20" spans="1:49" ht="12" customHeight="1" x14ac:dyDescent="0.3">
      <c r="A20" s="7" t="s">
        <v>14</v>
      </c>
      <c r="B20" s="224" t="s">
        <v>33</v>
      </c>
      <c r="C20" s="6" t="s">
        <v>8</v>
      </c>
      <c r="D20" s="35"/>
      <c r="E20" s="34">
        <v>78887.300000000047</v>
      </c>
      <c r="F20" s="129">
        <v>0.45864709302325607</v>
      </c>
      <c r="G20" s="7"/>
      <c r="H20" s="36">
        <v>172000</v>
      </c>
      <c r="I20" s="36">
        <v>152153.84615384616</v>
      </c>
      <c r="J20" s="36">
        <v>168136.01999999993</v>
      </c>
      <c r="K20" s="73">
        <v>1.1050395652173908</v>
      </c>
      <c r="L20" s="37"/>
      <c r="M20" s="36">
        <v>31045.208551705378</v>
      </c>
      <c r="N20" s="36">
        <v>27463.069103431681</v>
      </c>
      <c r="O20" s="38">
        <v>0</v>
      </c>
      <c r="P20" s="36">
        <v>26115.423460000002</v>
      </c>
      <c r="Q20" s="121">
        <v>0.95092880412032021</v>
      </c>
      <c r="R20" s="37"/>
      <c r="S20" s="133">
        <v>0.18049539855642663</v>
      </c>
      <c r="T20" s="133">
        <v>0.15532319285302468</v>
      </c>
      <c r="U20" s="37"/>
      <c r="V20" s="36"/>
      <c r="W20" s="39">
        <v>-0.71920730608472871</v>
      </c>
      <c r="X20" s="72" t="s">
        <v>73</v>
      </c>
      <c r="Y20" s="37"/>
      <c r="Z20" s="65"/>
      <c r="AA20" s="34">
        <v>6615.3846153846152</v>
      </c>
      <c r="AB20" s="34">
        <v>17560.249999999996</v>
      </c>
      <c r="AC20" s="37"/>
      <c r="AD20" s="36">
        <v>1194.0464827578992</v>
      </c>
      <c r="AE20" s="36">
        <v>2654.5154500000003</v>
      </c>
      <c r="AF20" s="121">
        <v>2.2231257227682155</v>
      </c>
      <c r="AG20" s="37"/>
      <c r="AH20" s="36">
        <v>1135.4531939130436</v>
      </c>
      <c r="AI20" s="36">
        <v>29521.783041739134</v>
      </c>
      <c r="AJ20" s="121">
        <v>0.95092880412032021</v>
      </c>
      <c r="AK20" s="37"/>
      <c r="AL20" s="114">
        <v>0.18049539855642663</v>
      </c>
      <c r="AM20" s="114">
        <v>0.15116615367093297</v>
      </c>
      <c r="AN20" s="37"/>
      <c r="AO20" s="39">
        <v>-0.60394669779758703</v>
      </c>
      <c r="AP20" s="73">
        <v>0</v>
      </c>
    </row>
    <row r="21" spans="1:49" ht="12.75" customHeight="1" x14ac:dyDescent="0.3">
      <c r="A21" s="7" t="s">
        <v>14</v>
      </c>
      <c r="B21" s="224"/>
      <c r="C21" s="6" t="s">
        <v>9</v>
      </c>
      <c r="D21" s="35"/>
      <c r="E21" s="34">
        <v>86308.300000000047</v>
      </c>
      <c r="F21" s="129">
        <v>0.5076958823529415</v>
      </c>
      <c r="G21" s="7"/>
      <c r="H21" s="36">
        <v>170000</v>
      </c>
      <c r="I21" s="36">
        <v>148064.51612903227</v>
      </c>
      <c r="J21" s="36">
        <v>167574.4699999991</v>
      </c>
      <c r="K21" s="73">
        <v>1.1317665729847433</v>
      </c>
      <c r="L21" s="37"/>
      <c r="M21" s="36">
        <v>40800</v>
      </c>
      <c r="N21" s="36">
        <v>35535.483870967742</v>
      </c>
      <c r="O21" s="38">
        <v>0</v>
      </c>
      <c r="P21" s="36">
        <v>38333.980079999987</v>
      </c>
      <c r="Q21" s="121">
        <v>1.0787521627450976</v>
      </c>
      <c r="R21" s="37"/>
      <c r="S21" s="133">
        <v>0.24</v>
      </c>
      <c r="T21" s="133">
        <v>0.22875787749768919</v>
      </c>
      <c r="U21" s="37"/>
      <c r="V21" s="36"/>
      <c r="W21" s="39">
        <v>7.0248947109891695</v>
      </c>
      <c r="X21" s="72" t="s">
        <v>73</v>
      </c>
      <c r="Y21" s="37"/>
      <c r="Z21" s="65"/>
      <c r="AA21" s="34">
        <v>5483.8709677419356</v>
      </c>
      <c r="AB21" s="34">
        <v>16101.889999999987</v>
      </c>
      <c r="AC21" s="37"/>
      <c r="AD21" s="36">
        <v>1316.1290322580646</v>
      </c>
      <c r="AE21" s="36">
        <v>2896.6945400000009</v>
      </c>
      <c r="AF21" s="121">
        <v>2.2009198710784319</v>
      </c>
      <c r="AG21" s="37"/>
      <c r="AH21" s="36">
        <v>1419.7770399999995</v>
      </c>
      <c r="AI21" s="36">
        <v>44013.088239999983</v>
      </c>
      <c r="AJ21" s="121">
        <v>1.0787521627450976</v>
      </c>
      <c r="AK21" s="37"/>
      <c r="AL21" s="114">
        <v>0.24</v>
      </c>
      <c r="AM21" s="114">
        <v>0.1798977970909007</v>
      </c>
      <c r="AN21" s="37"/>
      <c r="AO21" s="39">
        <v>3.7303356314072</v>
      </c>
      <c r="AP21" s="73">
        <v>0</v>
      </c>
    </row>
    <row r="22" spans="1:49" ht="12.75" customHeight="1" x14ac:dyDescent="0.3">
      <c r="A22" s="7" t="s">
        <v>14</v>
      </c>
      <c r="B22" s="224"/>
      <c r="C22" s="6" t="s">
        <v>10</v>
      </c>
      <c r="D22" s="35"/>
      <c r="E22" s="34">
        <v>167448.57000000004</v>
      </c>
      <c r="F22" s="129">
        <v>0.5581619000000001</v>
      </c>
      <c r="G22" s="7"/>
      <c r="H22" s="36">
        <v>300000</v>
      </c>
      <c r="I22" s="36">
        <v>261290.32258064518</v>
      </c>
      <c r="J22" s="36">
        <v>268252.08999999269</v>
      </c>
      <c r="K22" s="73">
        <v>1.0266438012345398</v>
      </c>
      <c r="L22" s="37"/>
      <c r="M22" s="36">
        <v>73642.908202804829</v>
      </c>
      <c r="N22" s="36">
        <v>64140.597466959043</v>
      </c>
      <c r="O22" s="38">
        <v>1357.86</v>
      </c>
      <c r="P22" s="36">
        <v>66026.468930000148</v>
      </c>
      <c r="Q22" s="121">
        <v>1.0294021499256003</v>
      </c>
      <c r="R22" s="37"/>
      <c r="S22" s="133">
        <v>0.24547636067601611</v>
      </c>
      <c r="T22" s="133">
        <v>0.2461358975059689</v>
      </c>
      <c r="U22" s="37"/>
      <c r="V22" s="36"/>
      <c r="W22" s="39">
        <v>8.4612347027732753</v>
      </c>
      <c r="X22" s="72" t="s">
        <v>73</v>
      </c>
      <c r="Y22" s="37"/>
      <c r="Z22" s="65"/>
      <c r="AA22" s="34">
        <v>9677.4193548387102</v>
      </c>
      <c r="AB22" s="34">
        <v>34494.849999999984</v>
      </c>
      <c r="AC22" s="37"/>
      <c r="AD22" s="36">
        <v>2375.5776839614459</v>
      </c>
      <c r="AE22" s="36">
        <v>5610.7128500000026</v>
      </c>
      <c r="AF22" s="121">
        <v>2.3618309297483115</v>
      </c>
      <c r="AG22" s="37"/>
      <c r="AH22" s="36">
        <v>2445.4247751851908</v>
      </c>
      <c r="AI22" s="36">
        <v>75808.168030740911</v>
      </c>
      <c r="AJ22" s="121">
        <v>1.0294021499256003</v>
      </c>
      <c r="AK22" s="37"/>
      <c r="AL22" s="114">
        <v>0.24547636067601611</v>
      </c>
      <c r="AM22" s="114">
        <v>0.16265363815178224</v>
      </c>
      <c r="AN22" s="37"/>
      <c r="AO22" s="39">
        <v>2.3165859541351921</v>
      </c>
      <c r="AP22" s="73">
        <v>0</v>
      </c>
    </row>
    <row r="23" spans="1:49" ht="12.75" customHeight="1" x14ac:dyDescent="0.3">
      <c r="A23" s="7" t="s">
        <v>14</v>
      </c>
      <c r="B23" s="224"/>
      <c r="C23" s="6" t="s">
        <v>12</v>
      </c>
      <c r="D23" s="35"/>
      <c r="E23" s="34">
        <v>40689.460000000006</v>
      </c>
      <c r="F23" s="129">
        <v>4.5718494382022482E-2</v>
      </c>
      <c r="G23" s="7"/>
      <c r="H23" s="36">
        <v>890000</v>
      </c>
      <c r="I23" s="36">
        <v>787307.69230769237</v>
      </c>
      <c r="J23" s="36">
        <v>857822.73999999918</v>
      </c>
      <c r="K23" s="73">
        <v>1.0895647894479714</v>
      </c>
      <c r="L23" s="37"/>
      <c r="M23" s="36">
        <v>228323.22150295851</v>
      </c>
      <c r="N23" s="36">
        <v>201978.23440646328</v>
      </c>
      <c r="O23" s="38">
        <v>105687.72</v>
      </c>
      <c r="P23" s="36">
        <v>223488.09999999998</v>
      </c>
      <c r="Q23" s="121">
        <v>1.1064959581251215</v>
      </c>
      <c r="R23" s="37"/>
      <c r="S23" s="133">
        <v>0.25654294550894213</v>
      </c>
      <c r="T23" s="133">
        <v>0.26052946556301387</v>
      </c>
      <c r="U23" s="37"/>
      <c r="V23" s="36"/>
      <c r="W23" s="39">
        <v>-2.6346142327727851</v>
      </c>
      <c r="X23" s="72" t="s">
        <v>73</v>
      </c>
      <c r="Y23" s="37"/>
      <c r="Z23" s="65"/>
      <c r="AA23" s="34">
        <v>34230.769230769234</v>
      </c>
      <c r="AB23" s="34">
        <v>38190.180000000008</v>
      </c>
      <c r="AC23" s="37"/>
      <c r="AD23" s="36">
        <v>8781.6623654984032</v>
      </c>
      <c r="AE23" s="36">
        <v>4574.7700000000004</v>
      </c>
      <c r="AF23" s="121">
        <v>0.52094578561497218</v>
      </c>
      <c r="AG23" s="37"/>
      <c r="AH23" s="36">
        <v>9716.8739130434769</v>
      </c>
      <c r="AI23" s="36">
        <v>252638.72173913039</v>
      </c>
      <c r="AJ23" s="121">
        <v>1.1064959581251215</v>
      </c>
      <c r="AK23" s="37"/>
      <c r="AL23" s="114">
        <v>0.25654294550894213</v>
      </c>
      <c r="AM23" s="114">
        <v>0.11978917093347032</v>
      </c>
      <c r="AN23" s="37"/>
      <c r="AO23" s="39">
        <v>-4.1123660584998269</v>
      </c>
      <c r="AP23" s="73">
        <v>0</v>
      </c>
    </row>
    <row r="24" spans="1:49" s="16" customFormat="1" ht="14.25" customHeight="1" x14ac:dyDescent="0.3">
      <c r="A24" s="27"/>
      <c r="B24" s="224"/>
      <c r="C24" s="9" t="s">
        <v>34</v>
      </c>
      <c r="D24" s="29"/>
      <c r="E24" s="28">
        <v>373333.63000000018</v>
      </c>
      <c r="F24" s="130">
        <v>0.24369035900783301</v>
      </c>
      <c r="G24" s="27"/>
      <c r="H24" s="30">
        <v>1532000</v>
      </c>
      <c r="I24" s="30">
        <v>1348816.3771712161</v>
      </c>
      <c r="J24" s="30">
        <v>1461785.319999991</v>
      </c>
      <c r="K24" s="32">
        <v>1.0837541304663703</v>
      </c>
      <c r="L24" s="40"/>
      <c r="M24" s="30">
        <v>373811.33825746871</v>
      </c>
      <c r="N24" s="30">
        <v>329117.38484782178</v>
      </c>
      <c r="O24" s="28">
        <v>107045.58</v>
      </c>
      <c r="P24" s="30">
        <v>353963.9724700001</v>
      </c>
      <c r="Q24" s="32">
        <v>1.0754946069885276</v>
      </c>
      <c r="R24" s="40"/>
      <c r="S24" s="134">
        <v>0.24400217901923546</v>
      </c>
      <c r="T24" s="134">
        <v>0.24214497684926969</v>
      </c>
      <c r="U24" s="40"/>
      <c r="V24" s="30"/>
      <c r="W24" s="33">
        <v>0.72923173629836224</v>
      </c>
      <c r="X24" s="31" t="s">
        <v>73</v>
      </c>
      <c r="Y24" s="40"/>
      <c r="Z24" s="65"/>
      <c r="AA24" s="28">
        <v>56007.444168734495</v>
      </c>
      <c r="AB24" s="28">
        <v>106347.16999999997</v>
      </c>
      <c r="AC24" s="40"/>
      <c r="AD24" s="30">
        <v>13667.415564475814</v>
      </c>
      <c r="AE24" s="30">
        <v>15736.692840000003</v>
      </c>
      <c r="AF24" s="32">
        <v>1.1514022359064453</v>
      </c>
      <c r="AG24" s="40"/>
      <c r="AH24" s="30">
        <v>14717.528922141712</v>
      </c>
      <c r="AI24" s="30">
        <v>401981.7610516104</v>
      </c>
      <c r="AJ24" s="32">
        <v>1.0753600009177327</v>
      </c>
      <c r="AK24" s="40"/>
      <c r="AL24" s="85">
        <v>0.24400217901923546</v>
      </c>
      <c r="AM24" s="85">
        <v>0.14797472128313341</v>
      </c>
      <c r="AN24" s="40"/>
      <c r="AO24" s="33">
        <v>0</v>
      </c>
      <c r="AP24" s="32">
        <v>0</v>
      </c>
      <c r="AQ24" s="11"/>
      <c r="AR24" s="11"/>
      <c r="AS24" s="11"/>
      <c r="AT24" s="11"/>
      <c r="AU24" s="11"/>
      <c r="AV24" s="11"/>
      <c r="AW24" s="11"/>
    </row>
    <row r="25" spans="1:49" ht="8" customHeight="1" x14ac:dyDescent="0.3">
      <c r="B25" s="17"/>
      <c r="D25" s="35"/>
      <c r="E25" s="48"/>
      <c r="F25" s="131"/>
      <c r="G25" s="35"/>
      <c r="H25" s="49"/>
      <c r="I25" s="49"/>
      <c r="J25" s="49"/>
      <c r="K25" s="52"/>
      <c r="L25" s="35"/>
      <c r="M25" s="49"/>
      <c r="N25" s="49"/>
      <c r="O25" s="52"/>
      <c r="P25" s="49"/>
      <c r="Q25" s="48"/>
      <c r="R25" s="35"/>
      <c r="S25" s="52"/>
      <c r="T25" s="52"/>
      <c r="U25" s="35"/>
      <c r="V25" s="49"/>
      <c r="W25" s="53"/>
      <c r="X25" s="49"/>
      <c r="Y25" s="35"/>
      <c r="Z25" s="65"/>
      <c r="AA25" s="48"/>
      <c r="AB25" s="48"/>
      <c r="AC25" s="37"/>
      <c r="AD25" s="49"/>
      <c r="AE25" s="49"/>
      <c r="AF25" s="48"/>
      <c r="AG25" s="37"/>
      <c r="AH25" s="49"/>
      <c r="AI25" s="49"/>
      <c r="AJ25" s="48"/>
      <c r="AK25" s="37"/>
      <c r="AL25" s="50"/>
      <c r="AM25" s="54"/>
      <c r="AN25" s="37"/>
      <c r="AO25" s="53"/>
      <c r="AP25" s="48"/>
    </row>
    <row r="26" spans="1:49" ht="12.75" customHeight="1" x14ac:dyDescent="0.3">
      <c r="A26" s="7" t="s">
        <v>18</v>
      </c>
      <c r="B26" s="224" t="s">
        <v>57</v>
      </c>
      <c r="C26" s="6" t="s">
        <v>8</v>
      </c>
      <c r="D26" s="35"/>
      <c r="E26" s="34">
        <v>168774.81000000014</v>
      </c>
      <c r="F26" s="129">
        <v>0.51143881818181858</v>
      </c>
      <c r="G26" s="7"/>
      <c r="H26" s="36">
        <v>330000</v>
      </c>
      <c r="I26" s="36">
        <v>291923.07692307688</v>
      </c>
      <c r="J26" s="36">
        <v>307524.52999999461</v>
      </c>
      <c r="K26" s="73">
        <v>1.0534437127799554</v>
      </c>
      <c r="L26" s="37"/>
      <c r="M26" s="36">
        <v>45867.685825971581</v>
      </c>
      <c r="N26" s="36">
        <v>40575.260538359478</v>
      </c>
      <c r="O26" s="38">
        <v>0</v>
      </c>
      <c r="P26" s="36">
        <v>30925.304350000122</v>
      </c>
      <c r="Q26" s="121">
        <v>0.76217143007039045</v>
      </c>
      <c r="R26" s="37"/>
      <c r="S26" s="133">
        <v>0.13899298735142904</v>
      </c>
      <c r="T26" s="133">
        <v>0.10056207337346605</v>
      </c>
      <c r="U26" s="37"/>
      <c r="V26" s="36"/>
      <c r="W26" s="39">
        <v>-4.0327142846153174</v>
      </c>
      <c r="X26" s="72" t="s">
        <v>73</v>
      </c>
      <c r="Y26" s="37"/>
      <c r="Z26" s="65"/>
      <c r="AA26" s="34">
        <v>12692.307692307691</v>
      </c>
      <c r="AB26" s="34">
        <v>13079.179999999973</v>
      </c>
      <c r="AC26" s="37"/>
      <c r="AD26" s="36">
        <v>1764.1417625373685</v>
      </c>
      <c r="AE26" s="36">
        <v>1387.1658499999985</v>
      </c>
      <c r="AF26" s="121">
        <v>0.78631200703782167</v>
      </c>
      <c r="AG26" s="37"/>
      <c r="AH26" s="36">
        <v>1344.5784500000052</v>
      </c>
      <c r="AI26" s="36">
        <v>34959.039700000132</v>
      </c>
      <c r="AJ26" s="121">
        <v>0.76217143007039034</v>
      </c>
      <c r="AK26" s="37"/>
      <c r="AL26" s="114">
        <v>0.13899298735142904</v>
      </c>
      <c r="AM26" s="114">
        <v>0.10605908397927098</v>
      </c>
      <c r="AN26" s="37"/>
      <c r="AO26" s="39">
        <v>-3.3014619418039617</v>
      </c>
      <c r="AP26" s="73">
        <v>0</v>
      </c>
    </row>
    <row r="27" spans="1:49" ht="12.75" customHeight="1" x14ac:dyDescent="0.3">
      <c r="A27" s="7" t="s">
        <v>18</v>
      </c>
      <c r="B27" s="224"/>
      <c r="C27" s="6" t="s">
        <v>9</v>
      </c>
      <c r="D27" s="35"/>
      <c r="E27" s="34">
        <v>156514.34999999989</v>
      </c>
      <c r="F27" s="129">
        <v>0.52171449999999964</v>
      </c>
      <c r="G27" s="7"/>
      <c r="H27" s="36">
        <v>300000</v>
      </c>
      <c r="I27" s="36">
        <v>261290.32258064518</v>
      </c>
      <c r="J27" s="36">
        <v>221494.55999999479</v>
      </c>
      <c r="K27" s="73">
        <v>0.84769522962960964</v>
      </c>
      <c r="L27" s="37"/>
      <c r="M27" s="36">
        <v>50700</v>
      </c>
      <c r="N27" s="36">
        <v>44158.06451612903</v>
      </c>
      <c r="O27" s="38">
        <v>0</v>
      </c>
      <c r="P27" s="36">
        <v>38696.785349999765</v>
      </c>
      <c r="Q27" s="121">
        <v>0.87632430845934162</v>
      </c>
      <c r="R27" s="37"/>
      <c r="S27" s="133">
        <v>0.16900000000000001</v>
      </c>
      <c r="T27" s="133">
        <v>0.17470761065193058</v>
      </c>
      <c r="U27" s="37"/>
      <c r="V27" s="36"/>
      <c r="W27" s="39">
        <v>3.6262224002225318</v>
      </c>
      <c r="X27" s="72" t="s">
        <v>73</v>
      </c>
      <c r="Y27" s="37"/>
      <c r="Z27" s="65"/>
      <c r="AA27" s="34">
        <v>9677.4193548387102</v>
      </c>
      <c r="AB27" s="34">
        <v>16900.569999999949</v>
      </c>
      <c r="AC27" s="37"/>
      <c r="AD27" s="36">
        <v>1635.483870967742</v>
      </c>
      <c r="AE27" s="36">
        <v>1778.2451000000005</v>
      </c>
      <c r="AF27" s="121">
        <v>1.0872899033530574</v>
      </c>
      <c r="AG27" s="37"/>
      <c r="AH27" s="36">
        <v>1433.2142722222136</v>
      </c>
      <c r="AI27" s="36">
        <v>44429.642438888623</v>
      </c>
      <c r="AJ27" s="121">
        <v>0.87632430845934162</v>
      </c>
      <c r="AK27" s="37"/>
      <c r="AL27" s="114">
        <v>0.16900000000000001</v>
      </c>
      <c r="AM27" s="114">
        <v>0.10521805477566767</v>
      </c>
      <c r="AN27" s="37"/>
      <c r="AO27" s="39">
        <v>-4.4868599106423561</v>
      </c>
      <c r="AP27" s="73">
        <v>0</v>
      </c>
    </row>
    <row r="28" spans="1:49" ht="12.75" customHeight="1" x14ac:dyDescent="0.3">
      <c r="A28" s="7" t="s">
        <v>18</v>
      </c>
      <c r="B28" s="224"/>
      <c r="C28" s="6" t="s">
        <v>10</v>
      </c>
      <c r="D28" s="35"/>
      <c r="E28" s="34">
        <v>345549.7</v>
      </c>
      <c r="F28" s="129">
        <v>0.75944989010989017</v>
      </c>
      <c r="G28" s="7"/>
      <c r="H28" s="36">
        <v>455000</v>
      </c>
      <c r="I28" s="36">
        <v>396290.32258064515</v>
      </c>
      <c r="J28" s="36">
        <v>332200.63999998686</v>
      </c>
      <c r="K28" s="73">
        <v>0.83827593325190008</v>
      </c>
      <c r="L28" s="37"/>
      <c r="M28" s="36">
        <v>85995</v>
      </c>
      <c r="N28" s="36">
        <v>74898.870967741939</v>
      </c>
      <c r="O28" s="38">
        <v>0</v>
      </c>
      <c r="P28" s="36">
        <v>60013.264329999678</v>
      </c>
      <c r="Q28" s="121">
        <v>0.8012572626875335</v>
      </c>
      <c r="R28" s="37"/>
      <c r="S28" s="133">
        <v>0.189</v>
      </c>
      <c r="T28" s="133">
        <v>0.1806536686082304</v>
      </c>
      <c r="U28" s="37"/>
      <c r="V28" s="36"/>
      <c r="W28" s="39">
        <v>4.048033841833556</v>
      </c>
      <c r="X28" s="72" t="s">
        <v>73</v>
      </c>
      <c r="Y28" s="37"/>
      <c r="Z28" s="65"/>
      <c r="AA28" s="34">
        <v>14677.41935483871</v>
      </c>
      <c r="AB28" s="34">
        <v>27855.210000000086</v>
      </c>
      <c r="AC28" s="37"/>
      <c r="AD28" s="36">
        <v>2774.0322580645161</v>
      </c>
      <c r="AE28" s="36">
        <v>3244.2942999999991</v>
      </c>
      <c r="AF28" s="121">
        <v>1.1695229176114887</v>
      </c>
      <c r="AG28" s="37"/>
      <c r="AH28" s="36">
        <v>2222.7134937036917</v>
      </c>
      <c r="AI28" s="36">
        <v>68904.118304814445</v>
      </c>
      <c r="AJ28" s="121">
        <v>0.8012572626875335</v>
      </c>
      <c r="AK28" s="37"/>
      <c r="AL28" s="114">
        <v>0.189</v>
      </c>
      <c r="AM28" s="114">
        <v>0.11646992788781664</v>
      </c>
      <c r="AN28" s="37"/>
      <c r="AO28" s="39">
        <v>-3.653125214277479</v>
      </c>
      <c r="AP28" s="73">
        <v>0</v>
      </c>
    </row>
    <row r="29" spans="1:49" ht="12.75" customHeight="1" x14ac:dyDescent="0.3">
      <c r="A29" s="7" t="s">
        <v>18</v>
      </c>
      <c r="B29" s="224"/>
      <c r="C29" s="6" t="s">
        <v>12</v>
      </c>
      <c r="D29" s="35"/>
      <c r="E29" s="34">
        <v>24174.229999999996</v>
      </c>
      <c r="F29" s="129">
        <v>4.7400450980392146E-2</v>
      </c>
      <c r="G29" s="7"/>
      <c r="H29" s="36">
        <v>510000</v>
      </c>
      <c r="I29" s="36">
        <v>451153.84615384619</v>
      </c>
      <c r="J29" s="36">
        <v>583166.18999999715</v>
      </c>
      <c r="K29" s="73">
        <v>1.292610480818408</v>
      </c>
      <c r="L29" s="37"/>
      <c r="M29" s="36">
        <v>112200</v>
      </c>
      <c r="N29" s="36">
        <v>99253.846153846156</v>
      </c>
      <c r="O29" s="38">
        <v>0</v>
      </c>
      <c r="P29" s="36">
        <v>95249.089999999764</v>
      </c>
      <c r="Q29" s="121">
        <v>0.95965137564907144</v>
      </c>
      <c r="R29" s="37"/>
      <c r="S29" s="133">
        <v>0.22</v>
      </c>
      <c r="T29" s="133">
        <v>0.16333095373721893</v>
      </c>
      <c r="U29" s="37"/>
      <c r="V29" s="36"/>
      <c r="W29" s="39">
        <v>2.3111627922046027</v>
      </c>
      <c r="X29" s="72" t="s">
        <v>73</v>
      </c>
      <c r="Y29" s="37"/>
      <c r="Z29" s="65"/>
      <c r="AA29" s="34">
        <v>19615.384615384617</v>
      </c>
      <c r="AB29" s="34">
        <v>3088.5200000000009</v>
      </c>
      <c r="AC29" s="37"/>
      <c r="AD29" s="36">
        <v>4315.3846153846152</v>
      </c>
      <c r="AE29" s="36">
        <v>722.50999999999988</v>
      </c>
      <c r="AF29" s="121">
        <v>0.16742655971479498</v>
      </c>
      <c r="AG29" s="37"/>
      <c r="AH29" s="36">
        <v>4141.264782608685</v>
      </c>
      <c r="AI29" s="36">
        <v>107672.88434782581</v>
      </c>
      <c r="AJ29" s="121">
        <v>0.95965137564907133</v>
      </c>
      <c r="AK29" s="37"/>
      <c r="AL29" s="114">
        <v>0.22</v>
      </c>
      <c r="AM29" s="114">
        <v>0.23393405255591665</v>
      </c>
      <c r="AN29" s="37"/>
      <c r="AO29" s="39">
        <v>6.6190278839055816</v>
      </c>
      <c r="AP29" s="73">
        <v>0</v>
      </c>
    </row>
    <row r="30" spans="1:49" s="16" customFormat="1" ht="14.25" customHeight="1" x14ac:dyDescent="0.3">
      <c r="A30" s="27"/>
      <c r="B30" s="224"/>
      <c r="C30" s="9" t="s">
        <v>58</v>
      </c>
      <c r="D30" s="29"/>
      <c r="E30" s="28">
        <v>695013.09000000008</v>
      </c>
      <c r="F30" s="130">
        <v>0.43574488401253925</v>
      </c>
      <c r="G30" s="27"/>
      <c r="H30" s="30">
        <v>1595000</v>
      </c>
      <c r="I30" s="30">
        <v>1400657.5682382134</v>
      </c>
      <c r="J30" s="30">
        <v>1444385.9199999734</v>
      </c>
      <c r="K30" s="32">
        <v>1.031219873260502</v>
      </c>
      <c r="L30" s="40"/>
      <c r="M30" s="30">
        <v>294762.6858259716</v>
      </c>
      <c r="N30" s="30">
        <v>258886.04217607659</v>
      </c>
      <c r="O30" s="28">
        <v>0</v>
      </c>
      <c r="P30" s="30">
        <v>224884.44402999934</v>
      </c>
      <c r="Q30" s="32">
        <v>0.86866191062184928</v>
      </c>
      <c r="R30" s="40"/>
      <c r="S30" s="134">
        <v>0.18480419174042106</v>
      </c>
      <c r="T30" s="134">
        <v>0.15569553878647854</v>
      </c>
      <c r="U30" s="40"/>
      <c r="V30" s="30"/>
      <c r="W30" s="33">
        <v>1.5616196279435435</v>
      </c>
      <c r="X30" s="31" t="s">
        <v>73</v>
      </c>
      <c r="Y30" s="40"/>
      <c r="Z30" s="65"/>
      <c r="AA30" s="28">
        <v>56662.531017369729</v>
      </c>
      <c r="AB30" s="28">
        <v>60923.48000000001</v>
      </c>
      <c r="AC30" s="40"/>
      <c r="AD30" s="30">
        <v>10489.042506954242</v>
      </c>
      <c r="AE30" s="30">
        <v>7132.2152499999984</v>
      </c>
      <c r="AF30" s="32">
        <v>0.67996819016333809</v>
      </c>
      <c r="AG30" s="40"/>
      <c r="AH30" s="30">
        <v>9141.7709985345955</v>
      </c>
      <c r="AI30" s="30">
        <v>255965.684791529</v>
      </c>
      <c r="AJ30" s="32">
        <v>0.8683788589938809</v>
      </c>
      <c r="AK30" s="40"/>
      <c r="AL30" s="85">
        <v>0.18480419174042106</v>
      </c>
      <c r="AM30" s="85">
        <v>0.11706841516604102</v>
      </c>
      <c r="AN30" s="40"/>
      <c r="AO30" s="33">
        <v>0</v>
      </c>
      <c r="AP30" s="32">
        <v>0</v>
      </c>
      <c r="AQ30" s="11"/>
      <c r="AR30" s="11"/>
      <c r="AS30" s="11"/>
      <c r="AT30" s="11"/>
      <c r="AU30" s="11"/>
      <c r="AV30" s="11"/>
      <c r="AW30" s="11"/>
    </row>
    <row r="31" spans="1:49" ht="8" customHeight="1" x14ac:dyDescent="0.3">
      <c r="B31" s="17"/>
      <c r="D31" s="35"/>
      <c r="E31" s="48"/>
      <c r="F31" s="131"/>
      <c r="G31" s="35"/>
      <c r="H31" s="49"/>
      <c r="I31" s="49"/>
      <c r="J31" s="49"/>
      <c r="K31" s="52"/>
      <c r="L31" s="35"/>
      <c r="M31" s="49"/>
      <c r="N31" s="49"/>
      <c r="O31" s="52"/>
      <c r="P31" s="49"/>
      <c r="Q31" s="48"/>
      <c r="R31" s="35"/>
      <c r="S31" s="52"/>
      <c r="T31" s="52"/>
      <c r="U31" s="35"/>
      <c r="V31" s="49"/>
      <c r="W31" s="53"/>
      <c r="X31" s="49"/>
      <c r="Y31" s="35"/>
      <c r="Z31" s="65"/>
      <c r="AA31" s="48"/>
      <c r="AB31" s="48"/>
      <c r="AC31" s="37"/>
      <c r="AD31" s="49"/>
      <c r="AE31" s="49"/>
      <c r="AF31" s="48"/>
      <c r="AG31" s="37"/>
      <c r="AH31" s="49"/>
      <c r="AI31" s="49"/>
      <c r="AJ31" s="48"/>
      <c r="AK31" s="37"/>
      <c r="AL31" s="50"/>
      <c r="AM31" s="54"/>
      <c r="AN31" s="37"/>
      <c r="AO31" s="53"/>
      <c r="AP31" s="48"/>
    </row>
    <row r="32" spans="1:49" ht="12.75" customHeight="1" x14ac:dyDescent="0.3">
      <c r="A32" s="7" t="s">
        <v>16</v>
      </c>
      <c r="B32" s="224" t="s">
        <v>61</v>
      </c>
      <c r="C32" s="6" t="s">
        <v>8</v>
      </c>
      <c r="D32" s="35"/>
      <c r="E32" s="34">
        <v>384835.11000000004</v>
      </c>
      <c r="F32" s="129">
        <v>0.25655674000000001</v>
      </c>
      <c r="G32" s="7"/>
      <c r="H32" s="36">
        <v>1500000</v>
      </c>
      <c r="I32" s="36">
        <v>1326923.076923077</v>
      </c>
      <c r="J32" s="36">
        <v>1549868.4699999937</v>
      </c>
      <c r="K32" s="73">
        <v>1.1680168179710098</v>
      </c>
      <c r="L32" s="37"/>
      <c r="M32" s="36">
        <v>105000.00000000001</v>
      </c>
      <c r="N32" s="36">
        <v>92884.615384615405</v>
      </c>
      <c r="O32" s="38">
        <v>0</v>
      </c>
      <c r="P32" s="36">
        <v>140073.84520000004</v>
      </c>
      <c r="Q32" s="121">
        <v>1.5080413975983438</v>
      </c>
      <c r="R32" s="37"/>
      <c r="S32" s="133">
        <v>7.0000000000000007E-2</v>
      </c>
      <c r="T32" s="133">
        <v>9.0377892002668214E-2</v>
      </c>
      <c r="U32" s="37"/>
      <c r="V32" s="36"/>
      <c r="W32" s="39">
        <v>-4.1147759332125116</v>
      </c>
      <c r="X32" s="72" t="s">
        <v>73</v>
      </c>
      <c r="Y32" s="37"/>
      <c r="Z32" s="65"/>
      <c r="AA32" s="34">
        <v>57692.307692307695</v>
      </c>
      <c r="AB32" s="34">
        <v>40577.930000000008</v>
      </c>
      <c r="AC32" s="37"/>
      <c r="AD32" s="36">
        <v>4038.461538461539</v>
      </c>
      <c r="AE32" s="36">
        <v>3438.6015999999995</v>
      </c>
      <c r="AF32" s="121">
        <v>0.85146325333333306</v>
      </c>
      <c r="AG32" s="37"/>
      <c r="AH32" s="36">
        <v>6090.1671826086977</v>
      </c>
      <c r="AI32" s="36">
        <v>158344.34674782614</v>
      </c>
      <c r="AJ32" s="121">
        <v>1.508041397598344</v>
      </c>
      <c r="AK32" s="37"/>
      <c r="AL32" s="114">
        <v>7.0000000000000007E-2</v>
      </c>
      <c r="AM32" s="114">
        <v>8.4740685392280954E-2</v>
      </c>
      <c r="AN32" s="37"/>
      <c r="AO32" s="39">
        <v>-8.022460485293383</v>
      </c>
      <c r="AP32" s="73">
        <v>0</v>
      </c>
    </row>
    <row r="33" spans="1:49" ht="12.75" customHeight="1" x14ac:dyDescent="0.3">
      <c r="A33" s="7" t="s">
        <v>16</v>
      </c>
      <c r="B33" s="224"/>
      <c r="C33" s="6" t="s">
        <v>9</v>
      </c>
      <c r="D33" s="35"/>
      <c r="E33" s="34">
        <v>273458.44999999995</v>
      </c>
      <c r="F33" s="129">
        <v>0.44106201612903218</v>
      </c>
      <c r="G33" s="7"/>
      <c r="H33" s="36">
        <v>620000</v>
      </c>
      <c r="I33" s="36">
        <v>540000</v>
      </c>
      <c r="J33" s="36">
        <v>553232.12999999907</v>
      </c>
      <c r="K33" s="73">
        <v>1.0245039444444428</v>
      </c>
      <c r="L33" s="37"/>
      <c r="M33" s="36">
        <v>92380</v>
      </c>
      <c r="N33" s="36">
        <v>80460</v>
      </c>
      <c r="O33" s="38">
        <v>0</v>
      </c>
      <c r="P33" s="36">
        <v>63997.13600000002</v>
      </c>
      <c r="Q33" s="121">
        <v>0.79539070345513319</v>
      </c>
      <c r="R33" s="37"/>
      <c r="S33" s="133">
        <v>0.14899999999999999</v>
      </c>
      <c r="T33" s="133">
        <v>0.11567863204185218</v>
      </c>
      <c r="U33" s="37"/>
      <c r="V33" s="36"/>
      <c r="W33" s="39">
        <v>-2.4273723942972469</v>
      </c>
      <c r="X33" s="72" t="s">
        <v>73</v>
      </c>
      <c r="Y33" s="37"/>
      <c r="Z33" s="65"/>
      <c r="AA33" s="34">
        <v>20000</v>
      </c>
      <c r="AB33" s="34">
        <v>37771.840000000004</v>
      </c>
      <c r="AC33" s="37"/>
      <c r="AD33" s="36">
        <v>2980</v>
      </c>
      <c r="AE33" s="36">
        <v>1286.8912000000003</v>
      </c>
      <c r="AF33" s="121">
        <v>0.43184268456375846</v>
      </c>
      <c r="AG33" s="37"/>
      <c r="AH33" s="36">
        <v>2370.2642962962968</v>
      </c>
      <c r="AI33" s="36">
        <v>73478.193185185199</v>
      </c>
      <c r="AJ33" s="121">
        <v>0.79539070345513319</v>
      </c>
      <c r="AK33" s="37"/>
      <c r="AL33" s="114">
        <v>0.14899999999999999</v>
      </c>
      <c r="AM33" s="114">
        <v>3.4070122080364633E-2</v>
      </c>
      <c r="AN33" s="37"/>
      <c r="AO33" s="39">
        <v>-12.773163287782619</v>
      </c>
      <c r="AP33" s="73">
        <v>0</v>
      </c>
    </row>
    <row r="34" spans="1:49" ht="12.75" customHeight="1" x14ac:dyDescent="0.3">
      <c r="A34" s="7" t="s">
        <v>16</v>
      </c>
      <c r="B34" s="224"/>
      <c r="C34" s="6" t="s">
        <v>10</v>
      </c>
      <c r="D34" s="35"/>
      <c r="E34" s="34">
        <v>773848.5900000009</v>
      </c>
      <c r="F34" s="129">
        <v>0.45520505294117702</v>
      </c>
      <c r="G34" s="7"/>
      <c r="H34" s="36">
        <v>1700000</v>
      </c>
      <c r="I34" s="36">
        <v>1480645.1612903227</v>
      </c>
      <c r="J34" s="36">
        <v>1475892.309999981</v>
      </c>
      <c r="K34" s="73">
        <v>0.99679001328974748</v>
      </c>
      <c r="L34" s="37"/>
      <c r="M34" s="36">
        <v>229500.00000000003</v>
      </c>
      <c r="N34" s="36">
        <v>199887.09677419357</v>
      </c>
      <c r="O34" s="38">
        <v>0</v>
      </c>
      <c r="P34" s="36">
        <v>185235.54880000005</v>
      </c>
      <c r="Q34" s="121">
        <v>0.92670088159444863</v>
      </c>
      <c r="R34" s="37"/>
      <c r="S34" s="133">
        <v>0.13500000000000001</v>
      </c>
      <c r="T34" s="133">
        <v>0.1255074964107662</v>
      </c>
      <c r="U34" s="37"/>
      <c r="V34" s="36"/>
      <c r="W34" s="39">
        <v>-2.6738814839423366</v>
      </c>
      <c r="X34" s="72" t="s">
        <v>73</v>
      </c>
      <c r="Y34" s="37"/>
      <c r="Z34" s="65"/>
      <c r="AA34" s="34">
        <v>54838.709677419356</v>
      </c>
      <c r="AB34" s="34">
        <v>59113.060000000049</v>
      </c>
      <c r="AC34" s="37"/>
      <c r="AD34" s="36">
        <v>7403.2258064516136</v>
      </c>
      <c r="AE34" s="36">
        <v>4950.84</v>
      </c>
      <c r="AF34" s="121">
        <v>0.66874091503267974</v>
      </c>
      <c r="AG34" s="37"/>
      <c r="AH34" s="36">
        <v>6860.5758814814835</v>
      </c>
      <c r="AI34" s="36">
        <v>212677.85232592598</v>
      </c>
      <c r="AJ34" s="121">
        <v>0.92670088159444863</v>
      </c>
      <c r="AK34" s="37"/>
      <c r="AL34" s="114">
        <v>0.13500000000000001</v>
      </c>
      <c r="AM34" s="114">
        <v>8.3752050731259658E-2</v>
      </c>
      <c r="AN34" s="37"/>
      <c r="AO34" s="39">
        <v>-8.1806287815246161</v>
      </c>
      <c r="AP34" s="73">
        <v>0</v>
      </c>
    </row>
    <row r="35" spans="1:49" ht="12.75" customHeight="1" x14ac:dyDescent="0.3">
      <c r="A35" s="7" t="s">
        <v>16</v>
      </c>
      <c r="B35" s="224"/>
      <c r="C35" s="6" t="s">
        <v>12</v>
      </c>
      <c r="D35" s="35"/>
      <c r="E35" s="34">
        <v>125041.09999999999</v>
      </c>
      <c r="F35" s="129">
        <v>0.24046365384615384</v>
      </c>
      <c r="G35" s="7"/>
      <c r="H35" s="36">
        <v>520000</v>
      </c>
      <c r="I35" s="36">
        <v>460000</v>
      </c>
      <c r="J35" s="36">
        <v>602054.92999999959</v>
      </c>
      <c r="K35" s="73">
        <v>1.3088150652173904</v>
      </c>
      <c r="L35" s="37"/>
      <c r="M35" s="36">
        <v>31200</v>
      </c>
      <c r="N35" s="36">
        <v>27600</v>
      </c>
      <c r="O35" s="38">
        <v>0</v>
      </c>
      <c r="P35" s="36">
        <v>35473.830000000016</v>
      </c>
      <c r="Q35" s="121">
        <v>1.2852836956521745</v>
      </c>
      <c r="R35" s="37"/>
      <c r="S35" s="133">
        <v>0.06</v>
      </c>
      <c r="T35" s="133">
        <v>5.8921251587459041E-2</v>
      </c>
      <c r="U35" s="37"/>
      <c r="V35" s="36"/>
      <c r="W35" s="39">
        <v>-8.2637144089161847</v>
      </c>
      <c r="X35" s="72" t="s">
        <v>73</v>
      </c>
      <c r="Y35" s="37"/>
      <c r="Z35" s="65"/>
      <c r="AA35" s="34">
        <v>20000</v>
      </c>
      <c r="AB35" s="34">
        <v>14094.9</v>
      </c>
      <c r="AC35" s="37"/>
      <c r="AD35" s="36">
        <v>1200</v>
      </c>
      <c r="AE35" s="36">
        <v>1926.3399999999995</v>
      </c>
      <c r="AF35" s="121">
        <v>1.605283333333333</v>
      </c>
      <c r="AG35" s="37"/>
      <c r="AH35" s="36">
        <v>1542.3404347826095</v>
      </c>
      <c r="AI35" s="36">
        <v>40100.851304347845</v>
      </c>
      <c r="AJ35" s="121">
        <v>1.2852836956521745</v>
      </c>
      <c r="AK35" s="37"/>
      <c r="AL35" s="114">
        <v>0.06</v>
      </c>
      <c r="AM35" s="114">
        <v>0.13666929172963266</v>
      </c>
      <c r="AN35" s="37"/>
      <c r="AO35" s="39">
        <v>-2.8743020525154561</v>
      </c>
      <c r="AP35" s="73">
        <v>0</v>
      </c>
    </row>
    <row r="36" spans="1:49" s="16" customFormat="1" ht="17" customHeight="1" x14ac:dyDescent="0.3">
      <c r="A36" s="27"/>
      <c r="B36" s="224"/>
      <c r="C36" s="9" t="s">
        <v>62</v>
      </c>
      <c r="D36" s="29"/>
      <c r="E36" s="28">
        <v>1557183.2500000009</v>
      </c>
      <c r="F36" s="130">
        <v>0.35879798387096795</v>
      </c>
      <c r="G36" s="27"/>
      <c r="H36" s="30">
        <v>4340000</v>
      </c>
      <c r="I36" s="30">
        <v>3807568.2382133994</v>
      </c>
      <c r="J36" s="30">
        <v>4181047.8399999733</v>
      </c>
      <c r="K36" s="32">
        <v>1.0980887480986603</v>
      </c>
      <c r="L36" s="40"/>
      <c r="M36" s="30">
        <v>458080</v>
      </c>
      <c r="N36" s="30">
        <v>400831.71215880895</v>
      </c>
      <c r="O36" s="28">
        <v>0</v>
      </c>
      <c r="P36" s="30">
        <v>424780.36000000016</v>
      </c>
      <c r="Q36" s="32">
        <v>1.0597473880302735</v>
      </c>
      <c r="R36" s="40"/>
      <c r="S36" s="134">
        <v>0.10554838709677419</v>
      </c>
      <c r="T36" s="134">
        <v>0.1015966275095295</v>
      </c>
      <c r="U36" s="40"/>
      <c r="V36" s="30"/>
      <c r="W36" s="33">
        <v>-3.9803019809510465</v>
      </c>
      <c r="X36" s="31" t="s">
        <v>73</v>
      </c>
      <c r="Y36" s="40"/>
      <c r="Z36" s="65"/>
      <c r="AA36" s="28">
        <v>152531.01736972705</v>
      </c>
      <c r="AB36" s="28">
        <v>151557.73000000007</v>
      </c>
      <c r="AC36" s="40"/>
      <c r="AD36" s="30">
        <v>15621.687344913153</v>
      </c>
      <c r="AE36" s="30">
        <v>11602.6728</v>
      </c>
      <c r="AF36" s="32">
        <v>0.74272852501929931</v>
      </c>
      <c r="AG36" s="40"/>
      <c r="AH36" s="30">
        <v>16863.347795169087</v>
      </c>
      <c r="AI36" s="30">
        <v>484601.24356328521</v>
      </c>
      <c r="AJ36" s="32">
        <v>1.0578965324032596</v>
      </c>
      <c r="AK36" s="40"/>
      <c r="AL36" s="85">
        <v>0.10554838709677419</v>
      </c>
      <c r="AM36" s="85">
        <v>7.655612683035036E-2</v>
      </c>
      <c r="AN36" s="40"/>
      <c r="AO36" s="33">
        <v>0</v>
      </c>
      <c r="AP36" s="32">
        <v>0</v>
      </c>
      <c r="AQ36" s="11"/>
      <c r="AR36" s="11"/>
      <c r="AS36" s="11"/>
      <c r="AT36" s="11"/>
      <c r="AU36" s="11"/>
      <c r="AV36" s="11"/>
      <c r="AW36" s="11"/>
    </row>
    <row r="37" spans="1:49" ht="8" customHeight="1" x14ac:dyDescent="0.3">
      <c r="B37" s="17"/>
      <c r="D37" s="35"/>
      <c r="E37" s="48"/>
      <c r="F37" s="131"/>
      <c r="G37" s="35"/>
      <c r="H37" s="49"/>
      <c r="I37" s="49"/>
      <c r="J37" s="49"/>
      <c r="K37" s="52"/>
      <c r="L37" s="35"/>
      <c r="M37" s="49"/>
      <c r="N37" s="49"/>
      <c r="O37" s="52"/>
      <c r="P37" s="49"/>
      <c r="Q37" s="48"/>
      <c r="R37" s="35"/>
      <c r="S37" s="52"/>
      <c r="T37" s="52"/>
      <c r="U37" s="35"/>
      <c r="V37" s="49"/>
      <c r="W37" s="53"/>
      <c r="X37" s="49"/>
      <c r="Y37" s="35"/>
      <c r="Z37" s="65"/>
      <c r="AA37" s="48"/>
      <c r="AB37" s="48"/>
      <c r="AC37" s="37"/>
      <c r="AD37" s="49"/>
      <c r="AE37" s="49"/>
      <c r="AF37" s="48"/>
      <c r="AG37" s="37"/>
      <c r="AH37" s="49"/>
      <c r="AI37" s="49"/>
      <c r="AJ37" s="48"/>
      <c r="AK37" s="37"/>
      <c r="AL37" s="50"/>
      <c r="AM37" s="54"/>
      <c r="AN37" s="37"/>
      <c r="AO37" s="53"/>
      <c r="AP37" s="48"/>
    </row>
    <row r="38" spans="1:49" ht="12.75" customHeight="1" x14ac:dyDescent="0.3">
      <c r="A38" s="7" t="s">
        <v>19</v>
      </c>
      <c r="B38" s="224" t="s">
        <v>31</v>
      </c>
      <c r="C38" s="6" t="s">
        <v>8</v>
      </c>
      <c r="D38" s="35"/>
      <c r="E38" s="34">
        <v>128095.53999999998</v>
      </c>
      <c r="F38" s="129">
        <v>0.58225245454545449</v>
      </c>
      <c r="G38" s="7"/>
      <c r="H38" s="36">
        <v>220000</v>
      </c>
      <c r="I38" s="36">
        <v>194615.3846153846</v>
      </c>
      <c r="J38" s="36">
        <v>219161.19999999952</v>
      </c>
      <c r="K38" s="73">
        <v>1.1261247430830015</v>
      </c>
      <c r="L38" s="37"/>
      <c r="M38" s="36">
        <v>23100</v>
      </c>
      <c r="N38" s="36">
        <v>20434.615384615383</v>
      </c>
      <c r="O38" s="38">
        <v>170.16</v>
      </c>
      <c r="P38" s="36">
        <v>26974.478400000036</v>
      </c>
      <c r="Q38" s="121">
        <v>1.320038468661775</v>
      </c>
      <c r="R38" s="37"/>
      <c r="S38" s="133">
        <v>0.105</v>
      </c>
      <c r="T38" s="133">
        <v>0.12308053797843822</v>
      </c>
      <c r="U38" s="37"/>
      <c r="V38" s="36"/>
      <c r="W38" s="39">
        <v>-0.73419090605474668</v>
      </c>
      <c r="X38" s="72" t="s">
        <v>73</v>
      </c>
      <c r="Y38" s="37"/>
      <c r="Z38" s="65"/>
      <c r="AA38" s="34">
        <v>8461.538461538461</v>
      </c>
      <c r="AB38" s="34">
        <v>18683.620000000006</v>
      </c>
      <c r="AC38" s="37"/>
      <c r="AD38" s="36">
        <v>888.46153846153845</v>
      </c>
      <c r="AE38" s="36">
        <v>1771.4420000000007</v>
      </c>
      <c r="AF38" s="121">
        <v>1.9938308225108232</v>
      </c>
      <c r="AG38" s="37"/>
      <c r="AH38" s="36">
        <v>1172.8034086956538</v>
      </c>
      <c r="AI38" s="36">
        <v>30492.888626086999</v>
      </c>
      <c r="AJ38" s="121">
        <v>1.3200384686617748</v>
      </c>
      <c r="AK38" s="37"/>
      <c r="AL38" s="114">
        <v>0.105</v>
      </c>
      <c r="AM38" s="114">
        <v>9.4812568442304013E-2</v>
      </c>
      <c r="AN38" s="37"/>
      <c r="AO38" s="39">
        <v>-3.028845587739367</v>
      </c>
      <c r="AP38" s="73">
        <v>0</v>
      </c>
    </row>
    <row r="39" spans="1:49" ht="12.75" customHeight="1" x14ac:dyDescent="0.3">
      <c r="A39" s="7" t="s">
        <v>19</v>
      </c>
      <c r="B39" s="224"/>
      <c r="C39" s="6" t="s">
        <v>9</v>
      </c>
      <c r="D39" s="35"/>
      <c r="E39" s="34">
        <v>205595.2900000003</v>
      </c>
      <c r="F39" s="129">
        <v>0.35144494017094069</v>
      </c>
      <c r="G39" s="7"/>
      <c r="H39" s="36">
        <v>585000</v>
      </c>
      <c r="I39" s="36">
        <v>509516.12903225806</v>
      </c>
      <c r="J39" s="36">
        <v>483462.23999995319</v>
      </c>
      <c r="K39" s="73">
        <v>0.94886542830000309</v>
      </c>
      <c r="L39" s="37"/>
      <c r="M39" s="36">
        <v>93541.499999999985</v>
      </c>
      <c r="N39" s="36">
        <v>81471.629032258046</v>
      </c>
      <c r="O39" s="38">
        <v>852.74</v>
      </c>
      <c r="P39" s="36">
        <v>74614.941200000612</v>
      </c>
      <c r="Q39" s="121">
        <v>0.91583956386164089</v>
      </c>
      <c r="R39" s="37"/>
      <c r="S39" s="133">
        <v>0.15989999999999999</v>
      </c>
      <c r="T39" s="133">
        <v>0.15433457884944196</v>
      </c>
      <c r="U39" s="37"/>
      <c r="V39" s="36"/>
      <c r="W39" s="39">
        <v>4.6769177257685683</v>
      </c>
      <c r="X39" s="72" t="s">
        <v>73</v>
      </c>
      <c r="Y39" s="37"/>
      <c r="Z39" s="65"/>
      <c r="AA39" s="34">
        <v>18870.967741935485</v>
      </c>
      <c r="AB39" s="34">
        <v>27462.100000000166</v>
      </c>
      <c r="AC39" s="37"/>
      <c r="AD39" s="36">
        <v>3017.4677419354834</v>
      </c>
      <c r="AE39" s="36">
        <v>3644.6995999999954</v>
      </c>
      <c r="AF39" s="121">
        <v>1.2078669638609587</v>
      </c>
      <c r="AG39" s="37"/>
      <c r="AH39" s="36">
        <v>2763.5163407407636</v>
      </c>
      <c r="AI39" s="36">
        <v>85669.006562963667</v>
      </c>
      <c r="AJ39" s="121">
        <v>0.91583956386164089</v>
      </c>
      <c r="AK39" s="37"/>
      <c r="AL39" s="114">
        <v>0.15989999999999999</v>
      </c>
      <c r="AM39" s="114">
        <v>0.13271743967140071</v>
      </c>
      <c r="AN39" s="37"/>
      <c r="AO39" s="39">
        <v>2.4788330098578584</v>
      </c>
      <c r="AP39" s="73">
        <v>0</v>
      </c>
    </row>
    <row r="40" spans="1:49" ht="12.75" customHeight="1" x14ac:dyDescent="0.3">
      <c r="A40" s="7" t="s">
        <v>19</v>
      </c>
      <c r="B40" s="224"/>
      <c r="C40" s="6" t="s">
        <v>10</v>
      </c>
      <c r="D40" s="35"/>
      <c r="E40" s="34">
        <v>362321.53000000049</v>
      </c>
      <c r="F40" s="129">
        <v>0.39382775000000053</v>
      </c>
      <c r="G40" s="7"/>
      <c r="H40" s="36">
        <v>920000</v>
      </c>
      <c r="I40" s="36">
        <v>801290.32258064509</v>
      </c>
      <c r="J40" s="36">
        <v>814957.98999989463</v>
      </c>
      <c r="K40" s="73">
        <v>1.0170570728662132</v>
      </c>
      <c r="L40" s="37"/>
      <c r="M40" s="36">
        <v>158240</v>
      </c>
      <c r="N40" s="36">
        <v>137821.93548387097</v>
      </c>
      <c r="O40" s="38">
        <v>1211.1399999999999</v>
      </c>
      <c r="P40" s="36">
        <v>136955.20345000061</v>
      </c>
      <c r="Q40" s="121">
        <v>0.99371121853116195</v>
      </c>
      <c r="R40" s="37"/>
      <c r="S40" s="133">
        <v>0.17199999999999999</v>
      </c>
      <c r="T40" s="133">
        <v>0.16805185682027404</v>
      </c>
      <c r="U40" s="37"/>
      <c r="V40" s="36"/>
      <c r="W40" s="39">
        <v>6.0609017956745248</v>
      </c>
      <c r="X40" s="72" t="s">
        <v>73</v>
      </c>
      <c r="Y40" s="37"/>
      <c r="Z40" s="65"/>
      <c r="AA40" s="34">
        <v>29677.419354838708</v>
      </c>
      <c r="AB40" s="34">
        <v>46547.4100000002</v>
      </c>
      <c r="AC40" s="37"/>
      <c r="AD40" s="36">
        <v>5104.5161290322585</v>
      </c>
      <c r="AE40" s="36">
        <v>6716.7783999999847</v>
      </c>
      <c r="AF40" s="121">
        <v>1.3158501668351839</v>
      </c>
      <c r="AG40" s="37"/>
      <c r="AH40" s="36">
        <v>5072.4149425926153</v>
      </c>
      <c r="AI40" s="36">
        <v>157244.86322037107</v>
      </c>
      <c r="AJ40" s="121">
        <v>0.99371121853116195</v>
      </c>
      <c r="AK40" s="37"/>
      <c r="AL40" s="114">
        <v>0.17199999999999999</v>
      </c>
      <c r="AM40" s="114">
        <v>0.14429972365809302</v>
      </c>
      <c r="AN40" s="37"/>
      <c r="AO40" s="39">
        <v>4.2935544641475945</v>
      </c>
      <c r="AP40" s="73">
        <v>0</v>
      </c>
    </row>
    <row r="41" spans="1:49" ht="12.75" customHeight="1" x14ac:dyDescent="0.3">
      <c r="A41" s="7" t="s">
        <v>19</v>
      </c>
      <c r="B41" s="224"/>
      <c r="C41" s="6" t="s">
        <v>12</v>
      </c>
      <c r="D41" s="35"/>
      <c r="E41" s="34">
        <v>20345.369999999984</v>
      </c>
      <c r="F41" s="129">
        <v>0.3699158181818179</v>
      </c>
      <c r="G41" s="7"/>
      <c r="H41" s="36">
        <v>55000</v>
      </c>
      <c r="I41" s="36">
        <v>48653.846153846149</v>
      </c>
      <c r="J41" s="36">
        <v>78213.350000000035</v>
      </c>
      <c r="K41" s="73">
        <v>1.6075471146245068</v>
      </c>
      <c r="L41" s="37"/>
      <c r="M41" s="36">
        <v>8921.0164607613788</v>
      </c>
      <c r="N41" s="36">
        <v>7891.668407596605</v>
      </c>
      <c r="O41" s="38">
        <v>2474.12</v>
      </c>
      <c r="P41" s="36">
        <v>11982.309999999972</v>
      </c>
      <c r="Q41" s="121">
        <v>1.5183494010551268</v>
      </c>
      <c r="R41" s="37"/>
      <c r="S41" s="133">
        <v>0.16220029928657051</v>
      </c>
      <c r="T41" s="133">
        <v>0.15320031682570773</v>
      </c>
      <c r="U41" s="37"/>
      <c r="V41" s="36"/>
      <c r="W41" s="39">
        <v>-2.4715729475849111</v>
      </c>
      <c r="X41" s="72" t="s">
        <v>73</v>
      </c>
      <c r="Y41" s="37"/>
      <c r="Z41" s="65"/>
      <c r="AA41" s="34">
        <v>2115.3846153846152</v>
      </c>
      <c r="AB41" s="34">
        <v>5556.5000000000009</v>
      </c>
      <c r="AC41" s="37"/>
      <c r="AD41" s="36">
        <v>343.1160177215915</v>
      </c>
      <c r="AE41" s="36">
        <v>847.48999999999921</v>
      </c>
      <c r="AF41" s="121">
        <v>2.4699808701080896</v>
      </c>
      <c r="AG41" s="37"/>
      <c r="AH41" s="36">
        <v>520.96999999999878</v>
      </c>
      <c r="AI41" s="36">
        <v>13545.219999999968</v>
      </c>
      <c r="AJ41" s="121">
        <v>1.5183494010551271</v>
      </c>
      <c r="AK41" s="37"/>
      <c r="AL41" s="114">
        <v>0.16220029928657051</v>
      </c>
      <c r="AM41" s="114">
        <v>0.15252227121389347</v>
      </c>
      <c r="AN41" s="37"/>
      <c r="AO41" s="39">
        <v>2.9407000809862414</v>
      </c>
      <c r="AP41" s="73">
        <v>0</v>
      </c>
    </row>
    <row r="42" spans="1:49" s="16" customFormat="1" ht="14.25" customHeight="1" x14ac:dyDescent="0.3">
      <c r="A42" s="27"/>
      <c r="B42" s="224"/>
      <c r="C42" s="9" t="s">
        <v>30</v>
      </c>
      <c r="D42" s="29"/>
      <c r="E42" s="28">
        <v>716357.7300000008</v>
      </c>
      <c r="F42" s="130">
        <v>0.40244816292134877</v>
      </c>
      <c r="G42" s="27"/>
      <c r="H42" s="30">
        <v>1780000</v>
      </c>
      <c r="I42" s="30">
        <v>1554075.682382134</v>
      </c>
      <c r="J42" s="30">
        <v>1595794.7799998475</v>
      </c>
      <c r="K42" s="32">
        <v>1.026844958769167</v>
      </c>
      <c r="L42" s="40"/>
      <c r="M42" s="30">
        <v>283802.51646076137</v>
      </c>
      <c r="N42" s="30">
        <v>247619.84830834102</v>
      </c>
      <c r="O42" s="28">
        <v>4708.16</v>
      </c>
      <c r="P42" s="30">
        <v>250526.93305000124</v>
      </c>
      <c r="Q42" s="32">
        <v>1.0117401119559699</v>
      </c>
      <c r="R42" s="40"/>
      <c r="S42" s="134">
        <v>0.15943961598919179</v>
      </c>
      <c r="T42" s="134">
        <v>0.15699194920917411</v>
      </c>
      <c r="U42" s="40"/>
      <c r="V42" s="30"/>
      <c r="W42" s="33">
        <v>4.2901990849887603</v>
      </c>
      <c r="X42" s="31" t="s">
        <v>73</v>
      </c>
      <c r="Y42" s="40"/>
      <c r="Z42" s="65"/>
      <c r="AA42" s="28">
        <v>59125.310173697268</v>
      </c>
      <c r="AB42" s="28">
        <v>98249.630000000383</v>
      </c>
      <c r="AC42" s="40"/>
      <c r="AD42" s="30">
        <v>9353.561427150873</v>
      </c>
      <c r="AE42" s="30">
        <v>12980.40999999998</v>
      </c>
      <c r="AF42" s="32">
        <v>1.3877505483976766</v>
      </c>
      <c r="AG42" s="40"/>
      <c r="AH42" s="30">
        <v>9529.7046920290322</v>
      </c>
      <c r="AI42" s="30">
        <v>286951.97840942175</v>
      </c>
      <c r="AJ42" s="32">
        <v>1.011097371467796</v>
      </c>
      <c r="AK42" s="40"/>
      <c r="AL42" s="85">
        <v>0.15943961598919179</v>
      </c>
      <c r="AM42" s="85">
        <v>0.13211662985397429</v>
      </c>
      <c r="AN42" s="40"/>
      <c r="AO42" s="33">
        <v>0</v>
      </c>
      <c r="AP42" s="32">
        <v>0</v>
      </c>
      <c r="AQ42" s="11"/>
      <c r="AR42" s="11"/>
      <c r="AS42" s="11"/>
      <c r="AT42" s="11"/>
      <c r="AU42" s="11"/>
      <c r="AV42" s="11"/>
      <c r="AW42" s="11"/>
    </row>
    <row r="43" spans="1:49" ht="8" customHeight="1" x14ac:dyDescent="0.3">
      <c r="B43" s="17"/>
      <c r="D43" s="35"/>
      <c r="E43" s="48"/>
      <c r="F43" s="131"/>
      <c r="G43" s="35"/>
      <c r="H43" s="49"/>
      <c r="I43" s="49"/>
      <c r="J43" s="49"/>
      <c r="K43" s="52"/>
      <c r="L43" s="35"/>
      <c r="M43" s="49"/>
      <c r="N43" s="49"/>
      <c r="O43" s="52"/>
      <c r="P43" s="49"/>
      <c r="Q43" s="48"/>
      <c r="R43" s="35"/>
      <c r="S43" s="52"/>
      <c r="T43" s="52"/>
      <c r="U43" s="35"/>
      <c r="V43" s="49"/>
      <c r="W43" s="53"/>
      <c r="X43" s="49"/>
      <c r="Y43" s="35"/>
      <c r="Z43" s="65"/>
      <c r="AA43" s="48"/>
      <c r="AB43" s="48"/>
      <c r="AC43" s="37"/>
      <c r="AD43" s="49"/>
      <c r="AE43" s="49"/>
      <c r="AF43" s="48"/>
      <c r="AG43" s="37"/>
      <c r="AH43" s="49"/>
      <c r="AI43" s="49"/>
      <c r="AJ43" s="48"/>
      <c r="AK43" s="37"/>
      <c r="AL43" s="50"/>
      <c r="AM43" s="54"/>
      <c r="AN43" s="37"/>
      <c r="AO43" s="53"/>
      <c r="AP43" s="48"/>
    </row>
    <row r="44" spans="1:49" ht="12.75" customHeight="1" x14ac:dyDescent="0.3">
      <c r="A44" s="7" t="s">
        <v>20</v>
      </c>
      <c r="B44" s="224" t="s">
        <v>27</v>
      </c>
      <c r="C44" s="6" t="s">
        <v>8</v>
      </c>
      <c r="D44" s="35"/>
      <c r="E44" s="34">
        <v>565440.18000000063</v>
      </c>
      <c r="F44" s="129">
        <v>3.0730444565217425</v>
      </c>
      <c r="G44" s="7"/>
      <c r="H44" s="36">
        <v>184000</v>
      </c>
      <c r="I44" s="36">
        <v>162769.23076923078</v>
      </c>
      <c r="J44" s="36">
        <v>146839.28000000215</v>
      </c>
      <c r="K44" s="73">
        <v>0.9021316824196729</v>
      </c>
      <c r="L44" s="37"/>
      <c r="M44" s="36">
        <v>22080</v>
      </c>
      <c r="N44" s="36">
        <v>19532.307692307695</v>
      </c>
      <c r="O44" s="38">
        <v>334.94</v>
      </c>
      <c r="P44" s="36">
        <v>21186.140349999805</v>
      </c>
      <c r="Q44" s="121">
        <v>1.0846716467785027</v>
      </c>
      <c r="R44" s="37"/>
      <c r="S44" s="133">
        <v>0.12</v>
      </c>
      <c r="T44" s="133">
        <v>0.14428115113339901</v>
      </c>
      <c r="U44" s="37"/>
      <c r="V44" s="36"/>
      <c r="W44" s="39">
        <v>3.7277698106413522</v>
      </c>
      <c r="X44" s="72" t="s">
        <v>73</v>
      </c>
      <c r="Y44" s="37"/>
      <c r="Z44" s="65"/>
      <c r="AA44" s="34">
        <v>7076.9230769230771</v>
      </c>
      <c r="AB44" s="34">
        <v>10745.789999999966</v>
      </c>
      <c r="AC44" s="37"/>
      <c r="AD44" s="36">
        <v>849.23076923076928</v>
      </c>
      <c r="AE44" s="36">
        <v>99.664799999999872</v>
      </c>
      <c r="AF44" s="121">
        <v>0.11735891304347811</v>
      </c>
      <c r="AG44" s="37"/>
      <c r="AH44" s="36">
        <v>921.13653695651328</v>
      </c>
      <c r="AI44" s="36">
        <v>23949.549960869346</v>
      </c>
      <c r="AJ44" s="121">
        <v>1.0846716467785029</v>
      </c>
      <c r="AK44" s="37"/>
      <c r="AL44" s="114">
        <v>0.12</v>
      </c>
      <c r="AM44" s="114">
        <v>9.2747764473342757E-3</v>
      </c>
      <c r="AN44" s="37"/>
      <c r="AO44" s="39">
        <v>-8.2236410724575961</v>
      </c>
      <c r="AP44" s="73">
        <v>0</v>
      </c>
    </row>
    <row r="45" spans="1:49" ht="12.75" customHeight="1" x14ac:dyDescent="0.3">
      <c r="A45" s="7" t="s">
        <v>20</v>
      </c>
      <c r="B45" s="224"/>
      <c r="C45" s="6" t="s">
        <v>9</v>
      </c>
      <c r="D45" s="35"/>
      <c r="E45" s="34">
        <v>907177.55000000086</v>
      </c>
      <c r="F45" s="129">
        <v>2.0159501111111129</v>
      </c>
      <c r="G45" s="7"/>
      <c r="H45" s="36">
        <v>450000</v>
      </c>
      <c r="I45" s="36">
        <v>391935.48387096776</v>
      </c>
      <c r="J45" s="36">
        <v>370472.93999993824</v>
      </c>
      <c r="K45" s="73">
        <v>0.94523959999984242</v>
      </c>
      <c r="L45" s="37"/>
      <c r="M45" s="36">
        <v>71629.254685760781</v>
      </c>
      <c r="N45" s="36">
        <v>62386.770210178744</v>
      </c>
      <c r="O45" s="38">
        <v>2314.67</v>
      </c>
      <c r="P45" s="36">
        <v>72079.176779999238</v>
      </c>
      <c r="Q45" s="121">
        <v>1.1553599671399422</v>
      </c>
      <c r="R45" s="37"/>
      <c r="S45" s="133">
        <v>0.15917612152391283</v>
      </c>
      <c r="T45" s="133">
        <v>0.19455989627747508</v>
      </c>
      <c r="U45" s="37"/>
      <c r="V45" s="36"/>
      <c r="W45" s="39">
        <v>8.5098703241159672</v>
      </c>
      <c r="X45" s="72" t="s">
        <v>73</v>
      </c>
      <c r="Y45" s="37"/>
      <c r="Z45" s="65"/>
      <c r="AA45" s="34">
        <v>14516.129032258064</v>
      </c>
      <c r="AB45" s="34">
        <v>25686.690000000366</v>
      </c>
      <c r="AC45" s="37"/>
      <c r="AD45" s="36">
        <v>2310.621118895509</v>
      </c>
      <c r="AE45" s="36">
        <v>1632.9920500000003</v>
      </c>
      <c r="AF45" s="121">
        <v>0.70673293715093388</v>
      </c>
      <c r="AG45" s="37"/>
      <c r="AH45" s="36">
        <v>2669.5991399999716</v>
      </c>
      <c r="AI45" s="36">
        <v>82757.573339999115</v>
      </c>
      <c r="AJ45" s="121">
        <v>1.1553599671399419</v>
      </c>
      <c r="AK45" s="37"/>
      <c r="AL45" s="114">
        <v>0.15917612152391283</v>
      </c>
      <c r="AM45" s="114">
        <v>6.357347131919204E-2</v>
      </c>
      <c r="AN45" s="37"/>
      <c r="AO45" s="39">
        <v>-2.7041940787218199</v>
      </c>
      <c r="AP45" s="73">
        <v>0</v>
      </c>
    </row>
    <row r="46" spans="1:49" ht="12.75" customHeight="1" x14ac:dyDescent="0.3">
      <c r="A46" s="7" t="s">
        <v>20</v>
      </c>
      <c r="B46" s="224"/>
      <c r="C46" s="6" t="s">
        <v>10</v>
      </c>
      <c r="D46" s="35"/>
      <c r="E46" s="34">
        <v>1142029.1499999985</v>
      </c>
      <c r="F46" s="129">
        <v>2.0035599122806991</v>
      </c>
      <c r="G46" s="7"/>
      <c r="H46" s="36">
        <v>570000</v>
      </c>
      <c r="I46" s="36">
        <v>496451.61290322582</v>
      </c>
      <c r="J46" s="36">
        <v>509018.78999988158</v>
      </c>
      <c r="K46" s="73">
        <v>1.0253140019490792</v>
      </c>
      <c r="L46" s="37"/>
      <c r="M46" s="36">
        <v>95190</v>
      </c>
      <c r="N46" s="36">
        <v>82907.419354838712</v>
      </c>
      <c r="O46" s="38">
        <v>5364.93</v>
      </c>
      <c r="P46" s="36">
        <v>92640.882589997636</v>
      </c>
      <c r="Q46" s="121">
        <v>1.1174015945846811</v>
      </c>
      <c r="R46" s="37"/>
      <c r="S46" s="133">
        <v>0.16700000000000001</v>
      </c>
      <c r="T46" s="133">
        <v>0.18199894465589214</v>
      </c>
      <c r="U46" s="37"/>
      <c r="V46" s="36"/>
      <c r="W46" s="39">
        <v>6.7347636793301042</v>
      </c>
      <c r="X46" s="72" t="s">
        <v>73</v>
      </c>
      <c r="Y46" s="37"/>
      <c r="Z46" s="65"/>
      <c r="AA46" s="34">
        <v>18387.096774193549</v>
      </c>
      <c r="AB46" s="34">
        <v>36791.780000000632</v>
      </c>
      <c r="AC46" s="37"/>
      <c r="AD46" s="36">
        <v>3070.6451612903224</v>
      </c>
      <c r="AE46" s="36">
        <v>1356.3329399999957</v>
      </c>
      <c r="AF46" s="121">
        <v>0.44170943523479217</v>
      </c>
      <c r="AG46" s="37"/>
      <c r="AH46" s="36">
        <v>3431.1437996295422</v>
      </c>
      <c r="AI46" s="36">
        <v>106365.45778851581</v>
      </c>
      <c r="AJ46" s="121">
        <v>1.1174015945846811</v>
      </c>
      <c r="AK46" s="37"/>
      <c r="AL46" s="114">
        <v>0.16700000000000001</v>
      </c>
      <c r="AM46" s="114">
        <v>3.6865107912690619E-2</v>
      </c>
      <c r="AN46" s="37"/>
      <c r="AO46" s="39">
        <v>-5.5360927359296923</v>
      </c>
      <c r="AP46" s="73">
        <v>0</v>
      </c>
    </row>
    <row r="47" spans="1:49" ht="12.75" customHeight="1" x14ac:dyDescent="0.3">
      <c r="A47" s="7" t="s">
        <v>20</v>
      </c>
      <c r="B47" s="224"/>
      <c r="C47" s="6" t="s">
        <v>12</v>
      </c>
      <c r="D47" s="35"/>
      <c r="E47" s="34">
        <v>48322.859999999957</v>
      </c>
      <c r="F47" s="129">
        <v>2.1964936363636345</v>
      </c>
      <c r="G47" s="7"/>
      <c r="H47" s="36">
        <v>22000</v>
      </c>
      <c r="I47" s="36">
        <v>19461.538461538461</v>
      </c>
      <c r="J47" s="36">
        <v>26937.610000000619</v>
      </c>
      <c r="K47" s="73">
        <v>1.3841459683794786</v>
      </c>
      <c r="L47" s="37"/>
      <c r="M47" s="36">
        <v>3740.0000000000005</v>
      </c>
      <c r="N47" s="36">
        <v>3308.461538461539</v>
      </c>
      <c r="O47" s="38">
        <v>9304.5399999999991</v>
      </c>
      <c r="P47" s="36">
        <v>4716.9800000000123</v>
      </c>
      <c r="Q47" s="121">
        <v>1.4257321553127213</v>
      </c>
      <c r="R47" s="37"/>
      <c r="S47" s="133">
        <v>0.17</v>
      </c>
      <c r="T47" s="133">
        <v>0.17510759120797664</v>
      </c>
      <c r="U47" s="37"/>
      <c r="V47" s="36"/>
      <c r="W47" s="39">
        <v>-28.920383062933681</v>
      </c>
      <c r="X47" s="72" t="s">
        <v>73</v>
      </c>
      <c r="Y47" s="37"/>
      <c r="Z47" s="65"/>
      <c r="AA47" s="34">
        <v>846.15384615384619</v>
      </c>
      <c r="AB47" s="34">
        <v>2518.6999999999989</v>
      </c>
      <c r="AC47" s="37"/>
      <c r="AD47" s="36">
        <v>143.84615384615387</v>
      </c>
      <c r="AE47" s="36">
        <v>350.15000000000003</v>
      </c>
      <c r="AF47" s="121">
        <v>2.4341978609625667</v>
      </c>
      <c r="AG47" s="37"/>
      <c r="AH47" s="36">
        <v>205.08608695652228</v>
      </c>
      <c r="AI47" s="36">
        <v>5332.2382608695789</v>
      </c>
      <c r="AJ47" s="121">
        <v>1.4257321553127213</v>
      </c>
      <c r="AK47" s="37"/>
      <c r="AL47" s="114">
        <v>0.17</v>
      </c>
      <c r="AM47" s="114">
        <v>0.13902012943184983</v>
      </c>
      <c r="AN47" s="37"/>
      <c r="AO47" s="39">
        <v>5.2193591932345544</v>
      </c>
      <c r="AP47" s="73">
        <v>0</v>
      </c>
    </row>
    <row r="48" spans="1:49" s="16" customFormat="1" ht="14.25" customHeight="1" x14ac:dyDescent="0.3">
      <c r="A48" s="27"/>
      <c r="B48" s="224"/>
      <c r="C48" s="9" t="s">
        <v>28</v>
      </c>
      <c r="D48" s="29"/>
      <c r="E48" s="28">
        <v>2662969.7399999998</v>
      </c>
      <c r="F48" s="130">
        <v>2.1720797226753668</v>
      </c>
      <c r="G48" s="27"/>
      <c r="H48" s="30">
        <v>1226000</v>
      </c>
      <c r="I48" s="30">
        <v>1070617.8660049629</v>
      </c>
      <c r="J48" s="30">
        <v>1053268.6199998225</v>
      </c>
      <c r="K48" s="32">
        <v>0.98379510882825105</v>
      </c>
      <c r="L48" s="40"/>
      <c r="M48" s="30">
        <v>192639.25468576077</v>
      </c>
      <c r="N48" s="30">
        <v>168134.95879578669</v>
      </c>
      <c r="O48" s="28">
        <v>17319.080000000002</v>
      </c>
      <c r="P48" s="30">
        <v>190623.1797199967</v>
      </c>
      <c r="Q48" s="32">
        <v>1.1337510121944583</v>
      </c>
      <c r="R48" s="40"/>
      <c r="S48" s="134">
        <v>0.15712826646473146</v>
      </c>
      <c r="T48" s="134">
        <v>0.18098249212060341</v>
      </c>
      <c r="U48" s="40"/>
      <c r="V48" s="30"/>
      <c r="W48" s="33">
        <v>6.0280301258597166</v>
      </c>
      <c r="X48" s="31" t="s">
        <v>73</v>
      </c>
      <c r="Y48" s="40"/>
      <c r="Z48" s="65"/>
      <c r="AA48" s="28">
        <v>40826.302729528536</v>
      </c>
      <c r="AB48" s="28">
        <v>75742.960000000967</v>
      </c>
      <c r="AC48" s="40"/>
      <c r="AD48" s="30">
        <v>6374.3432032627552</v>
      </c>
      <c r="AE48" s="30">
        <v>3439.1397899999961</v>
      </c>
      <c r="AF48" s="32">
        <v>0.53952849420464943</v>
      </c>
      <c r="AG48" s="40"/>
      <c r="AH48" s="30">
        <v>7226.9655635425497</v>
      </c>
      <c r="AI48" s="30">
        <v>218404.81935025385</v>
      </c>
      <c r="AJ48" s="32">
        <v>1.1337503340454815</v>
      </c>
      <c r="AK48" s="40"/>
      <c r="AL48" s="85">
        <v>0.15712826646473146</v>
      </c>
      <c r="AM48" s="85">
        <v>4.5405405202014186E-2</v>
      </c>
      <c r="AN48" s="40"/>
      <c r="AO48" s="33">
        <v>0</v>
      </c>
      <c r="AP48" s="32">
        <v>0</v>
      </c>
      <c r="AQ48" s="11"/>
      <c r="AR48" s="11"/>
      <c r="AS48" s="11"/>
      <c r="AT48" s="11"/>
      <c r="AU48" s="11"/>
      <c r="AV48" s="11"/>
      <c r="AW48" s="11"/>
    </row>
    <row r="49" spans="1:49" ht="8" customHeight="1" x14ac:dyDescent="0.3">
      <c r="B49" s="17"/>
      <c r="D49" s="35"/>
      <c r="E49" s="48"/>
      <c r="F49" s="131"/>
      <c r="G49" s="35"/>
      <c r="H49" s="49"/>
      <c r="I49" s="49"/>
      <c r="J49" s="49"/>
      <c r="K49" s="52"/>
      <c r="L49" s="35"/>
      <c r="M49" s="49"/>
      <c r="N49" s="49"/>
      <c r="O49" s="52"/>
      <c r="P49" s="49"/>
      <c r="Q49" s="48"/>
      <c r="R49" s="35"/>
      <c r="S49" s="52"/>
      <c r="T49" s="52"/>
      <c r="U49" s="35"/>
      <c r="V49" s="49"/>
      <c r="W49" s="53"/>
      <c r="X49" s="49"/>
      <c r="Y49" s="35"/>
      <c r="Z49" s="65"/>
      <c r="AA49" s="48"/>
      <c r="AB49" s="48"/>
      <c r="AC49" s="37"/>
      <c r="AD49" s="49"/>
      <c r="AE49" s="49"/>
      <c r="AF49" s="48"/>
      <c r="AG49" s="37"/>
      <c r="AH49" s="49"/>
      <c r="AI49" s="49"/>
      <c r="AJ49" s="48"/>
      <c r="AK49" s="37"/>
      <c r="AL49" s="50"/>
      <c r="AM49" s="54"/>
      <c r="AN49" s="37"/>
      <c r="AO49" s="53"/>
      <c r="AP49" s="48"/>
    </row>
    <row r="50" spans="1:49" ht="12.75" customHeight="1" x14ac:dyDescent="0.3">
      <c r="A50" s="7" t="s">
        <v>17</v>
      </c>
      <c r="B50" s="247" t="s">
        <v>71</v>
      </c>
      <c r="C50" s="6" t="s">
        <v>8</v>
      </c>
      <c r="D50" s="35"/>
      <c r="E50" s="34">
        <v>128059.6</v>
      </c>
      <c r="F50" s="129">
        <v>0.22079241379310346</v>
      </c>
      <c r="G50" s="7"/>
      <c r="H50" s="36">
        <v>580000</v>
      </c>
      <c r="I50" s="36">
        <v>513076.92307692312</v>
      </c>
      <c r="J50" s="36">
        <v>528255.46999999799</v>
      </c>
      <c r="K50" s="73">
        <v>1.0295833748125898</v>
      </c>
      <c r="L50" s="37"/>
      <c r="M50" s="36">
        <v>98020</v>
      </c>
      <c r="N50" s="36">
        <v>86710</v>
      </c>
      <c r="O50" s="38">
        <v>0</v>
      </c>
      <c r="P50" s="36">
        <v>94214.758900000132</v>
      </c>
      <c r="Q50" s="121">
        <v>1.0865500968746411</v>
      </c>
      <c r="R50" s="37"/>
      <c r="S50" s="133">
        <v>0.16900000000000001</v>
      </c>
      <c r="T50" s="133">
        <v>0.17835074930696029</v>
      </c>
      <c r="U50" s="37"/>
      <c r="V50" s="36"/>
      <c r="W50" s="39">
        <v>-10.785897039551903</v>
      </c>
      <c r="X50" s="72" t="s">
        <v>73</v>
      </c>
      <c r="Y50" s="37"/>
      <c r="Z50" s="65"/>
      <c r="AA50" s="34">
        <v>22307.692307692309</v>
      </c>
      <c r="AB50" s="34">
        <v>32241.900000000009</v>
      </c>
      <c r="AC50" s="37"/>
      <c r="AD50" s="36">
        <v>3770</v>
      </c>
      <c r="AE50" s="36">
        <v>6167.8272999999999</v>
      </c>
      <c r="AF50" s="121">
        <v>1.6360284615384615</v>
      </c>
      <c r="AG50" s="37"/>
      <c r="AH50" s="36">
        <v>4096.2938652173971</v>
      </c>
      <c r="AI50" s="36">
        <v>106503.64049565232</v>
      </c>
      <c r="AJ50" s="121">
        <v>1.0865500968746411</v>
      </c>
      <c r="AK50" s="37"/>
      <c r="AL50" s="114">
        <v>0.16900000000000001</v>
      </c>
      <c r="AM50" s="114">
        <v>0.19129850598134721</v>
      </c>
      <c r="AN50" s="37"/>
      <c r="AO50" s="39">
        <v>-6.7126400739410608</v>
      </c>
      <c r="AP50" s="73">
        <v>0</v>
      </c>
    </row>
    <row r="51" spans="1:49" ht="12.75" customHeight="1" x14ac:dyDescent="0.3">
      <c r="A51" s="7" t="s">
        <v>17</v>
      </c>
      <c r="B51" s="247"/>
      <c r="C51" s="6" t="s">
        <v>9</v>
      </c>
      <c r="D51" s="35"/>
      <c r="E51" s="34">
        <v>99350.119999999937</v>
      </c>
      <c r="F51" s="129">
        <v>0.38960831372548993</v>
      </c>
      <c r="G51" s="7"/>
      <c r="H51" s="36">
        <v>255000</v>
      </c>
      <c r="I51" s="36">
        <v>222096.77419354839</v>
      </c>
      <c r="J51" s="36">
        <v>209054.64999999752</v>
      </c>
      <c r="K51" s="73">
        <v>0.94127729121277026</v>
      </c>
      <c r="L51" s="37"/>
      <c r="M51" s="36">
        <v>50745</v>
      </c>
      <c r="N51" s="36">
        <v>44197.258064516129</v>
      </c>
      <c r="O51" s="38">
        <v>0</v>
      </c>
      <c r="P51" s="36">
        <v>44172.136700000076</v>
      </c>
      <c r="Q51" s="121">
        <v>0.99943160807669595</v>
      </c>
      <c r="R51" s="37"/>
      <c r="S51" s="133">
        <v>0.19900000000000001</v>
      </c>
      <c r="T51" s="133">
        <v>0.21129468634158866</v>
      </c>
      <c r="U51" s="37"/>
      <c r="V51" s="36"/>
      <c r="W51" s="39">
        <v>2.0622295174953851</v>
      </c>
      <c r="X51" s="72" t="s">
        <v>73</v>
      </c>
      <c r="Y51" s="37"/>
      <c r="Z51" s="65"/>
      <c r="AA51" s="34">
        <v>8225.8064516129034</v>
      </c>
      <c r="AB51" s="34">
        <v>10838.359999999984</v>
      </c>
      <c r="AC51" s="37"/>
      <c r="AD51" s="36">
        <v>1636.9354838709678</v>
      </c>
      <c r="AE51" s="36">
        <v>1387.1178500000008</v>
      </c>
      <c r="AF51" s="121">
        <v>0.84738700068972361</v>
      </c>
      <c r="AG51" s="37"/>
      <c r="AH51" s="36">
        <v>1636.0050629629657</v>
      </c>
      <c r="AI51" s="36">
        <v>50716.156951851939</v>
      </c>
      <c r="AJ51" s="121">
        <v>0.99943160807669607</v>
      </c>
      <c r="AK51" s="37"/>
      <c r="AL51" s="114">
        <v>0.19900000000000001</v>
      </c>
      <c r="AM51" s="114">
        <v>0.12798226392184822</v>
      </c>
      <c r="AN51" s="37"/>
      <c r="AO51" s="39">
        <v>-2.8995359999114849</v>
      </c>
      <c r="AP51" s="73">
        <v>0</v>
      </c>
    </row>
    <row r="52" spans="1:49" ht="12.75" customHeight="1" x14ac:dyDescent="0.3">
      <c r="A52" s="7" t="s">
        <v>17</v>
      </c>
      <c r="B52" s="247"/>
      <c r="C52" s="6" t="s">
        <v>10</v>
      </c>
      <c r="D52" s="35"/>
      <c r="E52" s="34">
        <v>119260.04999999999</v>
      </c>
      <c r="F52" s="129">
        <v>0.25926097826086952</v>
      </c>
      <c r="G52" s="7"/>
      <c r="H52" s="36">
        <v>460000</v>
      </c>
      <c r="I52" s="36">
        <v>400645.16129032255</v>
      </c>
      <c r="J52" s="36">
        <v>337611.94999999693</v>
      </c>
      <c r="K52" s="73">
        <v>0.84267072866343851</v>
      </c>
      <c r="L52" s="37"/>
      <c r="M52" s="36">
        <v>95534.936056770661</v>
      </c>
      <c r="N52" s="36">
        <v>83207.847533316381</v>
      </c>
      <c r="O52" s="38">
        <v>0</v>
      </c>
      <c r="P52" s="36">
        <v>72636.835399999982</v>
      </c>
      <c r="Q52" s="121">
        <v>0.87295654861058902</v>
      </c>
      <c r="R52" s="37"/>
      <c r="S52" s="133">
        <v>0.20768464360167535</v>
      </c>
      <c r="T52" s="133">
        <v>0.2151488873542558</v>
      </c>
      <c r="U52" s="37"/>
      <c r="V52" s="36"/>
      <c r="W52" s="39">
        <v>1.2305948885984352</v>
      </c>
      <c r="X52" s="72" t="s">
        <v>73</v>
      </c>
      <c r="Y52" s="37"/>
      <c r="Z52" s="65"/>
      <c r="AA52" s="34">
        <v>14838.709677419354</v>
      </c>
      <c r="AB52" s="34">
        <v>19553.989999999976</v>
      </c>
      <c r="AC52" s="37"/>
      <c r="AD52" s="36">
        <v>3081.7721308635696</v>
      </c>
      <c r="AE52" s="36">
        <v>1642.9671500000009</v>
      </c>
      <c r="AF52" s="121">
        <v>0.5331241507267479</v>
      </c>
      <c r="AG52" s="37"/>
      <c r="AH52" s="36">
        <v>2690.2531629629625</v>
      </c>
      <c r="AI52" s="36">
        <v>83397.848051851834</v>
      </c>
      <c r="AJ52" s="121">
        <v>0.87295654861058902</v>
      </c>
      <c r="AK52" s="37"/>
      <c r="AL52" s="114">
        <v>0.20768464360167535</v>
      </c>
      <c r="AM52" s="114">
        <v>8.4022092166355963E-2</v>
      </c>
      <c r="AN52" s="37"/>
      <c r="AO52" s="39">
        <v>-6.9803802190755926</v>
      </c>
      <c r="AP52" s="73">
        <v>0</v>
      </c>
    </row>
    <row r="53" spans="1:49" ht="12.75" customHeight="1" x14ac:dyDescent="0.3">
      <c r="A53" s="7" t="s">
        <v>17</v>
      </c>
      <c r="B53" s="247"/>
      <c r="C53" s="6" t="s">
        <v>12</v>
      </c>
      <c r="D53" s="35"/>
      <c r="E53" s="34">
        <v>53801.890000000007</v>
      </c>
      <c r="F53" s="129">
        <v>0.14158392105263159</v>
      </c>
      <c r="G53" s="7"/>
      <c r="H53" s="36">
        <v>380000</v>
      </c>
      <c r="I53" s="36">
        <v>336153.84615384613</v>
      </c>
      <c r="J53" s="36">
        <v>432098.83999999973</v>
      </c>
      <c r="K53" s="73">
        <v>1.2854198901601823</v>
      </c>
      <c r="L53" s="37"/>
      <c r="M53" s="36">
        <v>77231.730048526413</v>
      </c>
      <c r="N53" s="36">
        <v>68320.376581388744</v>
      </c>
      <c r="O53" s="38">
        <v>1463.78</v>
      </c>
      <c r="P53" s="36">
        <v>103551.65999999997</v>
      </c>
      <c r="Q53" s="121">
        <v>1.5156775354808076</v>
      </c>
      <c r="R53" s="37"/>
      <c r="S53" s="133">
        <v>0.20324139486454318</v>
      </c>
      <c r="T53" s="133">
        <v>0.23964808607215896</v>
      </c>
      <c r="U53" s="37"/>
      <c r="V53" s="36"/>
      <c r="W53" s="39">
        <v>-0.92351786919864687</v>
      </c>
      <c r="X53" s="72" t="s">
        <v>73</v>
      </c>
      <c r="Y53" s="37"/>
      <c r="Z53" s="65"/>
      <c r="AA53" s="34">
        <v>14615.384615384615</v>
      </c>
      <c r="AB53" s="34">
        <v>45639.549999999996</v>
      </c>
      <c r="AC53" s="37"/>
      <c r="AD53" s="36">
        <v>2970.4511557125543</v>
      </c>
      <c r="AE53" s="36">
        <v>11023.609999999997</v>
      </c>
      <c r="AF53" s="121">
        <v>3.7110894682783107</v>
      </c>
      <c r="AG53" s="37"/>
      <c r="AH53" s="36">
        <v>4502.2460869565202</v>
      </c>
      <c r="AI53" s="36">
        <v>117058.39826086952</v>
      </c>
      <c r="AJ53" s="121">
        <v>1.5156775354808072</v>
      </c>
      <c r="AK53" s="37"/>
      <c r="AL53" s="114">
        <v>0.20324139486454318</v>
      </c>
      <c r="AM53" s="114">
        <v>0.24153634293063797</v>
      </c>
      <c r="AN53" s="37"/>
      <c r="AO53" s="39">
        <v>-0.93598644158410926</v>
      </c>
      <c r="AP53" s="73">
        <v>0</v>
      </c>
    </row>
    <row r="54" spans="1:49" s="16" customFormat="1" ht="14.25" customHeight="1" x14ac:dyDescent="0.3">
      <c r="A54" s="27"/>
      <c r="B54" s="247"/>
      <c r="C54" s="9" t="s">
        <v>75</v>
      </c>
      <c r="D54" s="29"/>
      <c r="E54" s="28">
        <v>400471.65999999992</v>
      </c>
      <c r="F54" s="130">
        <v>0.23908755820895516</v>
      </c>
      <c r="G54" s="27"/>
      <c r="H54" s="30">
        <v>1675000</v>
      </c>
      <c r="I54" s="30">
        <v>1471972.70471464</v>
      </c>
      <c r="J54" s="30">
        <v>1507020.9099999922</v>
      </c>
      <c r="K54" s="32">
        <v>1.0238103635842533</v>
      </c>
      <c r="L54" s="40"/>
      <c r="M54" s="30">
        <v>321531.6661052971</v>
      </c>
      <c r="N54" s="30">
        <v>282435.48217922123</v>
      </c>
      <c r="O54" s="28">
        <v>1463.78</v>
      </c>
      <c r="P54" s="30">
        <v>314575.39100000018</v>
      </c>
      <c r="Q54" s="32">
        <v>1.1137955775697628</v>
      </c>
      <c r="R54" s="40"/>
      <c r="S54" s="134">
        <v>0.1919592036449535</v>
      </c>
      <c r="T54" s="134">
        <v>0.20873989797527215</v>
      </c>
      <c r="U54" s="40"/>
      <c r="V54" s="30"/>
      <c r="W54" s="33">
        <v>-3.4838122451802627</v>
      </c>
      <c r="X54" s="31" t="s">
        <v>73</v>
      </c>
      <c r="Y54" s="40"/>
      <c r="Z54" s="65"/>
      <c r="AA54" s="28">
        <v>59987.593052109187</v>
      </c>
      <c r="AB54" s="28">
        <v>108273.79999999996</v>
      </c>
      <c r="AC54" s="40"/>
      <c r="AD54" s="30">
        <v>11459.158770447091</v>
      </c>
      <c r="AE54" s="30">
        <v>20221.522299999997</v>
      </c>
      <c r="AF54" s="32">
        <v>1.7646602778688119</v>
      </c>
      <c r="AG54" s="40"/>
      <c r="AH54" s="30">
        <v>12924.798178099845</v>
      </c>
      <c r="AI54" s="30">
        <v>357676.04376022564</v>
      </c>
      <c r="AJ54" s="32">
        <v>1.1124131196555047</v>
      </c>
      <c r="AK54" s="40"/>
      <c r="AL54" s="85">
        <v>0.1919592036449535</v>
      </c>
      <c r="AM54" s="85">
        <v>0.18676283920948564</v>
      </c>
      <c r="AN54" s="40"/>
      <c r="AO54" s="33">
        <v>0</v>
      </c>
      <c r="AP54" s="32">
        <v>0</v>
      </c>
      <c r="AQ54" s="11"/>
      <c r="AR54" s="11"/>
      <c r="AS54" s="11"/>
      <c r="AT54" s="11"/>
      <c r="AU54" s="11"/>
      <c r="AV54" s="11"/>
      <c r="AW54" s="11"/>
    </row>
    <row r="55" spans="1:49" ht="8" customHeight="1" x14ac:dyDescent="0.3">
      <c r="B55" s="17"/>
      <c r="D55" s="35"/>
      <c r="E55" s="48"/>
      <c r="F55" s="131"/>
      <c r="G55" s="35"/>
      <c r="H55" s="49"/>
      <c r="I55" s="49"/>
      <c r="J55" s="49"/>
      <c r="K55" s="52"/>
      <c r="L55" s="35"/>
      <c r="M55" s="49"/>
      <c r="N55" s="49"/>
      <c r="O55" s="52"/>
      <c r="P55" s="49"/>
      <c r="Q55" s="48"/>
      <c r="R55" s="35"/>
      <c r="S55" s="52"/>
      <c r="T55" s="52"/>
      <c r="U55" s="35"/>
      <c r="V55" s="49"/>
      <c r="W55" s="53"/>
      <c r="X55" s="49"/>
      <c r="Y55" s="35"/>
      <c r="Z55" s="65"/>
      <c r="AA55" s="48"/>
      <c r="AB55" s="48"/>
      <c r="AC55" s="37"/>
      <c r="AD55" s="49"/>
      <c r="AE55" s="49"/>
      <c r="AF55" s="48"/>
      <c r="AG55" s="37"/>
      <c r="AH55" s="49"/>
      <c r="AI55" s="49"/>
      <c r="AJ55" s="48"/>
      <c r="AK55" s="37"/>
      <c r="AL55" s="50"/>
      <c r="AM55" s="54"/>
      <c r="AN55" s="37"/>
      <c r="AO55" s="53"/>
      <c r="AP55" s="48"/>
    </row>
    <row r="56" spans="1:49" ht="12.75" customHeight="1" x14ac:dyDescent="0.3">
      <c r="A56" s="7" t="s">
        <v>21</v>
      </c>
      <c r="B56" s="247" t="s">
        <v>79</v>
      </c>
      <c r="C56" s="6" t="s">
        <v>8</v>
      </c>
      <c r="D56" s="35"/>
      <c r="E56" s="34">
        <v>346976.42999999976</v>
      </c>
      <c r="F56" s="129">
        <v>4.5654793421052604</v>
      </c>
      <c r="G56" s="7"/>
      <c r="H56" s="36">
        <v>76000</v>
      </c>
      <c r="I56" s="36">
        <v>67230.76923076922</v>
      </c>
      <c r="J56" s="36">
        <v>57953.51000000049</v>
      </c>
      <c r="K56" s="73">
        <v>0.86200872997712408</v>
      </c>
      <c r="L56" s="37"/>
      <c r="M56" s="36">
        <v>16644</v>
      </c>
      <c r="N56" s="36">
        <v>14723.538461538463</v>
      </c>
      <c r="O56" s="38">
        <v>0</v>
      </c>
      <c r="P56" s="36">
        <v>12152.679999999957</v>
      </c>
      <c r="Q56" s="121">
        <v>0.82539126255185014</v>
      </c>
      <c r="R56" s="37"/>
      <c r="S56" s="133">
        <v>0.219</v>
      </c>
      <c r="T56" s="133">
        <v>0.20969704854804919</v>
      </c>
      <c r="U56" s="37"/>
      <c r="V56" s="36"/>
      <c r="W56" s="39">
        <v>9.360986073147858</v>
      </c>
      <c r="X56" s="72" t="s">
        <v>73</v>
      </c>
      <c r="Y56" s="37"/>
      <c r="Z56" s="65"/>
      <c r="AA56" s="34">
        <v>2923.0769230769229</v>
      </c>
      <c r="AB56" s="34">
        <v>3124.9999999999991</v>
      </c>
      <c r="AC56" s="37"/>
      <c r="AD56" s="36">
        <v>640.15384615384619</v>
      </c>
      <c r="AE56" s="36">
        <v>287.34999999999991</v>
      </c>
      <c r="AF56" s="121">
        <v>0.44887647200192243</v>
      </c>
      <c r="AG56" s="37"/>
      <c r="AH56" s="36">
        <v>528.37739130434591</v>
      </c>
      <c r="AI56" s="36">
        <v>13737.812173912993</v>
      </c>
      <c r="AJ56" s="121">
        <v>0.82539126255185014</v>
      </c>
      <c r="AK56" s="37"/>
      <c r="AL56" s="114">
        <v>0.219</v>
      </c>
      <c r="AM56" s="114">
        <v>9.1951999999999992E-2</v>
      </c>
      <c r="AN56" s="37"/>
      <c r="AO56" s="39">
        <v>-1.5507200000000454</v>
      </c>
      <c r="AP56" s="73">
        <v>0</v>
      </c>
    </row>
    <row r="57" spans="1:49" ht="12.75" customHeight="1" x14ac:dyDescent="0.3">
      <c r="A57" s="7" t="s">
        <v>21</v>
      </c>
      <c r="B57" s="247"/>
      <c r="C57" s="6" t="s">
        <v>9</v>
      </c>
      <c r="D57" s="35"/>
      <c r="E57" s="34">
        <v>482207.46999999916</v>
      </c>
      <c r="F57" s="129">
        <v>2.411037349999996</v>
      </c>
      <c r="G57" s="7"/>
      <c r="H57" s="36">
        <v>200000</v>
      </c>
      <c r="I57" s="36">
        <v>174193.54838709679</v>
      </c>
      <c r="J57" s="36">
        <v>155793.11999999842</v>
      </c>
      <c r="K57" s="73">
        <v>0.89436791111110203</v>
      </c>
      <c r="L57" s="37"/>
      <c r="M57" s="36">
        <v>45000</v>
      </c>
      <c r="N57" s="36">
        <v>39193.548387096773</v>
      </c>
      <c r="O57" s="38">
        <v>0</v>
      </c>
      <c r="P57" s="36">
        <v>31010.0999999999</v>
      </c>
      <c r="Q57" s="121">
        <v>0.79120419753086169</v>
      </c>
      <c r="R57" s="37"/>
      <c r="S57" s="133">
        <v>0.22500000000000001</v>
      </c>
      <c r="T57" s="133">
        <v>0.19904665879982514</v>
      </c>
      <c r="U57" s="37"/>
      <c r="V57" s="36"/>
      <c r="W57" s="39">
        <v>8.065465278568313</v>
      </c>
      <c r="X57" s="72" t="s">
        <v>73</v>
      </c>
      <c r="Y57" s="37"/>
      <c r="Z57" s="65"/>
      <c r="AA57" s="34">
        <v>6451.6129032258068</v>
      </c>
      <c r="AB57" s="34">
        <v>8135.4099999999671</v>
      </c>
      <c r="AC57" s="37"/>
      <c r="AD57" s="36">
        <v>1451.6129032258063</v>
      </c>
      <c r="AE57" s="36">
        <v>1213.97</v>
      </c>
      <c r="AF57" s="121">
        <v>0.83629044444444456</v>
      </c>
      <c r="AG57" s="37"/>
      <c r="AH57" s="36">
        <v>1148.5222222222185</v>
      </c>
      <c r="AI57" s="36">
        <v>35604.18888888877</v>
      </c>
      <c r="AJ57" s="121">
        <v>0.79120419753086157</v>
      </c>
      <c r="AK57" s="37"/>
      <c r="AL57" s="114">
        <v>0.22500000000000001</v>
      </c>
      <c r="AM57" s="114">
        <v>0.14922050640348858</v>
      </c>
      <c r="AN57" s="37"/>
      <c r="AO57" s="39">
        <v>3.8370530802991789</v>
      </c>
      <c r="AP57" s="73">
        <v>0</v>
      </c>
    </row>
    <row r="58" spans="1:49" ht="12.75" customHeight="1" x14ac:dyDescent="0.3">
      <c r="A58" s="7" t="s">
        <v>21</v>
      </c>
      <c r="B58" s="247"/>
      <c r="C58" s="6" t="s">
        <v>10</v>
      </c>
      <c r="D58" s="35"/>
      <c r="E58" s="34">
        <v>555689.77999999968</v>
      </c>
      <c r="F58" s="129">
        <v>2.6461418095238081</v>
      </c>
      <c r="G58" s="7"/>
      <c r="H58" s="36">
        <v>210000</v>
      </c>
      <c r="I58" s="36">
        <v>182903.22580645161</v>
      </c>
      <c r="J58" s="36">
        <v>175786.45999999208</v>
      </c>
      <c r="K58" s="73">
        <v>0.96108999294528297</v>
      </c>
      <c r="L58" s="37"/>
      <c r="M58" s="36">
        <v>49770</v>
      </c>
      <c r="N58" s="36">
        <v>43348.06451612903</v>
      </c>
      <c r="O58" s="38">
        <v>742.19</v>
      </c>
      <c r="P58" s="36">
        <v>35937.33000000014</v>
      </c>
      <c r="Q58" s="121">
        <v>0.82904116714665566</v>
      </c>
      <c r="R58" s="37"/>
      <c r="S58" s="133">
        <v>0.23699999999999999</v>
      </c>
      <c r="T58" s="133">
        <v>0.20443741798999626</v>
      </c>
      <c r="U58" s="37"/>
      <c r="V58" s="36"/>
      <c r="W58" s="39">
        <v>8.2787491141190674</v>
      </c>
      <c r="X58" s="72" t="s">
        <v>73</v>
      </c>
      <c r="Y58" s="37"/>
      <c r="Z58" s="65"/>
      <c r="AA58" s="34">
        <v>6774.1935483870966</v>
      </c>
      <c r="AB58" s="34">
        <v>11876.039999999928</v>
      </c>
      <c r="AC58" s="37"/>
      <c r="AD58" s="36">
        <v>1605.483870967742</v>
      </c>
      <c r="AE58" s="36">
        <v>2006.0899999999981</v>
      </c>
      <c r="AF58" s="121">
        <v>1.2495236085995567</v>
      </c>
      <c r="AG58" s="37"/>
      <c r="AH58" s="36">
        <v>1331.0122222222274</v>
      </c>
      <c r="AI58" s="36">
        <v>41261.378888889049</v>
      </c>
      <c r="AJ58" s="121">
        <v>0.82904116714665554</v>
      </c>
      <c r="AK58" s="37"/>
      <c r="AL58" s="114">
        <v>0.23699999999999999</v>
      </c>
      <c r="AM58" s="114">
        <v>0.16891910097978874</v>
      </c>
      <c r="AN58" s="37"/>
      <c r="AO58" s="39">
        <v>5.1653581496856358</v>
      </c>
      <c r="AP58" s="73">
        <v>0</v>
      </c>
    </row>
    <row r="59" spans="1:49" ht="12.75" customHeight="1" x14ac:dyDescent="0.3">
      <c r="A59" s="7" t="s">
        <v>21</v>
      </c>
      <c r="B59" s="247"/>
      <c r="C59" s="6" t="s">
        <v>12</v>
      </c>
      <c r="D59" s="35"/>
      <c r="E59" s="34">
        <v>34810.689999999959</v>
      </c>
      <c r="F59" s="129">
        <v>4.2452060975609704</v>
      </c>
      <c r="G59" s="7"/>
      <c r="H59" s="36">
        <v>8200</v>
      </c>
      <c r="I59" s="36">
        <v>7253.8461538461534</v>
      </c>
      <c r="J59" s="36">
        <v>6402.5599999999404</v>
      </c>
      <c r="K59" s="73">
        <v>0.88264347826086142</v>
      </c>
      <c r="L59" s="37"/>
      <c r="M59" s="36">
        <v>656</v>
      </c>
      <c r="N59" s="36">
        <v>580.30769230769226</v>
      </c>
      <c r="O59" s="38">
        <v>0</v>
      </c>
      <c r="P59" s="36">
        <v>1105.5799999999979</v>
      </c>
      <c r="Q59" s="121">
        <v>1.9051617179215234</v>
      </c>
      <c r="R59" s="37"/>
      <c r="S59" s="133">
        <v>0.08</v>
      </c>
      <c r="T59" s="133">
        <v>0.17267780387844989</v>
      </c>
      <c r="U59" s="37"/>
      <c r="V59" s="36"/>
      <c r="W59" s="39">
        <v>5.6363392143134723</v>
      </c>
      <c r="X59" s="72" t="s">
        <v>73</v>
      </c>
      <c r="Y59" s="37"/>
      <c r="Z59" s="65"/>
      <c r="AA59" s="34">
        <v>315.38461538461536</v>
      </c>
      <c r="AB59" s="34">
        <v>378.69</v>
      </c>
      <c r="AC59" s="37"/>
      <c r="AD59" s="36">
        <v>25.23076923076923</v>
      </c>
      <c r="AE59" s="36">
        <v>56.679999999999993</v>
      </c>
      <c r="AF59" s="121">
        <v>2.246463414634146</v>
      </c>
      <c r="AG59" s="37"/>
      <c r="AH59" s="36">
        <v>48.068695652173822</v>
      </c>
      <c r="AI59" s="36">
        <v>1249.7860869565193</v>
      </c>
      <c r="AJ59" s="121">
        <v>1.9051617179215232</v>
      </c>
      <c r="AK59" s="37"/>
      <c r="AL59" s="114">
        <v>0.08</v>
      </c>
      <c r="AM59" s="114">
        <v>0.14967387572948848</v>
      </c>
      <c r="AN59" s="37"/>
      <c r="AO59" s="39">
        <v>2.5931500699781105</v>
      </c>
      <c r="AP59" s="73">
        <v>0</v>
      </c>
    </row>
    <row r="60" spans="1:49" s="16" customFormat="1" ht="14.25" customHeight="1" x14ac:dyDescent="0.3">
      <c r="A60" s="27"/>
      <c r="B60" s="247"/>
      <c r="C60" s="9" t="s">
        <v>82</v>
      </c>
      <c r="D60" s="29"/>
      <c r="E60" s="28">
        <v>1419684.3699999987</v>
      </c>
      <c r="F60" s="130">
        <v>2.8726919668150521</v>
      </c>
      <c r="G60" s="27"/>
      <c r="H60" s="30">
        <v>494200</v>
      </c>
      <c r="I60" s="30">
        <v>431581.38957816374</v>
      </c>
      <c r="J60" s="30">
        <v>395935.64999999094</v>
      </c>
      <c r="K60" s="32">
        <v>0.91740668054984098</v>
      </c>
      <c r="L60" s="40"/>
      <c r="M60" s="30">
        <v>112070</v>
      </c>
      <c r="N60" s="30">
        <v>97845.459057071945</v>
      </c>
      <c r="O60" s="28">
        <v>742.19</v>
      </c>
      <c r="P60" s="30">
        <v>80205.689999999988</v>
      </c>
      <c r="Q60" s="32">
        <v>0.81971806124612367</v>
      </c>
      <c r="R60" s="40"/>
      <c r="S60" s="134">
        <v>0.22677053824362606</v>
      </c>
      <c r="T60" s="134">
        <v>0.20257253924975391</v>
      </c>
      <c r="U60" s="40"/>
      <c r="V60" s="30"/>
      <c r="W60" s="33">
        <v>8.3105044973823006</v>
      </c>
      <c r="X60" s="31" t="s">
        <v>73</v>
      </c>
      <c r="Y60" s="40"/>
      <c r="Z60" s="65"/>
      <c r="AA60" s="28">
        <v>16464.267990074441</v>
      </c>
      <c r="AB60" s="28">
        <v>23515.139999999894</v>
      </c>
      <c r="AC60" s="40"/>
      <c r="AD60" s="30">
        <v>3722.4813895781635</v>
      </c>
      <c r="AE60" s="30">
        <v>3564.0899999999979</v>
      </c>
      <c r="AF60" s="32">
        <v>0.95745005199445343</v>
      </c>
      <c r="AG60" s="40"/>
      <c r="AH60" s="30">
        <v>3055.9805314009654</v>
      </c>
      <c r="AI60" s="30">
        <v>91853.166038647338</v>
      </c>
      <c r="AJ60" s="32">
        <v>0.8196053006036168</v>
      </c>
      <c r="AK60" s="40"/>
      <c r="AL60" s="85">
        <v>0.22677053824362606</v>
      </c>
      <c r="AM60" s="85">
        <v>0.15156575721003634</v>
      </c>
      <c r="AN60" s="40"/>
      <c r="AO60" s="33">
        <v>0</v>
      </c>
      <c r="AP60" s="32">
        <v>0</v>
      </c>
      <c r="AQ60" s="11"/>
      <c r="AR60" s="11"/>
      <c r="AS60" s="11"/>
      <c r="AT60" s="11"/>
      <c r="AU60" s="11"/>
      <c r="AV60" s="11"/>
      <c r="AW60" s="11"/>
    </row>
    <row r="61" spans="1:49" ht="8" customHeight="1" x14ac:dyDescent="0.3">
      <c r="B61" s="17"/>
      <c r="D61" s="35"/>
      <c r="E61" s="48"/>
      <c r="F61" s="131"/>
      <c r="G61" s="35"/>
      <c r="H61" s="49"/>
      <c r="I61" s="49"/>
      <c r="J61" s="49"/>
      <c r="K61" s="52"/>
      <c r="L61" s="35"/>
      <c r="M61" s="49"/>
      <c r="N61" s="49"/>
      <c r="O61" s="52"/>
      <c r="P61" s="49"/>
      <c r="Q61" s="48"/>
      <c r="R61" s="35"/>
      <c r="S61" s="52"/>
      <c r="T61" s="52"/>
      <c r="U61" s="35"/>
      <c r="V61" s="49"/>
      <c r="W61" s="53"/>
      <c r="X61" s="49"/>
      <c r="Y61" s="35"/>
      <c r="Z61" s="65"/>
      <c r="AA61" s="48"/>
      <c r="AB61" s="48"/>
      <c r="AC61" s="37"/>
      <c r="AD61" s="49"/>
      <c r="AE61" s="49"/>
      <c r="AF61" s="48"/>
      <c r="AG61" s="37"/>
      <c r="AH61" s="49"/>
      <c r="AI61" s="49"/>
      <c r="AJ61" s="48"/>
      <c r="AK61" s="37"/>
      <c r="AL61" s="50"/>
      <c r="AM61" s="54"/>
      <c r="AN61" s="37"/>
      <c r="AO61" s="53"/>
      <c r="AP61" s="48"/>
    </row>
    <row r="62" spans="1:49" ht="12.75" customHeight="1" x14ac:dyDescent="0.3">
      <c r="A62" s="7" t="s">
        <v>22</v>
      </c>
      <c r="B62" s="224" t="s">
        <v>59</v>
      </c>
      <c r="C62" s="6" t="s">
        <v>8</v>
      </c>
      <c r="D62" s="35"/>
      <c r="E62" s="34">
        <v>199920.13000000009</v>
      </c>
      <c r="F62" s="129">
        <v>0.18511123148148156</v>
      </c>
      <c r="G62" s="7"/>
      <c r="H62" s="36">
        <v>1080000</v>
      </c>
      <c r="I62" s="36">
        <v>955384.61538461538</v>
      </c>
      <c r="J62" s="36">
        <v>952922.86999999522</v>
      </c>
      <c r="K62" s="73">
        <v>0.9974232938808324</v>
      </c>
      <c r="L62" s="37"/>
      <c r="M62" s="36">
        <v>43200</v>
      </c>
      <c r="N62" s="36">
        <v>38215.38461538461</v>
      </c>
      <c r="O62" s="38">
        <v>0</v>
      </c>
      <c r="P62" s="36">
        <v>20500.006299999961</v>
      </c>
      <c r="Q62" s="121">
        <v>0.53643333715780905</v>
      </c>
      <c r="R62" s="37"/>
      <c r="S62" s="133">
        <v>0.04</v>
      </c>
      <c r="T62" s="133">
        <v>2.1512765560973538E-2</v>
      </c>
      <c r="U62" s="37"/>
      <c r="V62" s="36"/>
      <c r="W62" s="39">
        <v>-11.422600624540179</v>
      </c>
      <c r="X62" s="72" t="s">
        <v>73</v>
      </c>
      <c r="Y62" s="37"/>
      <c r="Z62" s="65"/>
      <c r="AA62" s="34">
        <v>41538.461538461539</v>
      </c>
      <c r="AB62" s="34">
        <v>35631.380000000012</v>
      </c>
      <c r="AC62" s="37"/>
      <c r="AD62" s="36">
        <v>1661.5384615384614</v>
      </c>
      <c r="AE62" s="36">
        <v>1370.4156000000005</v>
      </c>
      <c r="AF62" s="121">
        <v>0.82478716666666707</v>
      </c>
      <c r="AG62" s="37"/>
      <c r="AH62" s="36">
        <v>891.30462173912872</v>
      </c>
      <c r="AI62" s="36">
        <v>23173.920165217347</v>
      </c>
      <c r="AJ62" s="121">
        <v>0.53643333715780894</v>
      </c>
      <c r="AK62" s="37"/>
      <c r="AL62" s="114">
        <v>0.04</v>
      </c>
      <c r="AM62" s="114">
        <v>3.8460918437624364E-2</v>
      </c>
      <c r="AN62" s="37"/>
      <c r="AO62" s="39">
        <v>-9.6875405892222162</v>
      </c>
      <c r="AP62" s="73">
        <v>0</v>
      </c>
    </row>
    <row r="63" spans="1:49" ht="12.75" customHeight="1" x14ac:dyDescent="0.3">
      <c r="A63" s="7" t="s">
        <v>22</v>
      </c>
      <c r="B63" s="224"/>
      <c r="C63" s="6" t="s">
        <v>9</v>
      </c>
      <c r="D63" s="35"/>
      <c r="E63" s="34">
        <v>249332.94</v>
      </c>
      <c r="F63" s="129">
        <v>0.31166617499999999</v>
      </c>
      <c r="G63" s="7"/>
      <c r="H63" s="36">
        <v>800000</v>
      </c>
      <c r="I63" s="36">
        <v>696774.19354838715</v>
      </c>
      <c r="J63" s="36">
        <v>597520.81999998342</v>
      </c>
      <c r="K63" s="73">
        <v>0.85755302870367989</v>
      </c>
      <c r="L63" s="37"/>
      <c r="M63" s="36">
        <v>72000</v>
      </c>
      <c r="N63" s="36">
        <v>62709.677419354834</v>
      </c>
      <c r="O63" s="38">
        <v>0</v>
      </c>
      <c r="P63" s="36">
        <v>54366.242350000182</v>
      </c>
      <c r="Q63" s="121">
        <v>0.86695139549897415</v>
      </c>
      <c r="R63" s="37"/>
      <c r="S63" s="133">
        <v>0.09</v>
      </c>
      <c r="T63" s="133">
        <v>9.0986356508885646E-2</v>
      </c>
      <c r="U63" s="37"/>
      <c r="V63" s="36"/>
      <c r="W63" s="39">
        <v>-2.8430637195232</v>
      </c>
      <c r="X63" s="72" t="s">
        <v>73</v>
      </c>
      <c r="Y63" s="37"/>
      <c r="Z63" s="65"/>
      <c r="AA63" s="34">
        <v>25806.451612903227</v>
      </c>
      <c r="AB63" s="34">
        <v>66617.710000000021</v>
      </c>
      <c r="AC63" s="37"/>
      <c r="AD63" s="36">
        <v>2322.5806451612902</v>
      </c>
      <c r="AE63" s="36">
        <v>-1783.3885000000014</v>
      </c>
      <c r="AF63" s="121">
        <v>-0.76784782638888949</v>
      </c>
      <c r="AG63" s="37"/>
      <c r="AH63" s="36">
        <v>2013.5645314814883</v>
      </c>
      <c r="AI63" s="36">
        <v>62420.500475926136</v>
      </c>
      <c r="AJ63" s="121">
        <v>0.86695139549897415</v>
      </c>
      <c r="AK63" s="37"/>
      <c r="AL63" s="114">
        <v>0.09</v>
      </c>
      <c r="AM63" s="114">
        <v>-2.6770486406692766E-2</v>
      </c>
      <c r="AN63" s="37"/>
      <c r="AO63" s="39">
        <v>-15.518738935937531</v>
      </c>
      <c r="AP63" s="73">
        <v>0</v>
      </c>
    </row>
    <row r="64" spans="1:49" ht="12.75" customHeight="1" x14ac:dyDescent="0.3">
      <c r="A64" s="7" t="s">
        <v>22</v>
      </c>
      <c r="B64" s="224"/>
      <c r="C64" s="6" t="s">
        <v>10</v>
      </c>
      <c r="D64" s="35"/>
      <c r="E64" s="34">
        <v>316750.92999999982</v>
      </c>
      <c r="F64" s="129">
        <v>0.38865144785276051</v>
      </c>
      <c r="G64" s="7"/>
      <c r="H64" s="36">
        <v>815000</v>
      </c>
      <c r="I64" s="36">
        <v>709838.70967741939</v>
      </c>
      <c r="J64" s="36">
        <v>684314.41999997559</v>
      </c>
      <c r="K64" s="73">
        <v>0.96404212769821596</v>
      </c>
      <c r="L64" s="37"/>
      <c r="M64" s="36">
        <v>80685</v>
      </c>
      <c r="N64" s="36">
        <v>70274.032258064515</v>
      </c>
      <c r="O64" s="38">
        <v>0</v>
      </c>
      <c r="P64" s="36">
        <v>76410.911500000191</v>
      </c>
      <c r="Q64" s="121">
        <v>1.0873278371077308</v>
      </c>
      <c r="R64" s="37"/>
      <c r="S64" s="133">
        <v>9.9000000000000005E-2</v>
      </c>
      <c r="T64" s="133">
        <v>0.11166053098808428</v>
      </c>
      <c r="U64" s="37"/>
      <c r="V64" s="36"/>
      <c r="W64" s="39">
        <v>-0.84183210694705368</v>
      </c>
      <c r="X64" s="72" t="s">
        <v>73</v>
      </c>
      <c r="Y64" s="37"/>
      <c r="Z64" s="65"/>
      <c r="AA64" s="34">
        <v>26290.322580645163</v>
      </c>
      <c r="AB64" s="34">
        <v>75621.130000000107</v>
      </c>
      <c r="AC64" s="37"/>
      <c r="AD64" s="36">
        <v>2602.7419354838707</v>
      </c>
      <c r="AE64" s="36">
        <v>-546.9616000000027</v>
      </c>
      <c r="AF64" s="121">
        <v>-0.21014822581644774</v>
      </c>
      <c r="AG64" s="37"/>
      <c r="AH64" s="36">
        <v>2830.0337592592664</v>
      </c>
      <c r="AI64" s="36">
        <v>87731.046537037255</v>
      </c>
      <c r="AJ64" s="121">
        <v>1.0873278371077308</v>
      </c>
      <c r="AK64" s="37"/>
      <c r="AL64" s="114">
        <v>9.9000000000000005E-2</v>
      </c>
      <c r="AM64" s="114">
        <v>-7.2329202168759169E-3</v>
      </c>
      <c r="AN64" s="37"/>
      <c r="AO64" s="39">
        <v>-13.216572669569739</v>
      </c>
      <c r="AP64" s="73">
        <v>0</v>
      </c>
    </row>
    <row r="65" spans="1:49" ht="12.75" customHeight="1" x14ac:dyDescent="0.3">
      <c r="A65" s="7" t="s">
        <v>22</v>
      </c>
      <c r="B65" s="224"/>
      <c r="C65" s="6" t="s">
        <v>12</v>
      </c>
      <c r="D65" s="35"/>
      <c r="E65" s="34">
        <v>67914.84</v>
      </c>
      <c r="F65" s="129">
        <v>8.5556613756613747E-2</v>
      </c>
      <c r="G65" s="7"/>
      <c r="H65" s="36">
        <v>793800</v>
      </c>
      <c r="I65" s="36">
        <v>702207.69230769225</v>
      </c>
      <c r="J65" s="36">
        <v>549663.53999999864</v>
      </c>
      <c r="K65" s="73">
        <v>0.78276490847546565</v>
      </c>
      <c r="L65" s="37"/>
      <c r="M65" s="36">
        <v>75457.228812394649</v>
      </c>
      <c r="N65" s="36">
        <v>66750.625487887577</v>
      </c>
      <c r="O65" s="38">
        <v>11244</v>
      </c>
      <c r="P65" s="36">
        <v>2579.409999999998</v>
      </c>
      <c r="Q65" s="121">
        <v>3.8642484338488367E-2</v>
      </c>
      <c r="R65" s="37"/>
      <c r="S65" s="133">
        <v>9.5058237354994524E-2</v>
      </c>
      <c r="T65" s="133">
        <v>4.6927071058779054E-3</v>
      </c>
      <c r="U65" s="37"/>
      <c r="V65" s="36"/>
      <c r="W65" s="39">
        <v>-15.580032832448948</v>
      </c>
      <c r="X65" s="72" t="s">
        <v>73</v>
      </c>
      <c r="Y65" s="37"/>
      <c r="Z65" s="65"/>
      <c r="AA65" s="34">
        <v>30530.76923076923</v>
      </c>
      <c r="AB65" s="34">
        <v>4613.4500000000007</v>
      </c>
      <c r="AC65" s="37"/>
      <c r="AD65" s="36">
        <v>2902.2011081690248</v>
      </c>
      <c r="AE65" s="36">
        <v>136.18000000000012</v>
      </c>
      <c r="AF65" s="121">
        <v>4.692300599592665E-2</v>
      </c>
      <c r="AG65" s="37"/>
      <c r="AH65" s="36">
        <v>112.14826086956514</v>
      </c>
      <c r="AI65" s="36">
        <v>2915.8547826086933</v>
      </c>
      <c r="AJ65" s="121">
        <v>3.8642484338488367E-2</v>
      </c>
      <c r="AK65" s="37"/>
      <c r="AL65" s="114">
        <v>9.5058237354994524E-2</v>
      </c>
      <c r="AM65" s="114">
        <v>2.9518039644951196E-2</v>
      </c>
      <c r="AN65" s="37"/>
      <c r="AO65" s="39">
        <v>-10.778701405672532</v>
      </c>
      <c r="AP65" s="73">
        <v>0</v>
      </c>
    </row>
    <row r="66" spans="1:49" s="16" customFormat="1" ht="14.25" customHeight="1" x14ac:dyDescent="0.3">
      <c r="A66" s="27"/>
      <c r="B66" s="224"/>
      <c r="C66" s="9" t="s">
        <v>60</v>
      </c>
      <c r="D66" s="29"/>
      <c r="E66" s="28">
        <v>833918.83999999985</v>
      </c>
      <c r="F66" s="130">
        <v>0.23902741343728498</v>
      </c>
      <c r="G66" s="27"/>
      <c r="H66" s="30">
        <v>3488800</v>
      </c>
      <c r="I66" s="30">
        <v>3064205.2109181136</v>
      </c>
      <c r="J66" s="30">
        <v>2784421.6499999529</v>
      </c>
      <c r="K66" s="32">
        <v>0.90869294265238509</v>
      </c>
      <c r="L66" s="40"/>
      <c r="M66" s="30">
        <v>271342.22881239466</v>
      </c>
      <c r="N66" s="30">
        <v>237949.71978069155</v>
      </c>
      <c r="O66" s="28">
        <v>11244</v>
      </c>
      <c r="P66" s="30">
        <v>153856.57015000033</v>
      </c>
      <c r="Q66" s="32">
        <v>0.64659277721278086</v>
      </c>
      <c r="R66" s="40"/>
      <c r="S66" s="134">
        <v>7.7775231831115191E-2</v>
      </c>
      <c r="T66" s="134">
        <v>5.5256203797295907E-2</v>
      </c>
      <c r="U66" s="40"/>
      <c r="V66" s="30"/>
      <c r="W66" s="33">
        <v>-7.8018000560387701</v>
      </c>
      <c r="X66" s="31" t="s">
        <v>73</v>
      </c>
      <c r="Y66" s="40"/>
      <c r="Z66" s="65"/>
      <c r="AA66" s="28">
        <v>124166.00496277917</v>
      </c>
      <c r="AB66" s="28">
        <v>182483.67000000016</v>
      </c>
      <c r="AC66" s="40"/>
      <c r="AD66" s="30">
        <v>9489.0621503526472</v>
      </c>
      <c r="AE66" s="30">
        <v>-823.75450000000342</v>
      </c>
      <c r="AF66" s="32">
        <v>-8.681095001252466E-2</v>
      </c>
      <c r="AG66" s="40"/>
      <c r="AH66" s="30">
        <v>5847.0511733494486</v>
      </c>
      <c r="AI66" s="30">
        <v>176241.32196078944</v>
      </c>
      <c r="AJ66" s="32">
        <v>0.64951674765906875</v>
      </c>
      <c r="AK66" s="40"/>
      <c r="AL66" s="85">
        <v>7.7775231831115191E-2</v>
      </c>
      <c r="AM66" s="85">
        <v>-4.5141272093004413E-3</v>
      </c>
      <c r="AN66" s="40"/>
      <c r="AO66" s="33">
        <v>0</v>
      </c>
      <c r="AP66" s="32">
        <v>0</v>
      </c>
      <c r="AQ66" s="10"/>
      <c r="AR66" s="11"/>
      <c r="AS66" s="11"/>
      <c r="AT66" s="11"/>
      <c r="AU66" s="11"/>
      <c r="AV66" s="11"/>
      <c r="AW66" s="11"/>
    </row>
    <row r="67" spans="1:49" ht="8" customHeight="1" x14ac:dyDescent="0.3">
      <c r="B67" s="17"/>
      <c r="D67" s="35"/>
      <c r="E67" s="48"/>
      <c r="F67" s="131"/>
      <c r="G67" s="35"/>
      <c r="H67" s="49"/>
      <c r="I67" s="49"/>
      <c r="J67" s="49"/>
      <c r="K67" s="52"/>
      <c r="L67" s="35"/>
      <c r="M67" s="49"/>
      <c r="N67" s="49"/>
      <c r="O67" s="52"/>
      <c r="P67" s="49"/>
      <c r="Q67" s="48"/>
      <c r="R67" s="35"/>
      <c r="S67" s="52"/>
      <c r="T67" s="52"/>
      <c r="U67" s="35"/>
      <c r="V67" s="49"/>
      <c r="W67" s="53"/>
      <c r="X67" s="49"/>
      <c r="Y67" s="35"/>
      <c r="Z67" s="65"/>
      <c r="AA67" s="48"/>
      <c r="AB67" s="48"/>
      <c r="AC67" s="37"/>
      <c r="AD67" s="49"/>
      <c r="AE67" s="49"/>
      <c r="AF67" s="48"/>
      <c r="AG67" s="37"/>
      <c r="AH67" s="49"/>
      <c r="AI67" s="49"/>
      <c r="AJ67" s="48"/>
      <c r="AK67" s="37"/>
      <c r="AL67" s="50"/>
      <c r="AM67" s="54"/>
      <c r="AN67" s="37"/>
      <c r="AO67" s="53"/>
      <c r="AP67" s="48"/>
    </row>
    <row r="68" spans="1:49" ht="12.75" customHeight="1" x14ac:dyDescent="0.3">
      <c r="A68" s="7" t="s">
        <v>23</v>
      </c>
      <c r="B68" s="248" t="s">
        <v>80</v>
      </c>
      <c r="C68" s="6" t="s">
        <v>8</v>
      </c>
      <c r="D68" s="35"/>
      <c r="E68" s="34">
        <v>258914.52</v>
      </c>
      <c r="F68" s="129">
        <v>4.1760406451612901</v>
      </c>
      <c r="G68" s="7"/>
      <c r="H68" s="36">
        <v>62000</v>
      </c>
      <c r="I68" s="36">
        <v>54846.153846153851</v>
      </c>
      <c r="J68" s="36">
        <v>59789.280000000334</v>
      </c>
      <c r="K68" s="73">
        <v>1.0901271248246904</v>
      </c>
      <c r="L68" s="37"/>
      <c r="M68" s="36">
        <v>12524</v>
      </c>
      <c r="N68" s="36">
        <v>11078.923076923076</v>
      </c>
      <c r="O68" s="38">
        <v>257.5</v>
      </c>
      <c r="P68" s="36">
        <v>12686.039999999959</v>
      </c>
      <c r="Q68" s="121">
        <v>1.1450607529196082</v>
      </c>
      <c r="R68" s="37"/>
      <c r="S68" s="133">
        <v>0.20200000000000001</v>
      </c>
      <c r="T68" s="133">
        <v>0.21217917325647487</v>
      </c>
      <c r="U68" s="37"/>
      <c r="V68" s="36"/>
      <c r="W68" s="39">
        <v>8.9498318093147873</v>
      </c>
      <c r="X68" s="72" t="s">
        <v>73</v>
      </c>
      <c r="Y68" s="37"/>
      <c r="Z68" s="65"/>
      <c r="AA68" s="34">
        <v>2384.6153846153848</v>
      </c>
      <c r="AB68" s="34">
        <v>3001.7099999999964</v>
      </c>
      <c r="AC68" s="37"/>
      <c r="AD68" s="36">
        <v>481.69230769230768</v>
      </c>
      <c r="AE68" s="36">
        <v>539.98000000000013</v>
      </c>
      <c r="AF68" s="121">
        <v>1.1210060683487706</v>
      </c>
      <c r="AG68" s="37"/>
      <c r="AH68" s="36">
        <v>551.56695652173732</v>
      </c>
      <c r="AI68" s="36">
        <v>14340.74086956517</v>
      </c>
      <c r="AJ68" s="121">
        <v>1.145060752919608</v>
      </c>
      <c r="AK68" s="37"/>
      <c r="AL68" s="114">
        <v>0.20200000000000001</v>
      </c>
      <c r="AM68" s="114">
        <v>0.17989079557985307</v>
      </c>
      <c r="AN68" s="37"/>
      <c r="AO68" s="39">
        <v>6.1788114108290246</v>
      </c>
      <c r="AP68" s="73">
        <v>0</v>
      </c>
    </row>
    <row r="69" spans="1:49" ht="12.75" customHeight="1" x14ac:dyDescent="0.3">
      <c r="A69" s="7" t="s">
        <v>23</v>
      </c>
      <c r="B69" s="224"/>
      <c r="C69" s="6" t="s">
        <v>9</v>
      </c>
      <c r="D69" s="35"/>
      <c r="E69" s="34">
        <v>334916.86999999994</v>
      </c>
      <c r="F69" s="129">
        <v>2.3097715172413791</v>
      </c>
      <c r="G69" s="7"/>
      <c r="H69" s="36">
        <v>145000</v>
      </c>
      <c r="I69" s="36">
        <v>126290.32258064515</v>
      </c>
      <c r="J69" s="36">
        <v>113517.18000000408</v>
      </c>
      <c r="K69" s="73">
        <v>0.89885889655175655</v>
      </c>
      <c r="L69" s="37"/>
      <c r="M69" s="36">
        <v>35179.978006339457</v>
      </c>
      <c r="N69" s="36">
        <v>30640.626005521466</v>
      </c>
      <c r="O69" s="38">
        <v>163.68</v>
      </c>
      <c r="P69" s="36">
        <v>23988.459999999966</v>
      </c>
      <c r="Q69" s="121">
        <v>0.78289719001423885</v>
      </c>
      <c r="R69" s="37"/>
      <c r="S69" s="133">
        <v>0.24262053797475489</v>
      </c>
      <c r="T69" s="133">
        <v>0.21132008388509213</v>
      </c>
      <c r="U69" s="37"/>
      <c r="V69" s="36"/>
      <c r="W69" s="39">
        <v>9.1620757316240251</v>
      </c>
      <c r="X69" s="72" t="s">
        <v>73</v>
      </c>
      <c r="Y69" s="37"/>
      <c r="Z69" s="65"/>
      <c r="AA69" s="34">
        <v>4677.4193548387093</v>
      </c>
      <c r="AB69" s="34">
        <v>5891.939999999976</v>
      </c>
      <c r="AC69" s="37"/>
      <c r="AD69" s="36">
        <v>1134.8380002044987</v>
      </c>
      <c r="AE69" s="36">
        <v>1072.0100000000007</v>
      </c>
      <c r="AF69" s="121">
        <v>0.94463703172331526</v>
      </c>
      <c r="AG69" s="37"/>
      <c r="AH69" s="36">
        <v>888.46148148148029</v>
      </c>
      <c r="AI69" s="36">
        <v>27542.305925925888</v>
      </c>
      <c r="AJ69" s="121">
        <v>0.78289719001423896</v>
      </c>
      <c r="AK69" s="37"/>
      <c r="AL69" s="114">
        <v>0.24262053797475489</v>
      </c>
      <c r="AM69" s="114">
        <v>0.18194516576883082</v>
      </c>
      <c r="AN69" s="37"/>
      <c r="AO69" s="39">
        <v>7.2414179370457816</v>
      </c>
      <c r="AP69" s="73">
        <v>0</v>
      </c>
    </row>
    <row r="70" spans="1:49" ht="12.75" customHeight="1" x14ac:dyDescent="0.3">
      <c r="A70" s="7" t="s">
        <v>23</v>
      </c>
      <c r="B70" s="224"/>
      <c r="C70" s="6" t="s">
        <v>10</v>
      </c>
      <c r="D70" s="35"/>
      <c r="E70" s="34">
        <v>512505.0000000007</v>
      </c>
      <c r="F70" s="129">
        <v>2.6973947368421087</v>
      </c>
      <c r="G70" s="7"/>
      <c r="H70" s="36">
        <v>190000</v>
      </c>
      <c r="I70" s="36">
        <v>165483.87096774194</v>
      </c>
      <c r="J70" s="36">
        <v>165902.30000000005</v>
      </c>
      <c r="K70" s="73">
        <v>1.0025285185185189</v>
      </c>
      <c r="L70" s="37"/>
      <c r="M70" s="36">
        <v>45410</v>
      </c>
      <c r="N70" s="36">
        <v>39550.645161290318</v>
      </c>
      <c r="O70" s="38">
        <v>2619.25</v>
      </c>
      <c r="P70" s="36">
        <v>36894.059999999932</v>
      </c>
      <c r="Q70" s="121">
        <v>0.9328308008514995</v>
      </c>
      <c r="R70" s="37"/>
      <c r="S70" s="133">
        <v>0.23899999999999999</v>
      </c>
      <c r="T70" s="133">
        <v>0.22238425868719072</v>
      </c>
      <c r="U70" s="37"/>
      <c r="V70" s="36"/>
      <c r="W70" s="39">
        <v>8.7845497018421952</v>
      </c>
      <c r="X70" s="72" t="s">
        <v>73</v>
      </c>
      <c r="Y70" s="37"/>
      <c r="Z70" s="65"/>
      <c r="AA70" s="34">
        <v>6129.0322580645161</v>
      </c>
      <c r="AB70" s="34">
        <v>7364.9399999999468</v>
      </c>
      <c r="AC70" s="37"/>
      <c r="AD70" s="36">
        <v>1464.8387096774193</v>
      </c>
      <c r="AE70" s="36">
        <v>1482.7999999999961</v>
      </c>
      <c r="AF70" s="121">
        <v>1.0122616163840537</v>
      </c>
      <c r="AG70" s="37"/>
      <c r="AH70" s="36">
        <v>1366.4466666666642</v>
      </c>
      <c r="AI70" s="36">
        <v>42359.846666666592</v>
      </c>
      <c r="AJ70" s="121">
        <v>0.9328308008514995</v>
      </c>
      <c r="AK70" s="37"/>
      <c r="AL70" s="114">
        <v>0.23899999999999999</v>
      </c>
      <c r="AM70" s="114">
        <v>0.20133225796815815</v>
      </c>
      <c r="AN70" s="37"/>
      <c r="AO70" s="39">
        <v>8.3458928382302311</v>
      </c>
      <c r="AP70" s="73">
        <v>0</v>
      </c>
    </row>
    <row r="71" spans="1:49" ht="12.75" customHeight="1" x14ac:dyDescent="0.3">
      <c r="A71" s="7" t="s">
        <v>23</v>
      </c>
      <c r="B71" s="224"/>
      <c r="C71" s="6" t="s">
        <v>12</v>
      </c>
      <c r="D71" s="35"/>
      <c r="E71" s="34">
        <v>21926.880000000005</v>
      </c>
      <c r="F71" s="129">
        <v>5.481720000000001</v>
      </c>
      <c r="G71" s="7"/>
      <c r="H71" s="36">
        <v>4000</v>
      </c>
      <c r="I71" s="36">
        <v>3538.4615384615381</v>
      </c>
      <c r="J71" s="36">
        <v>2668.6099999999969</v>
      </c>
      <c r="K71" s="73">
        <v>0.75417239130434699</v>
      </c>
      <c r="L71" s="37"/>
      <c r="M71" s="36">
        <v>960</v>
      </c>
      <c r="N71" s="36">
        <v>849.23076923076917</v>
      </c>
      <c r="O71" s="38">
        <v>366.45</v>
      </c>
      <c r="P71" s="36">
        <v>1031.2300000000005</v>
      </c>
      <c r="Q71" s="121">
        <v>1.2143106884057977</v>
      </c>
      <c r="R71" s="37"/>
      <c r="S71" s="133">
        <v>0.24</v>
      </c>
      <c r="T71" s="133">
        <v>0.38642963940028768</v>
      </c>
      <c r="U71" s="37"/>
      <c r="V71" s="36"/>
      <c r="W71" s="39">
        <v>12.605813513402023</v>
      </c>
      <c r="X71" s="72" t="s">
        <v>73</v>
      </c>
      <c r="Y71" s="37"/>
      <c r="Z71" s="65"/>
      <c r="AA71" s="34">
        <v>153.84615384615384</v>
      </c>
      <c r="AB71" s="34">
        <v>281.73000000000008</v>
      </c>
      <c r="AC71" s="37"/>
      <c r="AD71" s="36">
        <v>36.92307692307692</v>
      </c>
      <c r="AE71" s="36">
        <v>53.46</v>
      </c>
      <c r="AF71" s="121">
        <v>1.4478750000000002</v>
      </c>
      <c r="AG71" s="37"/>
      <c r="AH71" s="36">
        <v>44.836086956521761</v>
      </c>
      <c r="AI71" s="36">
        <v>1165.7382608695657</v>
      </c>
      <c r="AJ71" s="121">
        <v>1.2143106884057977</v>
      </c>
      <c r="AK71" s="37"/>
      <c r="AL71" s="114">
        <v>0.24</v>
      </c>
      <c r="AM71" s="114">
        <v>0.18975614950484501</v>
      </c>
      <c r="AN71" s="37"/>
      <c r="AO71" s="39">
        <v>6.8682781386433884</v>
      </c>
      <c r="AP71" s="73">
        <v>0</v>
      </c>
    </row>
    <row r="72" spans="1:49" s="16" customFormat="1" ht="14.25" customHeight="1" x14ac:dyDescent="0.3">
      <c r="A72" s="27"/>
      <c r="B72" s="224"/>
      <c r="C72" s="9" t="s">
        <v>83</v>
      </c>
      <c r="D72" s="29"/>
      <c r="E72" s="28">
        <v>1128263.2700000005</v>
      </c>
      <c r="F72" s="130">
        <v>2.8136241147132184</v>
      </c>
      <c r="G72" s="27"/>
      <c r="H72" s="30">
        <v>401000</v>
      </c>
      <c r="I72" s="30">
        <v>350158.80893300247</v>
      </c>
      <c r="J72" s="30">
        <v>341877.37000000442</v>
      </c>
      <c r="K72" s="32">
        <v>0.97634947708945807</v>
      </c>
      <c r="L72" s="40"/>
      <c r="M72" s="30">
        <v>94073.978006339457</v>
      </c>
      <c r="N72" s="30">
        <v>82119.425012965628</v>
      </c>
      <c r="O72" s="28">
        <v>3406.8799999999997</v>
      </c>
      <c r="P72" s="30">
        <v>74599.789999999848</v>
      </c>
      <c r="Q72" s="32">
        <v>0.90843049605159165</v>
      </c>
      <c r="R72" s="40"/>
      <c r="S72" s="134">
        <v>0.23459844889361461</v>
      </c>
      <c r="T72" s="134">
        <v>0.21820628256265948</v>
      </c>
      <c r="U72" s="40"/>
      <c r="V72" s="30"/>
      <c r="W72" s="33">
        <v>8.9686369121195693</v>
      </c>
      <c r="X72" s="31" t="s">
        <v>73</v>
      </c>
      <c r="Y72" s="40"/>
      <c r="Z72" s="65"/>
      <c r="AA72" s="28">
        <v>13344.913151364764</v>
      </c>
      <c r="AB72" s="28">
        <v>16540.31999999992</v>
      </c>
      <c r="AC72" s="40"/>
      <c r="AD72" s="30">
        <v>3118.292094497303</v>
      </c>
      <c r="AE72" s="30">
        <v>3148.2499999999968</v>
      </c>
      <c r="AF72" s="32">
        <v>1.0096071517981138</v>
      </c>
      <c r="AG72" s="40"/>
      <c r="AH72" s="30">
        <v>2851.3111916264038</v>
      </c>
      <c r="AI72" s="30">
        <v>85408.631723027211</v>
      </c>
      <c r="AJ72" s="32">
        <v>0.90788795725499871</v>
      </c>
      <c r="AK72" s="40"/>
      <c r="AL72" s="85">
        <v>0.23459844889361461</v>
      </c>
      <c r="AM72" s="85">
        <v>0.19033791365584293</v>
      </c>
      <c r="AN72" s="40"/>
      <c r="AO72" s="33">
        <v>0</v>
      </c>
      <c r="AP72" s="32">
        <v>0</v>
      </c>
      <c r="AQ72" s="10"/>
      <c r="AR72" s="11"/>
      <c r="AS72" s="11"/>
      <c r="AT72" s="11"/>
      <c r="AU72" s="11"/>
      <c r="AV72" s="11"/>
      <c r="AW72" s="11"/>
    </row>
    <row r="73" spans="1:49" ht="7.75" customHeight="1" x14ac:dyDescent="0.3">
      <c r="B73" s="17"/>
      <c r="D73" s="35"/>
      <c r="E73" s="48"/>
      <c r="F73" s="131"/>
      <c r="G73" s="35"/>
      <c r="H73" s="49"/>
      <c r="I73" s="49"/>
      <c r="J73" s="49"/>
      <c r="K73" s="52"/>
      <c r="L73" s="35"/>
      <c r="M73" s="49"/>
      <c r="N73" s="49"/>
      <c r="O73" s="52"/>
      <c r="P73" s="49"/>
      <c r="Q73" s="48"/>
      <c r="R73" s="35"/>
      <c r="S73" s="52"/>
      <c r="T73" s="52"/>
      <c r="U73" s="35"/>
      <c r="V73" s="49"/>
      <c r="W73" s="53"/>
      <c r="X73" s="49"/>
      <c r="Y73" s="35"/>
      <c r="Z73" s="65"/>
      <c r="AA73" s="48"/>
      <c r="AB73" s="48"/>
      <c r="AC73" s="37"/>
      <c r="AD73" s="49"/>
      <c r="AE73" s="49"/>
      <c r="AF73" s="48"/>
      <c r="AG73" s="37"/>
      <c r="AH73" s="49"/>
      <c r="AI73" s="49"/>
      <c r="AJ73" s="48"/>
      <c r="AK73" s="37"/>
      <c r="AL73" s="50"/>
      <c r="AM73" s="54"/>
      <c r="AN73" s="37"/>
      <c r="AO73" s="53"/>
      <c r="AP73" s="48"/>
    </row>
    <row r="74" spans="1:49" ht="12.75" customHeight="1" x14ac:dyDescent="0.3">
      <c r="A74" s="7" t="s">
        <v>72</v>
      </c>
      <c r="B74" s="224" t="s">
        <v>74</v>
      </c>
      <c r="C74" s="6" t="s">
        <v>8</v>
      </c>
      <c r="D74" s="35"/>
      <c r="E74" s="34">
        <v>49133.180000000029</v>
      </c>
      <c r="F74" s="129">
        <v>0.72254676470588275</v>
      </c>
      <c r="G74" s="7"/>
      <c r="H74" s="36">
        <v>68000</v>
      </c>
      <c r="I74" s="36">
        <v>60153.846153846149</v>
      </c>
      <c r="J74" s="36">
        <v>53189.310000000172</v>
      </c>
      <c r="K74" s="73">
        <v>0.88422126598465767</v>
      </c>
      <c r="L74" s="37"/>
      <c r="M74" s="36">
        <v>11900</v>
      </c>
      <c r="N74" s="36">
        <v>10526.923076923076</v>
      </c>
      <c r="O74" s="38">
        <v>372.65</v>
      </c>
      <c r="P74" s="36">
        <v>7733.1200000000008</v>
      </c>
      <c r="Q74" s="121">
        <v>0.73460401899890404</v>
      </c>
      <c r="R74" s="37"/>
      <c r="S74" s="133">
        <v>0.17499999999999999</v>
      </c>
      <c r="T74" s="133">
        <v>0.14538861286224575</v>
      </c>
      <c r="U74" s="37"/>
      <c r="V74" s="36"/>
      <c r="W74" s="39">
        <v>2.9134801711098963</v>
      </c>
      <c r="X74" s="72" t="s">
        <v>73</v>
      </c>
      <c r="Y74" s="37"/>
      <c r="Z74" s="65"/>
      <c r="AA74" s="34">
        <v>2615.3846153846152</v>
      </c>
      <c r="AB74" s="34">
        <v>2688.03</v>
      </c>
      <c r="AC74" s="37"/>
      <c r="AD74" s="36">
        <v>457.69230769230768</v>
      </c>
      <c r="AE74" s="36">
        <v>237.48000000000005</v>
      </c>
      <c r="AF74" s="121">
        <v>0.51886386554621855</v>
      </c>
      <c r="AG74" s="37"/>
      <c r="AH74" s="36">
        <v>336.22260869565218</v>
      </c>
      <c r="AI74" s="36">
        <v>8741.7878260869566</v>
      </c>
      <c r="AJ74" s="121">
        <v>0.73460401899890393</v>
      </c>
      <c r="AK74" s="37"/>
      <c r="AL74" s="114">
        <v>0.17499999999999999</v>
      </c>
      <c r="AM74" s="114">
        <v>8.8347228267541669E-2</v>
      </c>
      <c r="AN74" s="37"/>
      <c r="AO74" s="39">
        <v>-2.3132182304512741</v>
      </c>
      <c r="AP74" s="73">
        <v>0</v>
      </c>
    </row>
    <row r="75" spans="1:49" ht="12.5" customHeight="1" x14ac:dyDescent="0.3">
      <c r="A75" s="7" t="s">
        <v>72</v>
      </c>
      <c r="B75" s="224"/>
      <c r="C75" s="6" t="s">
        <v>9</v>
      </c>
      <c r="D75" s="35"/>
      <c r="E75" s="34">
        <v>87516.84</v>
      </c>
      <c r="F75" s="129">
        <v>0.57200549019607838</v>
      </c>
      <c r="G75" s="7"/>
      <c r="H75" s="36">
        <v>153000</v>
      </c>
      <c r="I75" s="36">
        <v>133258.06451612903</v>
      </c>
      <c r="J75" s="36">
        <v>135109.62000000704</v>
      </c>
      <c r="K75" s="73">
        <v>1.0138945098039744</v>
      </c>
      <c r="L75" s="37"/>
      <c r="M75" s="36">
        <v>30083.290842020251</v>
      </c>
      <c r="N75" s="36">
        <v>26201.575894662801</v>
      </c>
      <c r="O75" s="38">
        <v>1056.31</v>
      </c>
      <c r="P75" s="36">
        <v>25318.290000000241</v>
      </c>
      <c r="Q75" s="121">
        <v>0.96628882559531526</v>
      </c>
      <c r="R75" s="37"/>
      <c r="S75" s="133">
        <v>0.19662281596091669</v>
      </c>
      <c r="T75" s="133">
        <v>0.18739072761805503</v>
      </c>
      <c r="U75" s="37"/>
      <c r="V75" s="36"/>
      <c r="W75" s="39">
        <v>7.4325425532296441</v>
      </c>
      <c r="X75" s="72" t="s">
        <v>73</v>
      </c>
      <c r="Y75" s="37"/>
      <c r="Z75" s="65"/>
      <c r="AA75" s="34">
        <v>4935.4838709677415</v>
      </c>
      <c r="AB75" s="34">
        <v>7513.729999999965</v>
      </c>
      <c r="AC75" s="37"/>
      <c r="AD75" s="36">
        <v>970.42873683936295</v>
      </c>
      <c r="AE75" s="36">
        <v>858.4799999999999</v>
      </c>
      <c r="AF75" s="121">
        <v>0.88463991987296831</v>
      </c>
      <c r="AG75" s="37"/>
      <c r="AH75" s="36">
        <v>937.71444444445342</v>
      </c>
      <c r="AI75" s="36">
        <v>29069.147777778056</v>
      </c>
      <c r="AJ75" s="121">
        <v>0.96628882559531548</v>
      </c>
      <c r="AK75" s="37"/>
      <c r="AL75" s="114">
        <v>0.19662281596091669</v>
      </c>
      <c r="AM75" s="114">
        <v>0.114254837477525</v>
      </c>
      <c r="AN75" s="37"/>
      <c r="AO75" s="39">
        <v>1.0169383249060564</v>
      </c>
      <c r="AP75" s="73">
        <v>0</v>
      </c>
    </row>
    <row r="76" spans="1:49" ht="12.75" customHeight="1" x14ac:dyDescent="0.3">
      <c r="A76" s="7" t="s">
        <v>72</v>
      </c>
      <c r="B76" s="224"/>
      <c r="C76" s="6" t="s">
        <v>10</v>
      </c>
      <c r="D76" s="35"/>
      <c r="E76" s="34">
        <v>156670.88000000003</v>
      </c>
      <c r="F76" s="129">
        <v>0.68715298245614054</v>
      </c>
      <c r="G76" s="7"/>
      <c r="H76" s="36">
        <v>228000</v>
      </c>
      <c r="I76" s="36">
        <v>198580.64516129033</v>
      </c>
      <c r="J76" s="36">
        <v>225958.03999999448</v>
      </c>
      <c r="K76" s="73">
        <v>1.1378653736192055</v>
      </c>
      <c r="L76" s="37"/>
      <c r="M76" s="36">
        <v>39900</v>
      </c>
      <c r="N76" s="36">
        <v>34751.612903225803</v>
      </c>
      <c r="O76" s="38">
        <v>2509.77</v>
      </c>
      <c r="P76" s="36">
        <v>33083.670000000333</v>
      </c>
      <c r="Q76" s="121">
        <v>0.95200387078809101</v>
      </c>
      <c r="R76" s="37"/>
      <c r="S76" s="133">
        <v>0.17499999999999999</v>
      </c>
      <c r="T76" s="133">
        <v>0.14641510432645433</v>
      </c>
      <c r="U76" s="37"/>
      <c r="V76" s="36"/>
      <c r="W76" s="39">
        <v>3.3189923226429463</v>
      </c>
      <c r="X76" s="72" t="s">
        <v>73</v>
      </c>
      <c r="Y76" s="37"/>
      <c r="Z76" s="65"/>
      <c r="AA76" s="34">
        <v>7354.8387096774195</v>
      </c>
      <c r="AB76" s="34">
        <v>10925.38999999993</v>
      </c>
      <c r="AC76" s="37"/>
      <c r="AD76" s="36">
        <v>1287.0967741935483</v>
      </c>
      <c r="AE76" s="36">
        <v>460.06999999999925</v>
      </c>
      <c r="AF76" s="121">
        <v>0.3574478696741849</v>
      </c>
      <c r="AG76" s="37"/>
      <c r="AH76" s="36">
        <v>1225.3211111111234</v>
      </c>
      <c r="AI76" s="36">
        <v>37984.954444444826</v>
      </c>
      <c r="AJ76" s="121">
        <v>0.9520038707880909</v>
      </c>
      <c r="AK76" s="37"/>
      <c r="AL76" s="114">
        <v>0.17499999999999999</v>
      </c>
      <c r="AM76" s="114">
        <v>4.2110167234304878E-2</v>
      </c>
      <c r="AN76" s="37"/>
      <c r="AO76" s="39">
        <v>-6.2901187051451881</v>
      </c>
      <c r="AP76" s="73">
        <v>0</v>
      </c>
    </row>
    <row r="77" spans="1:49" ht="12.75" customHeight="1" x14ac:dyDescent="0.3">
      <c r="A77" s="7" t="s">
        <v>72</v>
      </c>
      <c r="B77" s="224"/>
      <c r="C77" s="6" t="s">
        <v>12</v>
      </c>
      <c r="D77" s="35"/>
      <c r="E77" s="34">
        <v>4434.4099999999989</v>
      </c>
      <c r="F77" s="129">
        <v>1.1086024999999997</v>
      </c>
      <c r="G77" s="7"/>
      <c r="H77" s="36">
        <v>4000</v>
      </c>
      <c r="I77" s="36">
        <v>3538.4615384615381</v>
      </c>
      <c r="J77" s="36">
        <v>10572.429999999964</v>
      </c>
      <c r="K77" s="73">
        <v>2.9878606521739033</v>
      </c>
      <c r="L77" s="37"/>
      <c r="M77" s="36">
        <v>630.99967958987622</v>
      </c>
      <c r="N77" s="36">
        <v>558.19202425258277</v>
      </c>
      <c r="O77" s="38">
        <v>0</v>
      </c>
      <c r="P77" s="36">
        <v>1673.87</v>
      </c>
      <c r="Q77" s="121">
        <v>2.9987350719339032</v>
      </c>
      <c r="R77" s="37"/>
      <c r="S77" s="133">
        <v>0.15774991989746906</v>
      </c>
      <c r="T77" s="133">
        <v>0.1583240560590144</v>
      </c>
      <c r="U77" s="37"/>
      <c r="V77" s="36"/>
      <c r="W77" s="39">
        <v>4.3564251548599655</v>
      </c>
      <c r="X77" s="72" t="s">
        <v>73</v>
      </c>
      <c r="Y77" s="37"/>
      <c r="Z77" s="65"/>
      <c r="AA77" s="34">
        <v>153.84615384615384</v>
      </c>
      <c r="AB77" s="34">
        <v>488.09000000000009</v>
      </c>
      <c r="AC77" s="37"/>
      <c r="AD77" s="36">
        <v>24.269218445764469</v>
      </c>
      <c r="AE77" s="36">
        <v>-15.309999999999995</v>
      </c>
      <c r="AF77" s="121">
        <v>-0.63084025693756685</v>
      </c>
      <c r="AG77" s="37"/>
      <c r="AH77" s="36">
        <v>72.776956521739123</v>
      </c>
      <c r="AI77" s="36">
        <v>1892.2008695652171</v>
      </c>
      <c r="AJ77" s="121">
        <v>2.9987350719339028</v>
      </c>
      <c r="AK77" s="37"/>
      <c r="AL77" s="114">
        <v>0.15774991989746906</v>
      </c>
      <c r="AM77" s="114">
        <v>-3.1367165891536382E-2</v>
      </c>
      <c r="AN77" s="37"/>
      <c r="AO77" s="39">
        <v>-12.981212481304619</v>
      </c>
      <c r="AP77" s="73">
        <v>0</v>
      </c>
    </row>
    <row r="78" spans="1:49" s="16" customFormat="1" ht="14.25" customHeight="1" x14ac:dyDescent="0.3">
      <c r="A78" s="27"/>
      <c r="B78" s="224"/>
      <c r="C78" s="9" t="s">
        <v>84</v>
      </c>
      <c r="D78" s="29"/>
      <c r="E78" s="28">
        <v>297755.31</v>
      </c>
      <c r="F78" s="130">
        <v>0.65729649006622515</v>
      </c>
      <c r="G78" s="27"/>
      <c r="H78" s="30">
        <v>453000</v>
      </c>
      <c r="I78" s="30">
        <v>395531.01736972708</v>
      </c>
      <c r="J78" s="30">
        <v>424829.40000000165</v>
      </c>
      <c r="K78" s="32">
        <v>1.0740735399845711</v>
      </c>
      <c r="L78" s="40"/>
      <c r="M78" s="30">
        <v>82514.290521610121</v>
      </c>
      <c r="N78" s="30">
        <v>72038.303899064253</v>
      </c>
      <c r="O78" s="28">
        <v>3938.73</v>
      </c>
      <c r="P78" s="30">
        <v>67808.950000000565</v>
      </c>
      <c r="Q78" s="32">
        <v>0.94129020715160638</v>
      </c>
      <c r="R78" s="40"/>
      <c r="S78" s="134">
        <v>0.18215075170333361</v>
      </c>
      <c r="T78" s="134">
        <v>0.15961454174310982</v>
      </c>
      <c r="U78" s="40"/>
      <c r="V78" s="30"/>
      <c r="W78" s="33">
        <v>4.6022827045401637</v>
      </c>
      <c r="X78" s="31" t="s">
        <v>73</v>
      </c>
      <c r="Y78" s="40"/>
      <c r="Z78" s="65"/>
      <c r="AA78" s="28">
        <v>15059.553349875931</v>
      </c>
      <c r="AB78" s="28">
        <v>21615.239999999896</v>
      </c>
      <c r="AC78" s="40"/>
      <c r="AD78" s="30">
        <v>2739.4870371709835</v>
      </c>
      <c r="AE78" s="30">
        <v>1540.7199999999993</v>
      </c>
      <c r="AF78" s="32">
        <v>0.56241185999225307</v>
      </c>
      <c r="AG78" s="40"/>
      <c r="AH78" s="30">
        <v>2572.0351207729677</v>
      </c>
      <c r="AI78" s="30">
        <v>77688.090917875059</v>
      </c>
      <c r="AJ78" s="32">
        <v>0.94151074228201592</v>
      </c>
      <c r="AK78" s="40"/>
      <c r="AL78" s="85">
        <v>0.18215075170333361</v>
      </c>
      <c r="AM78" s="85">
        <v>7.1279338096639541E-2</v>
      </c>
      <c r="AN78" s="40"/>
      <c r="AO78" s="33">
        <v>0</v>
      </c>
      <c r="AP78" s="32">
        <v>0</v>
      </c>
      <c r="AQ78" s="11"/>
      <c r="AR78" s="11"/>
      <c r="AS78" s="11"/>
      <c r="AT78" s="11"/>
      <c r="AU78" s="11"/>
      <c r="AV78" s="11"/>
      <c r="AW78" s="11"/>
    </row>
    <row r="79" spans="1:49" ht="8" customHeight="1" x14ac:dyDescent="0.3">
      <c r="B79" s="17"/>
      <c r="D79" s="35"/>
      <c r="E79" s="48"/>
      <c r="F79" s="131"/>
      <c r="G79" s="35"/>
      <c r="H79" s="49"/>
      <c r="I79" s="49"/>
      <c r="J79" s="49"/>
      <c r="K79" s="52"/>
      <c r="L79" s="35"/>
      <c r="M79" s="49"/>
      <c r="N79" s="49"/>
      <c r="O79" s="52"/>
      <c r="P79" s="49"/>
      <c r="Q79" s="48"/>
      <c r="R79" s="35"/>
      <c r="S79" s="52"/>
      <c r="T79" s="52"/>
      <c r="U79" s="35"/>
      <c r="V79" s="49"/>
      <c r="W79" s="53"/>
      <c r="X79" s="49"/>
      <c r="Y79" s="35"/>
      <c r="Z79" s="65"/>
      <c r="AA79" s="48"/>
      <c r="AB79" s="48"/>
      <c r="AC79" s="37"/>
      <c r="AD79" s="49"/>
      <c r="AE79" s="49"/>
      <c r="AF79" s="48"/>
      <c r="AG79" s="37"/>
      <c r="AH79" s="49"/>
      <c r="AI79" s="49"/>
      <c r="AJ79" s="48"/>
      <c r="AK79" s="37"/>
      <c r="AL79" s="50"/>
      <c r="AM79" s="54"/>
      <c r="AN79" s="37"/>
      <c r="AO79" s="53"/>
      <c r="AP79" s="48"/>
    </row>
    <row r="80" spans="1:49" ht="12.75" customHeight="1" x14ac:dyDescent="0.3">
      <c r="A80" s="7" t="s">
        <v>29</v>
      </c>
      <c r="B80" s="224" t="s">
        <v>70</v>
      </c>
      <c r="C80" s="6" t="s">
        <v>8</v>
      </c>
      <c r="D80" s="35"/>
      <c r="E80" s="34">
        <v>581969.55999999982</v>
      </c>
      <c r="F80" s="129">
        <v>2.530302434782608</v>
      </c>
      <c r="G80" s="7"/>
      <c r="H80" s="36">
        <v>230000</v>
      </c>
      <c r="I80" s="137">
        <v>203461.53846153844</v>
      </c>
      <c r="J80" s="36">
        <v>244248.20999999379</v>
      </c>
      <c r="K80" s="73">
        <v>1.2004637920604611</v>
      </c>
      <c r="L80" s="37"/>
      <c r="M80" s="36">
        <v>25300</v>
      </c>
      <c r="N80" s="36">
        <v>22380.76923076923</v>
      </c>
      <c r="O80" s="38">
        <v>12646.619999999999</v>
      </c>
      <c r="P80" s="137">
        <v>26360.750000000065</v>
      </c>
      <c r="Q80" s="73">
        <v>1.1778303832273616</v>
      </c>
      <c r="R80" s="37"/>
      <c r="S80" s="133">
        <v>0.11</v>
      </c>
      <c r="T80" s="133">
        <v>0.10792607241625532</v>
      </c>
      <c r="U80" s="37"/>
      <c r="V80" s="36"/>
      <c r="W80" s="39">
        <v>-3.6138483880829875</v>
      </c>
      <c r="X80" s="72" t="s">
        <v>73</v>
      </c>
      <c r="Y80" s="37"/>
      <c r="Z80" s="65"/>
      <c r="AA80" s="34">
        <v>8846.1538461538457</v>
      </c>
      <c r="AB80" s="34">
        <v>25062.48000000001</v>
      </c>
      <c r="AC80" s="37"/>
      <c r="AD80" s="36">
        <v>973.07692307692309</v>
      </c>
      <c r="AE80" s="36">
        <v>372.40999999999974</v>
      </c>
      <c r="AF80" s="121">
        <v>0.38271383399209458</v>
      </c>
      <c r="AG80" s="37"/>
      <c r="AH80" s="36">
        <v>1146.1195652173942</v>
      </c>
      <c r="AI80" s="36">
        <v>29799.108695652249</v>
      </c>
      <c r="AJ80" s="121">
        <v>1.1778303832273616</v>
      </c>
      <c r="AK80" s="37"/>
      <c r="AL80" s="114">
        <v>0.11</v>
      </c>
      <c r="AM80" s="114">
        <v>1.485926372809074E-2</v>
      </c>
      <c r="AN80" s="37"/>
      <c r="AO80" s="39">
        <v>-7.2842751395711334</v>
      </c>
      <c r="AP80" s="73">
        <v>0</v>
      </c>
    </row>
    <row r="81" spans="1:49" ht="12.75" customHeight="1" x14ac:dyDescent="0.3">
      <c r="A81" s="7" t="s">
        <v>29</v>
      </c>
      <c r="B81" s="224"/>
      <c r="C81" s="6" t="s">
        <v>9</v>
      </c>
      <c r="D81" s="35"/>
      <c r="E81" s="34">
        <v>476199.12</v>
      </c>
      <c r="F81" s="129">
        <v>1.4005856470588236</v>
      </c>
      <c r="G81" s="7"/>
      <c r="H81" s="36">
        <v>340000</v>
      </c>
      <c r="I81" s="137">
        <v>296129.03225806454</v>
      </c>
      <c r="J81" s="36">
        <v>300770.96999997122</v>
      </c>
      <c r="K81" s="73">
        <v>1.0156753888887915</v>
      </c>
      <c r="L81" s="37"/>
      <c r="M81" s="36">
        <v>50660</v>
      </c>
      <c r="N81" s="36">
        <v>44123.225806451614</v>
      </c>
      <c r="O81" s="38">
        <v>4499</v>
      </c>
      <c r="P81" s="137">
        <v>38040.540000000627</v>
      </c>
      <c r="Q81" s="73">
        <v>0.86214322059921589</v>
      </c>
      <c r="R81" s="37"/>
      <c r="S81" s="133">
        <v>0.14899999999999999</v>
      </c>
      <c r="T81" s="133">
        <v>0.12647676735558711</v>
      </c>
      <c r="U81" s="37"/>
      <c r="V81" s="36"/>
      <c r="W81" s="39">
        <v>1.2814401602572527</v>
      </c>
      <c r="X81" s="72" t="s">
        <v>73</v>
      </c>
      <c r="Y81" s="37"/>
      <c r="Z81" s="65"/>
      <c r="AA81" s="34">
        <v>10967.741935483871</v>
      </c>
      <c r="AB81" s="34">
        <v>26946.510000000289</v>
      </c>
      <c r="AC81" s="37"/>
      <c r="AD81" s="36">
        <v>1634.1935483870968</v>
      </c>
      <c r="AE81" s="36">
        <v>1313.9500000000005</v>
      </c>
      <c r="AF81" s="121">
        <v>0.80403572838531412</v>
      </c>
      <c r="AG81" s="37"/>
      <c r="AH81" s="36">
        <v>1408.9088888889121</v>
      </c>
      <c r="AI81" s="36">
        <v>43676.175555556278</v>
      </c>
      <c r="AJ81" s="121">
        <v>0.86214322059921589</v>
      </c>
      <c r="AK81" s="37"/>
      <c r="AL81" s="114">
        <v>0.14899999999999999</v>
      </c>
      <c r="AM81" s="114">
        <v>4.8761416599032173E-2</v>
      </c>
      <c r="AN81" s="37"/>
      <c r="AO81" s="39">
        <v>-4.5637078790526981</v>
      </c>
      <c r="AP81" s="73">
        <v>0</v>
      </c>
    </row>
    <row r="82" spans="1:49" ht="12.75" customHeight="1" x14ac:dyDescent="0.3">
      <c r="A82" s="7" t="s">
        <v>29</v>
      </c>
      <c r="B82" s="224"/>
      <c r="C82" s="6" t="s">
        <v>10</v>
      </c>
      <c r="D82" s="35"/>
      <c r="E82" s="34">
        <v>872132.15000000084</v>
      </c>
      <c r="F82" s="129">
        <v>2.0282143023255834</v>
      </c>
      <c r="G82" s="7"/>
      <c r="H82" s="36">
        <v>430000</v>
      </c>
      <c r="I82" s="137">
        <v>374516.12903225806</v>
      </c>
      <c r="J82" s="36">
        <v>380853.71999995975</v>
      </c>
      <c r="K82" s="73">
        <v>1.0169220775192724</v>
      </c>
      <c r="L82" s="37"/>
      <c r="M82" s="36">
        <v>59770.000000000007</v>
      </c>
      <c r="N82" s="36">
        <v>52057.741935483878</v>
      </c>
      <c r="O82" s="38">
        <v>5664.0999999999995</v>
      </c>
      <c r="P82" s="137">
        <v>44694.440000000483</v>
      </c>
      <c r="Q82" s="73">
        <v>0.85855510320426742</v>
      </c>
      <c r="R82" s="37"/>
      <c r="S82" s="133">
        <v>0.13900000000000001</v>
      </c>
      <c r="T82" s="133">
        <v>0.11735329774382985</v>
      </c>
      <c r="U82" s="37"/>
      <c r="V82" s="36"/>
      <c r="W82" s="39">
        <v>0.43075593431490367</v>
      </c>
      <c r="X82" s="72" t="s">
        <v>73</v>
      </c>
      <c r="Y82" s="37"/>
      <c r="Z82" s="65"/>
      <c r="AA82" s="34">
        <v>13870.967741935483</v>
      </c>
      <c r="AB82" s="34">
        <v>35738.940000000293</v>
      </c>
      <c r="AC82" s="37"/>
      <c r="AD82" s="36">
        <v>1928.0645161290324</v>
      </c>
      <c r="AE82" s="36">
        <v>1228.8600000000004</v>
      </c>
      <c r="AF82" s="121">
        <v>0.6373541910657522</v>
      </c>
      <c r="AG82" s="37"/>
      <c r="AH82" s="36">
        <v>1655.3496296296476</v>
      </c>
      <c r="AI82" s="36">
        <v>51315.838518519071</v>
      </c>
      <c r="AJ82" s="121">
        <v>0.85855510320426742</v>
      </c>
      <c r="AK82" s="37"/>
      <c r="AL82" s="114">
        <v>0.13900000000000001</v>
      </c>
      <c r="AM82" s="114">
        <v>3.4384343799787859E-2</v>
      </c>
      <c r="AN82" s="37"/>
      <c r="AO82" s="39">
        <v>-6.1407808961310639</v>
      </c>
      <c r="AP82" s="73">
        <v>0</v>
      </c>
    </row>
    <row r="83" spans="1:49" ht="12.75" customHeight="1" x14ac:dyDescent="0.3">
      <c r="A83" s="7" t="s">
        <v>29</v>
      </c>
      <c r="B83" s="224"/>
      <c r="C83" s="6" t="s">
        <v>12</v>
      </c>
      <c r="D83" s="35"/>
      <c r="E83" s="34">
        <v>15977.12</v>
      </c>
      <c r="F83" s="129">
        <v>1.3314266666666668</v>
      </c>
      <c r="G83" s="7"/>
      <c r="H83" s="36">
        <v>12000</v>
      </c>
      <c r="I83" s="137">
        <v>10615.384615384615</v>
      </c>
      <c r="J83" s="36">
        <v>6802.3499999999685</v>
      </c>
      <c r="K83" s="73">
        <v>0.64080108695651883</v>
      </c>
      <c r="L83" s="37"/>
      <c r="M83" s="36">
        <v>1872</v>
      </c>
      <c r="N83" s="36">
        <v>1656</v>
      </c>
      <c r="O83" s="38">
        <v>3608.01</v>
      </c>
      <c r="P83" s="137">
        <v>4871.9299999999985</v>
      </c>
      <c r="Q83" s="73">
        <v>2.9419867149758443</v>
      </c>
      <c r="R83" s="37"/>
      <c r="S83" s="133">
        <v>0.156</v>
      </c>
      <c r="T83" s="133">
        <v>0.71621277940711969</v>
      </c>
      <c r="U83" s="37"/>
      <c r="V83" s="36"/>
      <c r="W83" s="39">
        <v>8.8578211941456857</v>
      </c>
      <c r="X83" s="72" t="s">
        <v>73</v>
      </c>
      <c r="Y83" s="37"/>
      <c r="Z83" s="65"/>
      <c r="AA83" s="34">
        <v>461.53846153846155</v>
      </c>
      <c r="AB83" s="34">
        <v>2177.7200000000003</v>
      </c>
      <c r="AC83" s="37"/>
      <c r="AD83" s="36">
        <v>72</v>
      </c>
      <c r="AE83" s="36">
        <v>209.87</v>
      </c>
      <c r="AF83" s="121">
        <v>2.9148611111111111</v>
      </c>
      <c r="AG83" s="37"/>
      <c r="AH83" s="36">
        <v>211.82304347826081</v>
      </c>
      <c r="AI83" s="36">
        <v>5507.399130434781</v>
      </c>
      <c r="AJ83" s="121">
        <v>2.9419867149758447</v>
      </c>
      <c r="AK83" s="37"/>
      <c r="AL83" s="114">
        <v>0.156</v>
      </c>
      <c r="AM83" s="114">
        <v>9.6371434344176471E-2</v>
      </c>
      <c r="AN83" s="37"/>
      <c r="AO83" s="39">
        <v>0.16071854967584948</v>
      </c>
      <c r="AP83" s="73">
        <v>0</v>
      </c>
    </row>
    <row r="84" spans="1:49" s="16" customFormat="1" ht="14.25" customHeight="1" x14ac:dyDescent="0.3">
      <c r="A84" s="27"/>
      <c r="B84" s="224"/>
      <c r="C84" s="9" t="s">
        <v>85</v>
      </c>
      <c r="D84" s="29"/>
      <c r="E84" s="28">
        <v>1946277.9500000007</v>
      </c>
      <c r="F84" s="130">
        <v>1.9231995553359691</v>
      </c>
      <c r="G84" s="27"/>
      <c r="H84" s="30">
        <v>1012000</v>
      </c>
      <c r="I84" s="30">
        <v>884722.08436724567</v>
      </c>
      <c r="J84" s="30">
        <v>932675.24999992468</v>
      </c>
      <c r="K84" s="32">
        <v>1.0542013887524637</v>
      </c>
      <c r="L84" s="40"/>
      <c r="M84" s="30">
        <v>137602</v>
      </c>
      <c r="N84" s="30">
        <v>120217.73697270472</v>
      </c>
      <c r="O84" s="28">
        <v>26417.729999999996</v>
      </c>
      <c r="P84" s="30">
        <v>113967.66000000117</v>
      </c>
      <c r="Q84" s="32">
        <v>0.94801035911928189</v>
      </c>
      <c r="R84" s="40"/>
      <c r="S84" s="134">
        <v>0.13597035573122529</v>
      </c>
      <c r="T84" s="134">
        <v>0.12219436508046115</v>
      </c>
      <c r="U84" s="40"/>
      <c r="V84" s="30"/>
      <c r="W84" s="33">
        <v>-0.29264955836157996</v>
      </c>
      <c r="X84" s="31" t="s">
        <v>73</v>
      </c>
      <c r="Y84" s="40"/>
      <c r="Z84" s="65"/>
      <c r="AA84" s="28">
        <v>34146.401985111661</v>
      </c>
      <c r="AB84" s="28">
        <v>89925.650000000591</v>
      </c>
      <c r="AC84" s="40"/>
      <c r="AD84" s="30">
        <v>4607.3349875930526</v>
      </c>
      <c r="AE84" s="30">
        <v>3125.09</v>
      </c>
      <c r="AF84" s="32">
        <v>0.67828582215433797</v>
      </c>
      <c r="AG84" s="40"/>
      <c r="AH84" s="30">
        <v>4422.2011272142145</v>
      </c>
      <c r="AI84" s="30">
        <v>130298.52190016239</v>
      </c>
      <c r="AJ84" s="32">
        <v>0.94692316899581686</v>
      </c>
      <c r="AK84" s="40"/>
      <c r="AL84" s="85">
        <v>0.13597035573122529</v>
      </c>
      <c r="AM84" s="85">
        <v>3.475193117870129E-2</v>
      </c>
      <c r="AN84" s="40"/>
      <c r="AO84" s="33">
        <v>0</v>
      </c>
      <c r="AP84" s="32">
        <v>0</v>
      </c>
      <c r="AQ84" s="11"/>
      <c r="AR84" s="11"/>
      <c r="AS84" s="11"/>
      <c r="AT84" s="11"/>
      <c r="AU84" s="11"/>
      <c r="AV84" s="11"/>
      <c r="AW84" s="11"/>
    </row>
    <row r="85" spans="1:49" x14ac:dyDescent="0.3">
      <c r="B85" s="17"/>
      <c r="D85" s="35"/>
      <c r="E85" s="48"/>
      <c r="F85" s="131"/>
      <c r="G85" s="35"/>
      <c r="H85" s="49"/>
      <c r="I85" s="49"/>
      <c r="J85" s="49"/>
      <c r="K85" s="52"/>
      <c r="L85" s="35"/>
      <c r="M85" s="49"/>
      <c r="N85" s="49"/>
      <c r="O85" s="52"/>
      <c r="P85" s="49"/>
      <c r="Q85" s="48"/>
      <c r="R85" s="35"/>
      <c r="S85" s="52"/>
      <c r="T85" s="52"/>
      <c r="U85" s="35"/>
      <c r="V85" s="49"/>
      <c r="W85" s="53"/>
      <c r="X85" s="49"/>
      <c r="Y85" s="35"/>
      <c r="Z85" s="65"/>
      <c r="AA85" s="48"/>
      <c r="AB85" s="48"/>
      <c r="AC85" s="37"/>
      <c r="AD85" s="49"/>
      <c r="AE85" s="49"/>
      <c r="AF85" s="48"/>
      <c r="AG85" s="37"/>
      <c r="AH85" s="49"/>
      <c r="AI85" s="49"/>
      <c r="AJ85" s="48"/>
      <c r="AK85" s="37"/>
      <c r="AL85" s="50"/>
      <c r="AM85" s="54"/>
      <c r="AN85" s="37"/>
      <c r="AO85" s="53"/>
      <c r="AP85" s="48"/>
    </row>
    <row r="86" spans="1:49" x14ac:dyDescent="0.3">
      <c r="A86" s="67" t="s">
        <v>63</v>
      </c>
      <c r="B86" s="224" t="s">
        <v>77</v>
      </c>
      <c r="C86" s="6" t="s">
        <v>8</v>
      </c>
      <c r="D86" s="35"/>
      <c r="E86" s="34">
        <v>478299.12000000017</v>
      </c>
      <c r="F86" s="129">
        <v>2.1740869090909101</v>
      </c>
      <c r="G86" s="7"/>
      <c r="H86" s="36">
        <v>220000</v>
      </c>
      <c r="I86" s="36">
        <v>194615.3846153846</v>
      </c>
      <c r="J86" s="36">
        <v>199016.88999999932</v>
      </c>
      <c r="K86" s="73">
        <v>1.0226164308300361</v>
      </c>
      <c r="L86" s="37"/>
      <c r="M86" s="36">
        <v>28600</v>
      </c>
      <c r="N86" s="36">
        <v>25300</v>
      </c>
      <c r="O86" s="38">
        <v>1537.8200000000002</v>
      </c>
      <c r="P86" s="36">
        <v>22106.743099999858</v>
      </c>
      <c r="Q86" s="121">
        <v>0.87378431225295883</v>
      </c>
      <c r="R86" s="37"/>
      <c r="S86" s="133">
        <v>0.13</v>
      </c>
      <c r="T86" s="133">
        <v>0.11107973348392658</v>
      </c>
      <c r="U86" s="37"/>
      <c r="V86" s="36"/>
      <c r="W86" s="39">
        <v>1.8705814868272557</v>
      </c>
      <c r="X86" s="72" t="s">
        <v>73</v>
      </c>
      <c r="Y86" s="37"/>
      <c r="Z86" s="65"/>
      <c r="AA86" s="34">
        <v>8461.538461538461</v>
      </c>
      <c r="AB86" s="34">
        <v>18754.439999999973</v>
      </c>
      <c r="AC86" s="37"/>
      <c r="AD86" s="36">
        <v>1100</v>
      </c>
      <c r="AE86" s="36">
        <v>-359.79105000000004</v>
      </c>
      <c r="AF86" s="121">
        <v>-0.32708277272727276</v>
      </c>
      <c r="AG86" s="37"/>
      <c r="AH86" s="36">
        <v>961.1627434782547</v>
      </c>
      <c r="AI86" s="36">
        <v>24990.231330434621</v>
      </c>
      <c r="AJ86" s="121">
        <v>0.87378431225295872</v>
      </c>
      <c r="AK86" s="37"/>
      <c r="AL86" s="114">
        <v>0.13</v>
      </c>
      <c r="AM86" s="114">
        <v>-1.918431315464501E-2</v>
      </c>
      <c r="AN86" s="37"/>
      <c r="AO86" s="39">
        <v>-9.6160218593571845</v>
      </c>
      <c r="AP86" s="73">
        <v>0</v>
      </c>
    </row>
    <row r="87" spans="1:49" x14ac:dyDescent="0.3">
      <c r="A87" s="67" t="s">
        <v>63</v>
      </c>
      <c r="B87" s="224"/>
      <c r="C87" s="6" t="s">
        <v>9</v>
      </c>
      <c r="D87" s="35"/>
      <c r="E87" s="34">
        <v>600915.24999999942</v>
      </c>
      <c r="F87" s="129">
        <v>1.7417833333333317</v>
      </c>
      <c r="G87" s="7"/>
      <c r="H87" s="36">
        <v>345000</v>
      </c>
      <c r="I87" s="36">
        <v>300483.87096774194</v>
      </c>
      <c r="J87" s="36">
        <v>309552.4899999827</v>
      </c>
      <c r="K87" s="73">
        <v>1.0301800526032703</v>
      </c>
      <c r="L87" s="37"/>
      <c r="M87" s="36">
        <v>55890</v>
      </c>
      <c r="N87" s="36">
        <v>48678.387096774197</v>
      </c>
      <c r="O87" s="38">
        <v>3640.8700000000003</v>
      </c>
      <c r="P87" s="36">
        <v>47602.939999999755</v>
      </c>
      <c r="Q87" s="121">
        <v>0.97790709263566156</v>
      </c>
      <c r="R87" s="37"/>
      <c r="S87" s="133">
        <v>0.16200000000000001</v>
      </c>
      <c r="T87" s="133">
        <v>0.15377986460390744</v>
      </c>
      <c r="U87" s="37"/>
      <c r="V87" s="36"/>
      <c r="W87" s="39">
        <v>5.6135810763413252</v>
      </c>
      <c r="X87" s="72" t="s">
        <v>73</v>
      </c>
      <c r="Y87" s="37"/>
      <c r="Z87" s="65"/>
      <c r="AA87" s="34">
        <v>11129.032258064517</v>
      </c>
      <c r="AB87" s="34">
        <v>24747.689999999944</v>
      </c>
      <c r="AC87" s="37"/>
      <c r="AD87" s="36">
        <v>1802.9032258064517</v>
      </c>
      <c r="AE87" s="36">
        <v>865.12999999999795</v>
      </c>
      <c r="AF87" s="121">
        <v>0.47985382000357729</v>
      </c>
      <c r="AG87" s="37"/>
      <c r="AH87" s="36">
        <v>1763.0718518518427</v>
      </c>
      <c r="AI87" s="36">
        <v>54655.227407407125</v>
      </c>
      <c r="AJ87" s="121">
        <v>0.97790709263566156</v>
      </c>
      <c r="AK87" s="37"/>
      <c r="AL87" s="114">
        <v>0.16200000000000001</v>
      </c>
      <c r="AM87" s="114">
        <v>3.4958010222368226E-2</v>
      </c>
      <c r="AN87" s="37"/>
      <c r="AO87" s="39">
        <v>-4.4991673970381347</v>
      </c>
      <c r="AP87" s="73">
        <v>0</v>
      </c>
    </row>
    <row r="88" spans="1:49" x14ac:dyDescent="0.3">
      <c r="A88" s="67" t="s">
        <v>63</v>
      </c>
      <c r="B88" s="224"/>
      <c r="C88" s="6" t="s">
        <v>10</v>
      </c>
      <c r="D88" s="35"/>
      <c r="E88" s="34">
        <v>1006212.0200000008</v>
      </c>
      <c r="F88" s="129">
        <v>1.8985132452830205</v>
      </c>
      <c r="G88" s="7"/>
      <c r="H88" s="36">
        <v>530000</v>
      </c>
      <c r="I88" s="36">
        <v>461612.90322580643</v>
      </c>
      <c r="J88" s="36">
        <v>432339.90999996237</v>
      </c>
      <c r="K88" s="73">
        <v>0.93658540950376201</v>
      </c>
      <c r="L88" s="37"/>
      <c r="M88" s="36">
        <v>80560</v>
      </c>
      <c r="N88" s="36">
        <v>70165.161290322576</v>
      </c>
      <c r="O88" s="38">
        <v>5560.9</v>
      </c>
      <c r="P88" s="36">
        <v>64559.927299999668</v>
      </c>
      <c r="Q88" s="121">
        <v>0.9201137161627817</v>
      </c>
      <c r="R88" s="37"/>
      <c r="S88" s="133">
        <v>0.152</v>
      </c>
      <c r="T88" s="133">
        <v>0.14932678155945697</v>
      </c>
      <c r="U88" s="37"/>
      <c r="V88" s="36"/>
      <c r="W88" s="39">
        <v>5.1260979584244675</v>
      </c>
      <c r="X88" s="72" t="s">
        <v>73</v>
      </c>
      <c r="Y88" s="37"/>
      <c r="Z88" s="65"/>
      <c r="AA88" s="34">
        <v>17096.774193548386</v>
      </c>
      <c r="AB88" s="34">
        <v>27975.300000000097</v>
      </c>
      <c r="AC88" s="37"/>
      <c r="AD88" s="36">
        <v>2598.7096774193546</v>
      </c>
      <c r="AE88" s="36">
        <v>1683.2232999999965</v>
      </c>
      <c r="AF88" s="121">
        <v>0.6477150235849044</v>
      </c>
      <c r="AG88" s="37"/>
      <c r="AH88" s="36">
        <v>2391.1084185185064</v>
      </c>
      <c r="AI88" s="36">
        <v>74124.360974073701</v>
      </c>
      <c r="AJ88" s="121">
        <v>0.92011371616278181</v>
      </c>
      <c r="AK88" s="37"/>
      <c r="AL88" s="114">
        <v>0.152</v>
      </c>
      <c r="AM88" s="114">
        <v>6.0168194800412883E-2</v>
      </c>
      <c r="AN88" s="37"/>
      <c r="AO88" s="39">
        <v>-2.1175704996905482</v>
      </c>
      <c r="AP88" s="73">
        <v>0</v>
      </c>
    </row>
    <row r="89" spans="1:49" x14ac:dyDescent="0.3">
      <c r="A89" s="67" t="s">
        <v>63</v>
      </c>
      <c r="B89" s="224"/>
      <c r="C89" s="6" t="s">
        <v>12</v>
      </c>
      <c r="D89" s="35"/>
      <c r="E89" s="34">
        <v>14146.970000000007</v>
      </c>
      <c r="F89" s="129">
        <v>2.0209957142857151</v>
      </c>
      <c r="G89" s="7"/>
      <c r="H89" s="36">
        <v>7000</v>
      </c>
      <c r="I89" s="36">
        <v>6192.3076923076924</v>
      </c>
      <c r="J89" s="36">
        <v>7124.3599999999569</v>
      </c>
      <c r="K89" s="73">
        <v>1.1505177639751483</v>
      </c>
      <c r="L89" s="37"/>
      <c r="M89" s="36">
        <v>1680</v>
      </c>
      <c r="N89" s="36">
        <v>1486.1538461538462</v>
      </c>
      <c r="O89" s="38">
        <v>0</v>
      </c>
      <c r="P89" s="36">
        <v>1528.2799999999993</v>
      </c>
      <c r="Q89" s="121">
        <v>1.0283457556935813</v>
      </c>
      <c r="R89" s="37"/>
      <c r="S89" s="133">
        <v>0.24</v>
      </c>
      <c r="T89" s="133">
        <v>0.21451470728598898</v>
      </c>
      <c r="U89" s="37"/>
      <c r="V89" s="36"/>
      <c r="W89" s="39">
        <v>13.99367802862233</v>
      </c>
      <c r="X89" s="72" t="s">
        <v>73</v>
      </c>
      <c r="Y89" s="37"/>
      <c r="Z89" s="65"/>
      <c r="AA89" s="34">
        <v>269.23076923076923</v>
      </c>
      <c r="AB89" s="34">
        <v>923.58</v>
      </c>
      <c r="AC89" s="37"/>
      <c r="AD89" s="36">
        <v>64.615384615384613</v>
      </c>
      <c r="AE89" s="36">
        <v>183.05000000000004</v>
      </c>
      <c r="AF89" s="121">
        <v>2.8329166666666672</v>
      </c>
      <c r="AG89" s="37"/>
      <c r="AH89" s="36">
        <v>66.446956521739097</v>
      </c>
      <c r="AI89" s="36">
        <v>1727.6208695652165</v>
      </c>
      <c r="AJ89" s="121">
        <v>1.0283457556935813</v>
      </c>
      <c r="AK89" s="37"/>
      <c r="AL89" s="114">
        <v>0.24</v>
      </c>
      <c r="AM89" s="114">
        <v>0.19819614976504474</v>
      </c>
      <c r="AN89" s="37"/>
      <c r="AO89" s="39">
        <v>12.730894995560742</v>
      </c>
      <c r="AP89" s="73">
        <v>0</v>
      </c>
    </row>
    <row r="90" spans="1:49" s="16" customFormat="1" x14ac:dyDescent="0.3">
      <c r="A90" s="27"/>
      <c r="B90" s="224"/>
      <c r="C90" s="9" t="s">
        <v>78</v>
      </c>
      <c r="D90" s="29"/>
      <c r="E90" s="28">
        <v>2099573.3600000008</v>
      </c>
      <c r="F90" s="130">
        <v>1.9052389836660624</v>
      </c>
      <c r="G90" s="27"/>
      <c r="H90" s="30">
        <v>1102000</v>
      </c>
      <c r="I90" s="30">
        <v>962904.46650124073</v>
      </c>
      <c r="J90" s="30">
        <v>948033.64999994438</v>
      </c>
      <c r="K90" s="32">
        <v>0.98455629086930074</v>
      </c>
      <c r="L90" s="40"/>
      <c r="M90" s="30">
        <v>166730</v>
      </c>
      <c r="N90" s="30">
        <v>145629.70223325063</v>
      </c>
      <c r="O90" s="28">
        <v>10739.59</v>
      </c>
      <c r="P90" s="30">
        <v>135797.89039999928</v>
      </c>
      <c r="Q90" s="32">
        <v>0.9324875922804261</v>
      </c>
      <c r="R90" s="40"/>
      <c r="S90" s="134">
        <v>0.15129764065335752</v>
      </c>
      <c r="T90" s="134">
        <v>0.14324163535757117</v>
      </c>
      <c r="U90" s="40"/>
      <c r="V90" s="30"/>
      <c r="W90" s="33">
        <v>4.6684925582490191</v>
      </c>
      <c r="X90" s="31" t="s">
        <v>73</v>
      </c>
      <c r="Y90" s="40"/>
      <c r="Z90" s="65"/>
      <c r="AA90" s="28">
        <v>36956.575682382128</v>
      </c>
      <c r="AB90" s="28">
        <v>72401.010000000024</v>
      </c>
      <c r="AC90" s="40"/>
      <c r="AD90" s="30">
        <v>5566.2282878411916</v>
      </c>
      <c r="AE90" s="30">
        <v>2371.6122499999947</v>
      </c>
      <c r="AF90" s="32">
        <v>0.4260716821802869</v>
      </c>
      <c r="AG90" s="40"/>
      <c r="AH90" s="30">
        <v>5181.7899703703424</v>
      </c>
      <c r="AI90" s="30">
        <v>155497.44058148065</v>
      </c>
      <c r="AJ90" s="32">
        <v>0.93263024399616534</v>
      </c>
      <c r="AK90" s="40"/>
      <c r="AL90" s="85">
        <v>0.15129764065335752</v>
      </c>
      <c r="AM90" s="85">
        <v>3.2756618312368764E-2</v>
      </c>
      <c r="AN90" s="40"/>
      <c r="AO90" s="33">
        <v>0</v>
      </c>
      <c r="AP90" s="32">
        <v>0</v>
      </c>
      <c r="AQ90" s="11"/>
      <c r="AR90" s="11"/>
      <c r="AS90" s="11"/>
      <c r="AT90" s="11"/>
      <c r="AU90" s="11"/>
      <c r="AV90" s="11"/>
      <c r="AW90" s="11"/>
    </row>
    <row r="91" spans="1:49" x14ac:dyDescent="0.3">
      <c r="B91" s="17"/>
      <c r="D91" s="35"/>
      <c r="E91" s="48"/>
      <c r="F91" s="131"/>
      <c r="G91" s="35"/>
      <c r="H91" s="49"/>
      <c r="I91" s="49"/>
      <c r="J91" s="49"/>
      <c r="K91" s="52"/>
      <c r="L91" s="35"/>
      <c r="M91" s="49"/>
      <c r="N91" s="49"/>
      <c r="O91" s="52"/>
      <c r="P91" s="49"/>
      <c r="Q91" s="48"/>
      <c r="R91" s="35"/>
      <c r="S91" s="52"/>
      <c r="T91" s="52"/>
      <c r="U91" s="35"/>
      <c r="V91" s="51"/>
      <c r="W91" s="53"/>
      <c r="X91" s="49"/>
      <c r="Y91" s="35"/>
      <c r="Z91" s="65"/>
      <c r="AA91" s="48"/>
      <c r="AB91" s="48"/>
      <c r="AC91" s="37"/>
      <c r="AD91" s="49"/>
      <c r="AE91" s="49"/>
      <c r="AF91" s="48"/>
      <c r="AG91" s="37"/>
      <c r="AH91" s="49"/>
      <c r="AI91" s="49"/>
      <c r="AJ91" s="48"/>
      <c r="AK91" s="37"/>
      <c r="AL91" s="50"/>
      <c r="AM91" s="54"/>
      <c r="AN91" s="37"/>
      <c r="AO91" s="53"/>
      <c r="AP91" s="48"/>
    </row>
    <row r="92" spans="1:49" x14ac:dyDescent="0.3">
      <c r="B92" s="246" t="s">
        <v>32</v>
      </c>
      <c r="C92" s="99" t="s">
        <v>8</v>
      </c>
      <c r="D92" s="35"/>
      <c r="E92" s="98">
        <v>4315965.6100000003</v>
      </c>
      <c r="F92" s="132">
        <v>0.81356561922714432</v>
      </c>
      <c r="G92" s="35"/>
      <c r="H92" s="98">
        <v>5305000</v>
      </c>
      <c r="I92" s="98">
        <v>4692884.615384615</v>
      </c>
      <c r="J92" s="98">
        <v>5015287.5399999665</v>
      </c>
      <c r="K92" s="118">
        <v>1.0687003732327922</v>
      </c>
      <c r="L92" s="37"/>
      <c r="M92" s="98">
        <v>530312.894377677</v>
      </c>
      <c r="N92" s="98">
        <v>469122.94502640649</v>
      </c>
      <c r="O92" s="98">
        <v>16014.409999999998</v>
      </c>
      <c r="P92" s="98">
        <v>505494.22691000003</v>
      </c>
      <c r="Q92" s="118">
        <v>1.0775303836002867</v>
      </c>
      <c r="R92" s="101"/>
      <c r="S92" s="135">
        <v>9.9964730325669562E-2</v>
      </c>
      <c r="T92" s="135">
        <v>0.10079067708050163</v>
      </c>
      <c r="U92" s="103"/>
      <c r="V92" s="104">
        <v>0</v>
      </c>
      <c r="W92" s="108">
        <v>-4.5936832385493727</v>
      </c>
      <c r="X92" s="105" t="s">
        <v>73</v>
      </c>
      <c r="Y92" s="103"/>
      <c r="Z92" s="106"/>
      <c r="AA92" s="98">
        <v>204038.46153846156</v>
      </c>
      <c r="AB92" s="98">
        <v>256876.89999999997</v>
      </c>
      <c r="AC92" s="103"/>
      <c r="AD92" s="98">
        <v>20396.649783756809</v>
      </c>
      <c r="AE92" s="98">
        <v>21431.834999999999</v>
      </c>
      <c r="AF92" s="118">
        <v>1.0507527082740606</v>
      </c>
      <c r="AG92" s="103"/>
      <c r="AH92" s="98">
        <v>21978.009865652173</v>
      </c>
      <c r="AI92" s="98">
        <v>571428.25650695676</v>
      </c>
      <c r="AJ92" s="118">
        <v>1.077530383600287</v>
      </c>
      <c r="AK92" s="103"/>
      <c r="AL92" s="107">
        <v>9.9964730325669562E-2</v>
      </c>
      <c r="AM92" s="102">
        <v>8.3432317191619809E-2</v>
      </c>
      <c r="AN92" s="103"/>
      <c r="AO92" s="108">
        <v>-6.0351611997809353</v>
      </c>
      <c r="AP92" s="100">
        <v>0</v>
      </c>
    </row>
    <row r="93" spans="1:49" ht="12.75" customHeight="1" x14ac:dyDescent="0.3">
      <c r="B93" s="246"/>
      <c r="C93" s="99" t="s">
        <v>9</v>
      </c>
      <c r="D93" s="35"/>
      <c r="E93" s="98">
        <v>5268720.3899999978</v>
      </c>
      <c r="F93" s="132">
        <v>0.98794681980123722</v>
      </c>
      <c r="G93" s="35"/>
      <c r="H93" s="98">
        <v>5333000</v>
      </c>
      <c r="I93" s="98">
        <v>4644870.9677419364</v>
      </c>
      <c r="J93" s="98">
        <v>4485936.6799997697</v>
      </c>
      <c r="K93" s="118">
        <v>0.96578284114974433</v>
      </c>
      <c r="L93" s="37"/>
      <c r="M93" s="98">
        <v>817629.02353412041</v>
      </c>
      <c r="N93" s="98">
        <v>712128.50436842756</v>
      </c>
      <c r="O93" s="98">
        <v>12527.27</v>
      </c>
      <c r="P93" s="98">
        <v>679293.34936000174</v>
      </c>
      <c r="Q93" s="118">
        <v>0.95389153108321834</v>
      </c>
      <c r="R93" s="101"/>
      <c r="S93" s="135">
        <v>0.15331502410165393</v>
      </c>
      <c r="T93" s="135">
        <v>0.15142731559020503</v>
      </c>
      <c r="U93" s="103"/>
      <c r="V93" s="104">
        <v>0</v>
      </c>
      <c r="W93" s="108">
        <v>2.8180085537848671</v>
      </c>
      <c r="X93" s="105" t="s">
        <v>73</v>
      </c>
      <c r="Y93" s="103"/>
      <c r="Z93" s="106"/>
      <c r="AA93" s="98">
        <v>172032.25806451609</v>
      </c>
      <c r="AB93" s="98">
        <v>328401.73000000097</v>
      </c>
      <c r="AC93" s="103"/>
      <c r="AD93" s="98">
        <v>26375.129791423242</v>
      </c>
      <c r="AE93" s="98">
        <v>21488.741639999997</v>
      </c>
      <c r="AF93" s="118">
        <v>0.81473501021359074</v>
      </c>
      <c r="AG93" s="103"/>
      <c r="AH93" s="98">
        <v>25159.01293925933</v>
      </c>
      <c r="AI93" s="98">
        <v>779929.40111703915</v>
      </c>
      <c r="AJ93" s="118">
        <v>0.95389153108321867</v>
      </c>
      <c r="AK93" s="103"/>
      <c r="AL93" s="107">
        <v>0.15331502410165393</v>
      </c>
      <c r="AM93" s="102">
        <v>6.5434313150542572E-2</v>
      </c>
      <c r="AN93" s="103"/>
      <c r="AO93" s="108">
        <v>-5.611964455850778</v>
      </c>
      <c r="AP93" s="100">
        <v>0</v>
      </c>
    </row>
    <row r="94" spans="1:49" ht="12.75" customHeight="1" x14ac:dyDescent="0.3">
      <c r="B94" s="246"/>
      <c r="C94" s="99" t="s">
        <v>10</v>
      </c>
      <c r="D94" s="35"/>
      <c r="E94" s="98">
        <v>8311111.7400000002</v>
      </c>
      <c r="F94" s="132">
        <v>1.0101010865337872</v>
      </c>
      <c r="G94" s="35"/>
      <c r="H94" s="98">
        <v>8228000</v>
      </c>
      <c r="I94" s="98">
        <v>7166322.5806451617</v>
      </c>
      <c r="J94" s="98">
        <v>7064868.8599995207</v>
      </c>
      <c r="K94" s="118">
        <v>0.98584298718011276</v>
      </c>
      <c r="L94" s="37"/>
      <c r="M94" s="98">
        <v>1301569.1825819584</v>
      </c>
      <c r="N94" s="98">
        <v>1133624.7719262214</v>
      </c>
      <c r="O94" s="98">
        <v>35737.05999999999</v>
      </c>
      <c r="P94" s="98">
        <v>1087606.7360999999</v>
      </c>
      <c r="Q94" s="118">
        <v>0.95940628948322193</v>
      </c>
      <c r="R94" s="101"/>
      <c r="S94" s="135">
        <v>0.15818779564681068</v>
      </c>
      <c r="T94" s="135">
        <v>0.15394577842172058</v>
      </c>
      <c r="U94" s="103"/>
      <c r="V94" s="104">
        <v>0</v>
      </c>
      <c r="W94" s="108">
        <v>2.4129241388287386</v>
      </c>
      <c r="X94" s="105" t="s">
        <v>73</v>
      </c>
      <c r="Y94" s="103"/>
      <c r="Z94" s="106"/>
      <c r="AA94" s="98">
        <v>265419.35483870964</v>
      </c>
      <c r="AB94" s="98">
        <v>472492.56000000151</v>
      </c>
      <c r="AC94" s="103"/>
      <c r="AD94" s="98">
        <v>41986.102663934129</v>
      </c>
      <c r="AE94" s="98">
        <v>36962.865189999982</v>
      </c>
      <c r="AF94" s="118">
        <v>0.88035952005021212</v>
      </c>
      <c r="AG94" s="103"/>
      <c r="AH94" s="98">
        <v>40281.730966666662</v>
      </c>
      <c r="AI94" s="98">
        <v>1248733.6599666665</v>
      </c>
      <c r="AJ94" s="118">
        <v>0.9594062894832216</v>
      </c>
      <c r="AK94" s="103"/>
      <c r="AL94" s="107">
        <v>0.15818779564681068</v>
      </c>
      <c r="AM94" s="102">
        <v>7.8229517920874486E-2</v>
      </c>
      <c r="AN94" s="103"/>
      <c r="AO94" s="108">
        <v>-4.3235738590250747</v>
      </c>
      <c r="AP94" s="100">
        <v>0</v>
      </c>
    </row>
    <row r="95" spans="1:49" ht="12.75" customHeight="1" x14ac:dyDescent="0.3">
      <c r="B95" s="246"/>
      <c r="C95" s="99" t="s">
        <v>12</v>
      </c>
      <c r="D95" s="35"/>
      <c r="E95" s="98">
        <v>544794.33999999985</v>
      </c>
      <c r="F95" s="132">
        <v>0.16508919393939389</v>
      </c>
      <c r="G95" s="35"/>
      <c r="H95" s="98">
        <v>3300000</v>
      </c>
      <c r="I95" s="98">
        <v>2919230.769230769</v>
      </c>
      <c r="J95" s="98">
        <v>3277316.659999996</v>
      </c>
      <c r="K95" s="118">
        <v>1.1226644685111977</v>
      </c>
      <c r="L95" s="37"/>
      <c r="M95" s="98">
        <v>555198.5430327655</v>
      </c>
      <c r="N95" s="98">
        <v>491137.17268283112</v>
      </c>
      <c r="O95" s="98">
        <v>134148.62</v>
      </c>
      <c r="P95" s="98">
        <v>508966.70999999979</v>
      </c>
      <c r="Q95" s="118">
        <v>1.0363025612982519</v>
      </c>
      <c r="R95" s="101"/>
      <c r="S95" s="135">
        <v>0.16824198273720167</v>
      </c>
      <c r="T95" s="135">
        <v>0.15529982690168256</v>
      </c>
      <c r="U95" s="103"/>
      <c r="V95" s="104">
        <v>0</v>
      </c>
      <c r="W95" s="108">
        <v>-4.6418584403743504</v>
      </c>
      <c r="X95" s="105" t="s">
        <v>73</v>
      </c>
      <c r="Y95" s="103"/>
      <c r="Z95" s="106"/>
      <c r="AA95" s="98">
        <v>126923.07692307692</v>
      </c>
      <c r="AB95" s="98">
        <v>129192.49</v>
      </c>
      <c r="AC95" s="103"/>
      <c r="AD95" s="98">
        <v>21353.790116644828</v>
      </c>
      <c r="AE95" s="98">
        <v>21871.099999999995</v>
      </c>
      <c r="AF95" s="118">
        <v>1.0242256705029584</v>
      </c>
      <c r="AG95" s="103"/>
      <c r="AH95" s="98">
        <v>22128.987391304338</v>
      </c>
      <c r="AI95" s="98">
        <v>575353.67217391252</v>
      </c>
      <c r="AJ95" s="118">
        <v>1.0363025612982517</v>
      </c>
      <c r="AK95" s="103"/>
      <c r="AL95" s="107">
        <v>0.16824198273720167</v>
      </c>
      <c r="AM95" s="102">
        <v>0.16929080010765327</v>
      </c>
      <c r="AN95" s="103"/>
      <c r="AO95" s="108">
        <v>-1.7171508963098314</v>
      </c>
      <c r="AP95" s="100">
        <v>0</v>
      </c>
    </row>
    <row r="96" spans="1:49" ht="4.25" customHeight="1" x14ac:dyDescent="0.3">
      <c r="B96" s="246"/>
      <c r="D96" s="35"/>
      <c r="E96" s="48"/>
      <c r="F96" s="131"/>
      <c r="G96" s="35"/>
      <c r="H96" s="48"/>
      <c r="I96" s="48"/>
      <c r="J96" s="49"/>
      <c r="K96" s="52"/>
      <c r="L96" s="35"/>
      <c r="M96" s="48"/>
      <c r="N96" s="49"/>
      <c r="O96" s="52"/>
      <c r="P96" s="49"/>
      <c r="Q96" s="48"/>
      <c r="R96" s="35"/>
      <c r="S96" s="52"/>
      <c r="T96" s="52"/>
      <c r="U96" s="35"/>
      <c r="V96" s="51"/>
      <c r="W96" s="53"/>
      <c r="X96" s="49"/>
      <c r="Y96" s="35"/>
      <c r="Z96" s="65"/>
      <c r="AA96" s="48"/>
      <c r="AB96" s="48"/>
      <c r="AC96" s="37"/>
      <c r="AD96" s="49"/>
      <c r="AE96" s="49"/>
      <c r="AF96" s="48"/>
      <c r="AG96" s="37"/>
      <c r="AH96" s="49"/>
      <c r="AI96" s="49"/>
      <c r="AJ96" s="48"/>
      <c r="AK96" s="37"/>
      <c r="AL96" s="50"/>
      <c r="AM96" s="54"/>
      <c r="AN96" s="37"/>
      <c r="AO96" s="53"/>
      <c r="AP96" s="48"/>
    </row>
    <row r="97" spans="1:49" s="16" customFormat="1" ht="14.25" customHeight="1" x14ac:dyDescent="0.3">
      <c r="A97" s="27"/>
      <c r="B97" s="246"/>
      <c r="C97" s="99" t="s">
        <v>7</v>
      </c>
      <c r="D97" s="29"/>
      <c r="E97" s="98">
        <v>18440592.079999998</v>
      </c>
      <c r="F97" s="132">
        <v>0.83193143011819892</v>
      </c>
      <c r="G97" s="29"/>
      <c r="H97" s="98">
        <v>22166000</v>
      </c>
      <c r="I97" s="98">
        <v>19423308.933002483</v>
      </c>
      <c r="J97" s="98">
        <v>19843409.739999253</v>
      </c>
      <c r="K97" s="45">
        <v>1.0216286940832706</v>
      </c>
      <c r="L97" s="40"/>
      <c r="M97" s="98">
        <v>3204709.643526521</v>
      </c>
      <c r="N97" s="98">
        <v>2806013.3940038867</v>
      </c>
      <c r="O97" s="98">
        <v>198427.36</v>
      </c>
      <c r="P97" s="98">
        <v>2781361.0223700013</v>
      </c>
      <c r="Q97" s="45">
        <v>0.99121444976472151</v>
      </c>
      <c r="R97" s="40"/>
      <c r="S97" s="135">
        <v>0.14457771557910859</v>
      </c>
      <c r="T97" s="135">
        <v>0.14016547855500291</v>
      </c>
      <c r="U97" s="46"/>
      <c r="V97" s="44">
        <v>0</v>
      </c>
      <c r="W97" s="47">
        <v>-0.43153277966204945</v>
      </c>
      <c r="X97" s="86" t="s">
        <v>73</v>
      </c>
      <c r="Y97" s="46"/>
      <c r="Z97" s="65"/>
      <c r="AA97" s="98">
        <v>768413.15136476408</v>
      </c>
      <c r="AB97" s="98">
        <v>1186963.6800000025</v>
      </c>
      <c r="AC97" s="103"/>
      <c r="AD97" s="98">
        <v>110111.672355759</v>
      </c>
      <c r="AE97" s="98">
        <v>101754.54182999997</v>
      </c>
      <c r="AF97" s="118">
        <v>0.92410313687037615</v>
      </c>
      <c r="AG97" s="103"/>
      <c r="AH97" s="98">
        <v>109547.74116288251</v>
      </c>
      <c r="AI97" s="98">
        <v>3175444.9897645749</v>
      </c>
      <c r="AJ97" s="118">
        <v>0.99086823549800829</v>
      </c>
      <c r="AK97" s="103"/>
      <c r="AL97" s="107">
        <v>0.14457771557910859</v>
      </c>
      <c r="AM97" s="102">
        <v>8.5726752675363879E-2</v>
      </c>
      <c r="AN97" s="103"/>
      <c r="AO97" s="108">
        <v>-4.7667606956598254</v>
      </c>
      <c r="AP97" s="43">
        <v>0</v>
      </c>
      <c r="AQ97" s="11"/>
      <c r="AR97" s="11"/>
      <c r="AS97" s="11"/>
      <c r="AT97" s="11"/>
      <c r="AU97" s="11"/>
      <c r="AV97" s="11"/>
      <c r="AW97" s="11"/>
    </row>
    <row r="98" spans="1:49" ht="14.5" x14ac:dyDescent="0.35">
      <c r="D98" s="56"/>
      <c r="E98" s="55"/>
      <c r="F98" s="124"/>
      <c r="G98" s="56"/>
      <c r="H98" s="57"/>
      <c r="I98" s="49"/>
      <c r="J98" s="57"/>
      <c r="K98" s="52"/>
      <c r="L98" s="35"/>
      <c r="M98" s="57"/>
      <c r="N98" s="49"/>
      <c r="O98" s="49"/>
      <c r="P98" s="49"/>
      <c r="Q98" s="48"/>
      <c r="R98" s="35"/>
      <c r="S98" s="50"/>
      <c r="T98" s="50"/>
      <c r="U98" s="35"/>
      <c r="V98" s="51"/>
      <c r="W98" s="51"/>
      <c r="X98" s="49"/>
      <c r="Y98" s="35"/>
      <c r="Z98" s="66"/>
      <c r="AA98" s="48"/>
      <c r="AB98" s="48"/>
      <c r="AC98" s="37"/>
      <c r="AD98" s="49"/>
      <c r="AE98" s="49"/>
      <c r="AF98" s="48"/>
      <c r="AG98" s="37"/>
      <c r="AH98" s="49"/>
      <c r="AI98" s="49"/>
      <c r="AJ98" s="48"/>
      <c r="AK98" s="37"/>
      <c r="AL98" s="50"/>
      <c r="AM98" s="54"/>
      <c r="AN98" s="37"/>
      <c r="AO98" s="53"/>
      <c r="AP98" s="48"/>
    </row>
    <row r="99" spans="1:49" ht="14.5" x14ac:dyDescent="0.35">
      <c r="D99" s="56"/>
      <c r="E99" s="55"/>
      <c r="F99" s="124"/>
      <c r="G99" s="56"/>
      <c r="H99" s="49"/>
      <c r="I99" s="57"/>
      <c r="J99" s="57"/>
      <c r="K99" s="52"/>
      <c r="L99" s="35"/>
      <c r="M99" s="57"/>
      <c r="N99" s="57"/>
      <c r="O99" s="57"/>
      <c r="P99" s="57"/>
      <c r="Q99" s="48"/>
      <c r="R99" s="35"/>
      <c r="S99" s="50"/>
      <c r="T99" s="50"/>
      <c r="U99" s="35"/>
      <c r="V99" s="51"/>
      <c r="W99" s="51"/>
      <c r="X99" s="49"/>
      <c r="Y99" s="35"/>
      <c r="Z99" s="66"/>
      <c r="AA99" s="61"/>
      <c r="AB99" s="61"/>
      <c r="AC99" s="37"/>
      <c r="AD99" s="57"/>
      <c r="AE99" s="57"/>
      <c r="AF99" s="48"/>
      <c r="AG99" s="37"/>
      <c r="AH99" s="57"/>
      <c r="AI99" s="57"/>
      <c r="AJ99" s="61"/>
      <c r="AK99" s="37"/>
      <c r="AL99" s="50"/>
      <c r="AM99" s="54"/>
      <c r="AN99" s="37"/>
      <c r="AO99" s="53"/>
      <c r="AP99" s="48"/>
      <c r="AQ99" s="12"/>
    </row>
    <row r="100" spans="1:49" ht="14.5" x14ac:dyDescent="0.35">
      <c r="D100" s="56"/>
      <c r="E100" s="55"/>
      <c r="F100" s="124"/>
      <c r="G100" s="56"/>
      <c r="H100" s="49"/>
      <c r="I100" s="57"/>
      <c r="J100" s="57"/>
      <c r="K100" s="52"/>
      <c r="L100" s="35"/>
      <c r="M100" s="57"/>
      <c r="N100" s="57"/>
      <c r="O100" s="57"/>
      <c r="P100" s="57"/>
      <c r="Q100" s="48"/>
      <c r="R100" s="35"/>
      <c r="S100" s="50"/>
      <c r="T100" s="50"/>
      <c r="U100" s="35"/>
      <c r="V100" s="51"/>
      <c r="W100" s="51"/>
      <c r="X100" s="49"/>
      <c r="Y100" s="35"/>
      <c r="Z100" s="66"/>
      <c r="AA100" s="61"/>
      <c r="AB100" s="61"/>
      <c r="AC100" s="37"/>
      <c r="AD100" s="57"/>
      <c r="AE100" s="57"/>
      <c r="AF100" s="48"/>
      <c r="AG100" s="37"/>
      <c r="AH100" s="57"/>
      <c r="AI100" s="57"/>
      <c r="AJ100" s="61"/>
      <c r="AK100" s="37"/>
      <c r="AL100" s="50"/>
      <c r="AM100" s="54"/>
      <c r="AN100" s="37"/>
      <c r="AO100" s="53"/>
      <c r="AP100" s="48"/>
      <c r="AQ100" s="12"/>
    </row>
    <row r="101" spans="1:49" ht="14.5" x14ac:dyDescent="0.35">
      <c r="D101" s="56"/>
      <c r="E101" s="55"/>
      <c r="F101" s="124"/>
      <c r="G101" s="56"/>
      <c r="H101" s="49"/>
      <c r="I101" s="49"/>
      <c r="J101" s="57"/>
      <c r="K101" s="52"/>
      <c r="L101" s="35"/>
      <c r="M101" s="57"/>
      <c r="N101" s="57"/>
      <c r="O101" s="57"/>
      <c r="P101" s="57"/>
      <c r="Q101" s="48"/>
      <c r="R101" s="35"/>
      <c r="S101" s="50"/>
      <c r="T101" s="50"/>
      <c r="U101" s="35"/>
      <c r="V101" s="51"/>
      <c r="W101" s="51"/>
      <c r="X101" s="49"/>
      <c r="Y101" s="35"/>
      <c r="Z101" s="66"/>
      <c r="AA101" s="61"/>
      <c r="AB101" s="61"/>
      <c r="AC101" s="37"/>
      <c r="AD101" s="57"/>
      <c r="AE101" s="57"/>
      <c r="AF101" s="48"/>
      <c r="AG101" s="37"/>
      <c r="AH101" s="57"/>
      <c r="AI101" s="57"/>
      <c r="AJ101" s="61"/>
      <c r="AK101" s="37"/>
      <c r="AL101" s="50"/>
      <c r="AM101" s="54"/>
      <c r="AN101" s="37"/>
      <c r="AO101" s="53"/>
      <c r="AP101" s="48"/>
      <c r="AQ101" s="12"/>
    </row>
    <row r="102" spans="1:49" ht="14.5" x14ac:dyDescent="0.35">
      <c r="D102" s="56"/>
      <c r="E102" s="55"/>
      <c r="F102" s="124"/>
      <c r="G102" s="56"/>
      <c r="H102" s="49"/>
      <c r="I102" s="49"/>
      <c r="J102" s="57"/>
      <c r="K102" s="52"/>
      <c r="L102" s="35"/>
      <c r="M102" s="57"/>
      <c r="N102" s="57"/>
      <c r="O102" s="57"/>
      <c r="P102" s="57"/>
      <c r="Q102" s="48"/>
      <c r="R102" s="35"/>
      <c r="S102" s="50"/>
      <c r="T102" s="50"/>
      <c r="U102" s="35"/>
      <c r="V102" s="51"/>
      <c r="W102" s="51"/>
      <c r="X102" s="49"/>
      <c r="Y102" s="35"/>
      <c r="Z102" s="66"/>
      <c r="AA102" s="61"/>
      <c r="AB102" s="61"/>
      <c r="AC102" s="37"/>
      <c r="AD102" s="57"/>
      <c r="AE102" s="57"/>
      <c r="AF102" s="48"/>
      <c r="AG102" s="37"/>
      <c r="AH102" s="57"/>
      <c r="AI102" s="57"/>
      <c r="AJ102" s="61"/>
      <c r="AK102" s="37"/>
      <c r="AL102" s="50"/>
      <c r="AM102" s="54"/>
      <c r="AN102" s="37"/>
      <c r="AO102" s="53"/>
      <c r="AP102" s="48"/>
      <c r="AQ102" s="12"/>
    </row>
    <row r="103" spans="1:49" ht="14.5" x14ac:dyDescent="0.35">
      <c r="D103" s="56"/>
      <c r="E103" s="55"/>
      <c r="F103" s="124"/>
      <c r="G103" s="56"/>
      <c r="H103" s="49"/>
      <c r="I103" s="49"/>
      <c r="J103" s="57"/>
      <c r="K103" s="52"/>
      <c r="L103" s="35"/>
      <c r="M103" s="57"/>
      <c r="N103" s="57"/>
      <c r="O103" s="57"/>
      <c r="P103" s="57"/>
      <c r="Q103" s="48"/>
      <c r="R103" s="35"/>
      <c r="S103" s="50"/>
      <c r="T103" s="50"/>
      <c r="U103" s="35"/>
      <c r="V103" s="51"/>
      <c r="W103" s="51"/>
      <c r="X103" s="49"/>
      <c r="Y103" s="35"/>
      <c r="Z103" s="66"/>
      <c r="AA103" s="61"/>
      <c r="AB103" s="61"/>
      <c r="AC103" s="37"/>
      <c r="AD103" s="57"/>
      <c r="AE103" s="57"/>
      <c r="AF103" s="48"/>
      <c r="AG103" s="37"/>
      <c r="AH103" s="57"/>
      <c r="AI103" s="57"/>
      <c r="AJ103" s="61"/>
      <c r="AK103" s="37"/>
      <c r="AL103" s="50"/>
      <c r="AM103" s="54"/>
      <c r="AN103" s="37"/>
      <c r="AO103" s="53"/>
      <c r="AP103" s="48"/>
      <c r="AQ103" s="12"/>
    </row>
    <row r="104" spans="1:49" ht="14.5" x14ac:dyDescent="0.35">
      <c r="D104" s="56"/>
      <c r="E104" s="55"/>
      <c r="F104" s="124"/>
      <c r="G104" s="56"/>
      <c r="H104" s="49"/>
      <c r="I104" s="49"/>
      <c r="J104" s="57"/>
      <c r="K104" s="52"/>
      <c r="L104" s="35"/>
      <c r="M104" s="57"/>
      <c r="N104" s="57"/>
      <c r="O104" s="57"/>
      <c r="P104" s="57"/>
      <c r="Q104" s="48"/>
      <c r="R104" s="35"/>
      <c r="S104" s="50"/>
      <c r="T104" s="50"/>
      <c r="U104" s="35"/>
      <c r="V104" s="51"/>
      <c r="W104" s="51"/>
      <c r="X104" s="49"/>
      <c r="Y104" s="35"/>
      <c r="Z104" s="66"/>
      <c r="AA104" s="61"/>
      <c r="AB104" s="61"/>
      <c r="AC104" s="37"/>
      <c r="AD104" s="57"/>
      <c r="AE104" s="57"/>
      <c r="AF104" s="48"/>
      <c r="AG104" s="37"/>
      <c r="AH104" s="57"/>
      <c r="AI104" s="57"/>
      <c r="AJ104" s="61"/>
      <c r="AK104" s="37"/>
      <c r="AL104" s="50"/>
      <c r="AM104" s="54"/>
      <c r="AN104" s="37"/>
      <c r="AO104" s="53"/>
      <c r="AP104" s="48"/>
      <c r="AQ104" s="12"/>
    </row>
    <row r="105" spans="1:49" ht="14.5" x14ac:dyDescent="0.35">
      <c r="D105" s="56"/>
      <c r="E105" s="55"/>
      <c r="F105" s="124"/>
      <c r="G105" s="56"/>
      <c r="H105" s="49"/>
      <c r="I105" s="49"/>
      <c r="J105" s="57"/>
      <c r="K105" s="52"/>
      <c r="L105" s="35"/>
      <c r="M105" s="57"/>
      <c r="N105" s="57"/>
      <c r="O105" s="57"/>
      <c r="P105" s="57"/>
      <c r="Q105" s="48"/>
      <c r="R105" s="35"/>
      <c r="S105" s="50"/>
      <c r="T105" s="50"/>
      <c r="U105" s="35"/>
      <c r="V105" s="51"/>
      <c r="W105" s="51"/>
      <c r="X105" s="49"/>
      <c r="Y105" s="35"/>
      <c r="Z105" s="66"/>
      <c r="AA105" s="61"/>
      <c r="AB105" s="61"/>
      <c r="AC105" s="37"/>
      <c r="AD105" s="57"/>
      <c r="AE105" s="57"/>
      <c r="AF105" s="48"/>
      <c r="AG105" s="37"/>
      <c r="AH105" s="57"/>
      <c r="AI105" s="57"/>
      <c r="AJ105" s="61"/>
      <c r="AK105" s="37"/>
      <c r="AL105" s="50"/>
      <c r="AM105" s="54"/>
      <c r="AN105" s="37"/>
      <c r="AO105" s="53"/>
      <c r="AP105" s="48"/>
      <c r="AQ105" s="12"/>
    </row>
    <row r="106" spans="1:49" ht="14.5" x14ac:dyDescent="0.35">
      <c r="D106" s="56"/>
      <c r="E106" s="55"/>
      <c r="F106" s="124"/>
      <c r="G106" s="56"/>
      <c r="H106" s="49"/>
      <c r="I106" s="49"/>
      <c r="J106" s="57"/>
      <c r="K106" s="52"/>
      <c r="L106" s="35"/>
      <c r="M106" s="57"/>
      <c r="N106" s="57"/>
      <c r="O106" s="57"/>
      <c r="P106" s="57"/>
      <c r="Q106" s="48"/>
      <c r="R106" s="35"/>
      <c r="S106" s="50"/>
      <c r="T106" s="50"/>
      <c r="U106" s="35"/>
      <c r="V106" s="51"/>
      <c r="W106" s="51"/>
      <c r="X106" s="49"/>
      <c r="Y106" s="35"/>
      <c r="Z106" s="66"/>
      <c r="AA106" s="61"/>
      <c r="AB106" s="61"/>
      <c r="AC106" s="37"/>
      <c r="AD106" s="57"/>
      <c r="AE106" s="57"/>
      <c r="AF106" s="48"/>
      <c r="AG106" s="37"/>
      <c r="AH106" s="57"/>
      <c r="AI106" s="57"/>
      <c r="AJ106" s="61"/>
      <c r="AK106" s="37"/>
      <c r="AL106" s="50"/>
      <c r="AM106" s="54"/>
      <c r="AN106" s="37"/>
      <c r="AO106" s="53"/>
      <c r="AP106" s="48"/>
      <c r="AQ106" s="12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3" operator="between">
      <formula>0.1</formula>
      <formula>0.79</formula>
    </cfRule>
    <cfRule type="cellIs" dxfId="130" priority="1191" operator="greaterThanOrEqual">
      <formula>0.91</formula>
    </cfRule>
    <cfRule type="cellIs" dxfId="129" priority="1192" operator="between">
      <formula>0.71</formula>
      <formula>0.9</formula>
    </cfRule>
  </conditionalFormatting>
  <conditionalFormatting sqref="F8:F12 F14:F18 F20:F24 F26:F30 F32:F36 F38:F42 F44:F48 F50:F54 F56:F60 F62:F66 F68:F72 F74:F78 F80:F84 F86:F90 F92:F95 F97">
    <cfRule type="cellIs" dxfId="128" priority="1177" operator="between">
      <formula>0.0001</formula>
      <formula>0.79</formula>
    </cfRule>
    <cfRule type="cellIs" dxfId="127" priority="1175" operator="greaterThanOrEqual">
      <formula>0.9</formula>
    </cfRule>
    <cfRule type="cellIs" dxfId="126" priority="1176" operator="between">
      <formula>0.79</formula>
      <formula>0.9</formula>
    </cfRule>
  </conditionalFormatting>
  <conditionalFormatting sqref="F13 F19 F25 F31 F37 F43 F49 F55 F61 F67 F79 F91 F98:F1048576">
    <cfRule type="cellIs" dxfId="125" priority="1200" operator="between">
      <formula>0.1</formula>
      <formula>0.79</formula>
    </cfRule>
    <cfRule type="cellIs" dxfId="124" priority="1199" operator="between">
      <formula>0.71</formula>
      <formula>0.9</formula>
    </cfRule>
    <cfRule type="cellIs" dxfId="123" priority="1198" operator="greaterThanOrEqual">
      <formula>0.91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1" operator="between">
      <formula>0.71</formula>
      <formula>0.9</formula>
    </cfRule>
    <cfRule type="cellIs" dxfId="115" priority="90" operator="greaterThanOrEqual">
      <formula>0.91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6" operator="lessThan">
      <formula>0.9</formula>
    </cfRule>
    <cfRule type="cellIs" dxfId="111" priority="1195" operator="between">
      <formula>0.9001</formula>
      <formula>0.9999</formula>
    </cfRule>
  </conditionalFormatting>
  <conditionalFormatting sqref="K8:K12 K14:K18 K20:K24 K26:K30 K32:K36 K38:K42 K44:K48 K50:K54 K56:K60 K62:K66 K68:K72 K74:K78 K80:K84 K86:K90">
    <cfRule type="cellIs" dxfId="110" priority="1190" operator="greaterThanOrEqual">
      <formula>1</formula>
    </cfRule>
    <cfRule type="cellIs" dxfId="109" priority="1189" operator="between">
      <formula>0.86</formula>
      <formula>0.9999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3" operator="lessThan">
      <formula>0.9</formula>
    </cfRule>
    <cfRule type="cellIs" dxfId="106" priority="1202" operator="between">
      <formula>0.9001</formula>
      <formula>0.9999</formula>
    </cfRule>
    <cfRule type="cellIs" dxfId="105" priority="1201" operator="greaterThanOrEqual">
      <formula>1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5" operator="between">
      <formula>0.9001</formula>
      <formula>0.9999</formula>
    </cfRule>
    <cfRule type="cellIs" dxfId="100" priority="226" operator="lessThan">
      <formula>0.9</formula>
    </cfRule>
    <cfRule type="cellIs" dxfId="99" priority="224" operator="greaterThanOrEqual">
      <formula>1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73" operator="between">
      <formula>0.86</formula>
      <formula>0.9999</formula>
    </cfRule>
    <cfRule type="cellIs" dxfId="91" priority="1068" operator="greaterThanOrEqual">
      <formula>1</formula>
    </cfRule>
  </conditionalFormatting>
  <conditionalFormatting sqref="S7:T7">
    <cfRule type="cellIs" dxfId="90" priority="1070" operator="between">
      <formula>0.9001</formula>
      <formula>0.9999</formula>
    </cfRule>
    <cfRule type="cellIs" dxfId="89" priority="1069" operator="greaterThanOrEqual">
      <formula>1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9" operator="between">
      <formula>0.9001</formula>
      <formula>0.9999</formula>
    </cfRule>
    <cfRule type="cellIs" dxfId="83" priority="10" operator="lessThan">
      <formula>0.9</formula>
    </cfRule>
    <cfRule type="cellIs" dxfId="82" priority="8" operator="greaterThanOrEqual">
      <formula>1</formula>
    </cfRule>
  </conditionalFormatting>
  <conditionalFormatting sqref="S85:T85">
    <cfRule type="cellIs" dxfId="81" priority="220" operator="lessThan">
      <formula>0.9</formula>
    </cfRule>
    <cfRule type="cellIs" dxfId="80" priority="219" operator="between">
      <formula>0.9001</formula>
      <formula>0.9999</formula>
    </cfRule>
    <cfRule type="cellIs" dxfId="79" priority="218" operator="greaterThanOrEqual">
      <formula>1</formula>
    </cfRule>
  </conditionalFormatting>
  <conditionalFormatting sqref="S96:T96">
    <cfRule type="cellIs" dxfId="78" priority="89" operator="lessThan">
      <formula>0.9</formula>
    </cfRule>
    <cfRule type="cellIs" dxfId="77" priority="87" operator="greaterThanOrEqual">
      <formula>1</formula>
    </cfRule>
    <cfRule type="cellIs" dxfId="76" priority="88" operator="between">
      <formula>0.9001</formula>
      <formula>0.9999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5" operator="between">
      <formula>0.86</formula>
      <formula>0.9999</formula>
    </cfRule>
    <cfRule type="cellIs" dxfId="69" priority="54" operator="lessThanOrEqual">
      <formula>0.85</formula>
    </cfRule>
  </conditionalFormatting>
  <conditionalFormatting sqref="X26:X30">
    <cfRule type="cellIs" dxfId="68" priority="79" operator="between">
      <formula>0.86</formula>
      <formula>0.9999</formula>
    </cfRule>
    <cfRule type="cellIs" dxfId="67" priority="78" operator="lessThanOrEqual">
      <formula>0.85</formula>
    </cfRule>
  </conditionalFormatting>
  <conditionalFormatting sqref="X32:X36">
    <cfRule type="cellIs" dxfId="66" priority="75" operator="between">
      <formula>0.86</formula>
      <formula>0.9999</formula>
    </cfRule>
    <cfRule type="cellIs" dxfId="65" priority="74" operator="lessThanOrEqual">
      <formula>0.85</formula>
    </cfRule>
  </conditionalFormatting>
  <conditionalFormatting sqref="X38:X42">
    <cfRule type="cellIs" dxfId="64" priority="71" operator="between">
      <formula>0.86</formula>
      <formula>0.9999</formula>
    </cfRule>
    <cfRule type="cellIs" dxfId="63" priority="70" operator="lessThanOrEqual">
      <formula>0.85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1" operator="between">
      <formula>0.86</formula>
      <formula>0.9999</formula>
    </cfRule>
    <cfRule type="cellIs" dxfId="59" priority="50" operator="lessThanOrEqual">
      <formula>0.85</formula>
    </cfRule>
  </conditionalFormatting>
  <conditionalFormatting sqref="X56:X60">
    <cfRule type="cellIs" dxfId="58" priority="63" operator="between">
      <formula>0.86</formula>
      <formula>0.9999</formula>
    </cfRule>
    <cfRule type="cellIs" dxfId="57" priority="62" operator="lessThanOrEqual">
      <formula>0.85</formula>
    </cfRule>
  </conditionalFormatting>
  <conditionalFormatting sqref="X62:X66">
    <cfRule type="cellIs" dxfId="56" priority="47" operator="between">
      <formula>0.86</formula>
      <formula>0.9999</formula>
    </cfRule>
    <cfRule type="cellIs" dxfId="55" priority="46" operator="lessThanOrEqual">
      <formula>0.85</formula>
    </cfRule>
  </conditionalFormatting>
  <conditionalFormatting sqref="X68:X72">
    <cfRule type="cellIs" dxfId="54" priority="59" operator="between">
      <formula>0.86</formula>
      <formula>0.9999</formula>
    </cfRule>
    <cfRule type="cellIs" dxfId="53" priority="58" operator="lessThanOrEqual">
      <formula>0.85</formula>
    </cfRule>
  </conditionalFormatting>
  <conditionalFormatting sqref="X74:X78">
    <cfRule type="cellIs" dxfId="52" priority="7" operator="between">
      <formula>0.86</formula>
      <formula>0.9999</formula>
    </cfRule>
    <cfRule type="cellIs" dxfId="51" priority="6" operator="lessThanOrEqual">
      <formula>0.85</formula>
    </cfRule>
  </conditionalFormatting>
  <conditionalFormatting sqref="X80:X84 X86:X90">
    <cfRule type="cellIs" dxfId="50" priority="169" operator="between">
      <formula>0.86</formula>
      <formula>0.9999</formula>
    </cfRule>
    <cfRule type="cellIs" dxfId="49" priority="168" operator="lessThanOrEqual">
      <formula>0.85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3" operator="lessThan">
      <formula>0.9</formula>
    </cfRule>
    <cfRule type="cellIs" dxfId="46" priority="391" operator="greaterThanOrEqual">
      <formula>1</formula>
    </cfRule>
    <cfRule type="cellIs" dxfId="45" priority="392" operator="between">
      <formula>0.9001</formula>
      <formula>0.9999</formula>
    </cfRule>
  </conditionalFormatting>
  <conditionalFormatting sqref="AL13 AL19 AL25 AL31 AL37 AL43 AL49 AL55 AL61 AL67 AL79 AL91">
    <cfRule type="cellIs" dxfId="44" priority="165" operator="lessThan">
      <formula>0.9</formula>
    </cfRule>
    <cfRule type="cellIs" dxfId="43" priority="163" operator="greaterThanOrEqual">
      <formula>1</formula>
    </cfRule>
    <cfRule type="cellIs" dxfId="42" priority="164" operator="between">
      <formula>0.9001</formula>
      <formula>0.9999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2" operator="lessThan">
      <formula>0.9</formula>
    </cfRule>
    <cfRule type="cellIs" dxfId="37" priority="161" operator="between">
      <formula>0.9001</formula>
      <formula>0.9999</formula>
    </cfRule>
    <cfRule type="cellIs" dxfId="36" priority="160" operator="greaterThanOrEqual">
      <formula>1</formula>
    </cfRule>
  </conditionalFormatting>
  <conditionalFormatting sqref="AL96">
    <cfRule type="cellIs" dxfId="35" priority="86" operator="lessThan">
      <formula>0.9</formula>
    </cfRule>
    <cfRule type="cellIs" dxfId="34" priority="85" operator="between">
      <formula>0.9001</formula>
      <formula>0.9999</formula>
    </cfRule>
    <cfRule type="cellIs" dxfId="33" priority="84" operator="greaterThanOrEqual">
      <formula>1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9" operator="between">
      <formula>0.86</formula>
      <formula>0.9999</formula>
    </cfRule>
    <cfRule type="cellIs" dxfId="28" priority="158" operator="lessThanOrEqual">
      <formula>0.85</formula>
    </cfRule>
  </conditionalFormatting>
  <conditionalFormatting sqref="AP14:AP18">
    <cfRule type="cellIs" dxfId="27" priority="81" operator="between">
      <formula>0.86</formula>
      <formula>0.9999</formula>
    </cfRule>
    <cfRule type="cellIs" dxfId="26" priority="80" operator="lessThanOrEqual">
      <formula>0.85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7" operator="between">
      <formula>0.86</formula>
      <formula>0.9999</formula>
    </cfRule>
    <cfRule type="cellIs" dxfId="22" priority="76" operator="lessThanOrEqual">
      <formula>0.85</formula>
    </cfRule>
  </conditionalFormatting>
  <conditionalFormatting sqref="AP32:AP36">
    <cfRule type="cellIs" dxfId="21" priority="73" operator="between">
      <formula>0.86</formula>
      <formula>0.9999</formula>
    </cfRule>
    <cfRule type="cellIs" dxfId="20" priority="72" operator="lessThanOrEqual">
      <formula>0.85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5" operator="between">
      <formula>0.86</formula>
      <formula>0.9999</formula>
    </cfRule>
    <cfRule type="cellIs" dxfId="16" priority="64" operator="lessThanOrEqual">
      <formula>0.85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5" operator="between">
      <formula>0.86</formula>
      <formula>0.9999</formula>
    </cfRule>
    <cfRule type="cellIs" dxfId="10" priority="44" operator="lessThanOrEqual">
      <formula>0.85</formula>
    </cfRule>
  </conditionalFormatting>
  <conditionalFormatting sqref="AP68:AP72">
    <cfRule type="cellIs" dxfId="9" priority="57" operator="between">
      <formula>0.86</formula>
      <formula>0.9999</formula>
    </cfRule>
    <cfRule type="cellIs" dxfId="8" priority="56" operator="lessThanOrEqual">
      <formula>0.85</formula>
    </cfRule>
  </conditionalFormatting>
  <conditionalFormatting sqref="AP74:AP78">
    <cfRule type="cellIs" dxfId="7" priority="2" operator="between">
      <formula>0.86</formula>
      <formula>0.9999</formula>
    </cfRule>
    <cfRule type="cellIs" dxfId="6" priority="1" operator="lessThanOrEqual">
      <formula>0.85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1" operator="between">
      <formula>0.86</formula>
      <formula>0.9999</formula>
    </cfRule>
    <cfRule type="cellIs" dxfId="0" priority="230" operator="lessThanOrEqual">
      <formula>0.85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2026-08-27T12:35:48Z</cp:lastPrinted>
  <dcterms:created xsi:type="dcterms:W3CDTF">2013-12-24T17:42:15Z</dcterms:created>
  <dcterms:modified xsi:type="dcterms:W3CDTF">2026-08-28T13:35:21Z</dcterms:modified>
</cp:coreProperties>
</file>