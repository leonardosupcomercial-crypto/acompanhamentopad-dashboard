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8. AGOST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<sst xmlns="http://schemas.openxmlformats.org/spreadsheetml/2006/main" count="325" uniqueCount="84">
  <si>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</si>
  <si>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</si>
  <si>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</si>
  <si>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</si>
  <si>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</si>
  <si>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</si>
  <si>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</si>
  <si>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</si>
  <si>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</si>
  <si>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</si>
  <si>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</si>
  <si>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</si>
  <si>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</si>
  <si>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</si>
  <si>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</si>
  <si>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</si>
  <si>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</si>
  <si>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</si>
  <si>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</si>
  <si>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</si>
  <si>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</si>
  <si>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</si>
  <si>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</si>
  <si>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</si>
  <si>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</si>
  <si>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</si>
  <si>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</si>
  <si>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</si>
  <si>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</si>
  <si>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</si>
  <si>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</si>
  <si>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</si>
  <si>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</si>
  <si>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</si>
  <si>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</si>
  <si>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</si>
  <si>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</si>
  <si>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</si>
  <si>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</si>
  <si>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</si>
  <si>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</si>
  <si>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</si>
  <si>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</si>
  <si>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</si>
  <si>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</si>
  <si>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</si>
  <si>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</si>
  <si>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</si>
  <si>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</si>
  <si>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</si>
  <si>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</si>
  <si>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</si>
  <si>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</si>
  <si>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</si>
  <si>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</si>
  <si>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</si>
  <si>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</si>
  <si>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</si>
  <si>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</si>
  <si>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</si>
  <si>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</si>
  <si>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</si>
  <si>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</si>
  <si>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</si>
  <si>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</si>
  <si>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</si>
  <si>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</si>
  <si>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</si>
  <si>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</si>
  <si>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</si>
  <si>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</si>
  <si>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</si>
  <si>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</si>
  <si>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</si>
  <si>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</si>
  <si>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</si>
  <si>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</si>
  <si>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</si>
  <si>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</si>
  <si>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</si>
  <si>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</si>
  <si>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</si>
  <si>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AGOSTO  / 2026</t>
  </si>
  <si>
    <t>PAD LOJAS - AGOSTO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</si>
</sst>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top" textRotation="255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  <xf numFmtId="0" fontId="12" fillId="3" borderId="1" xfId="0" applyFont="1" applyFill="1" applyBorder="1" applyAlignment="1">
      <alignment horizontal="center" vertical="center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F8" activePane="bottomRight" state="frozen"/>
      <selection sqref="A1:XFD1048576"/>
      <selection pane="topRight" sqref="A1:XFD1048576"/>
      <selection pane="bottomLeft" sqref="A1:XFD1048576"/>
      <selection pane="bottomRight" activeCell="N26" sqref="N26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1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1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8" bestFit="1" customWidth="1"/>
    <col min="23" max="23" width="7.83203125" style="18" bestFit="1" customWidth="1"/>
    <col min="24" max="24" width="6.5" style="19" customWidth="1"/>
    <col min="25" max="25" width="6.6640625" style="18" customWidth="1"/>
    <col min="26" max="26" width="0.58203125" style="13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1"/>
  </cols>
  <sheetData>
    <row r="1" spans="1:29" s="1" customFormat="1" ht="14.5" thickBot="1" x14ac:dyDescent="0.35">
      <c r="A1" s="158"/>
      <c r="B1" s="198"/>
      <c r="C1" s="132"/>
      <c r="D1" s="142"/>
      <c r="E1" s="143"/>
      <c r="F1" s="144"/>
      <c r="G1" s="142"/>
      <c r="H1" s="142"/>
      <c r="I1" s="142"/>
      <c r="J1" s="145"/>
      <c r="K1" s="142"/>
      <c r="L1" s="146"/>
      <c r="M1" s="146"/>
      <c r="N1" s="142"/>
      <c r="O1" s="142"/>
      <c r="P1" s="142"/>
      <c r="Q1" s="142"/>
      <c r="R1" s="142"/>
      <c r="S1" s="142"/>
      <c r="T1" s="142"/>
      <c r="U1" s="142"/>
      <c r="V1" s="147"/>
      <c r="W1" s="148"/>
      <c r="X1" s="149"/>
      <c r="Y1" s="138"/>
      <c r="Z1" s="138"/>
      <c r="AA1" s="150"/>
      <c r="AB1" s="150"/>
      <c r="AC1" s="150"/>
    </row>
    <row r="2" spans="1:29" s="2" customFormat="1" ht="33.75" customHeight="1" thickBot="1" x14ac:dyDescent="0.4">
      <c r="A2" s="158"/>
      <c r="B2" s="198"/>
      <c r="C2" s="151"/>
      <c r="D2" s="199" t="s">
        <v>82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1"/>
    </row>
    <row r="3" spans="1:29" s="186" customFormat="1" ht="12.75" customHeight="1" thickBot="1" x14ac:dyDescent="0.3">
      <c r="B3" s="198"/>
      <c r="C3" s="187"/>
      <c r="D3" s="193"/>
      <c r="E3" s="193"/>
      <c r="F3" s="187"/>
      <c r="G3" s="187">
        <v>10</v>
      </c>
      <c r="H3" s="187"/>
      <c r="I3" s="187"/>
      <c r="J3" s="187"/>
      <c r="K3" s="187"/>
      <c r="L3" s="187">
        <v>33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/>
      <c r="Y3" s="191"/>
      <c r="Z3" s="191"/>
      <c r="AA3" s="190"/>
      <c r="AB3" s="190"/>
      <c r="AC3" s="190"/>
    </row>
    <row r="4" spans="1:29" s="8" customFormat="1" ht="20.25" customHeight="1" thickBot="1" x14ac:dyDescent="0.3">
      <c r="A4" s="157"/>
      <c r="B4" s="198"/>
      <c r="C4" s="133"/>
      <c r="D4" s="194"/>
      <c r="E4" s="194"/>
      <c r="F4" s="133"/>
      <c r="G4" s="202" t="s">
        <v>35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56"/>
      <c r="V4" s="203" t="s">
        <v>6</v>
      </c>
      <c r="W4" s="203"/>
      <c r="X4" s="203"/>
      <c r="Y4" s="203"/>
      <c r="Z4" s="203"/>
      <c r="AA4" s="203"/>
      <c r="AB4" s="203"/>
      <c r="AC4" s="204"/>
    </row>
    <row r="5" spans="1:29" s="57" customFormat="1" ht="25.5" customHeight="1" thickBot="1" x14ac:dyDescent="0.35">
      <c r="A5" s="159"/>
      <c r="B5" s="198"/>
      <c r="C5" s="134"/>
      <c r="D5" s="205" t="s">
        <v>5</v>
      </c>
      <c r="E5" s="206"/>
      <c r="F5" s="135"/>
      <c r="G5" s="205" t="s">
        <v>36</v>
      </c>
      <c r="H5" s="207"/>
      <c r="I5" s="207"/>
      <c r="J5" s="206"/>
      <c r="K5" s="135"/>
      <c r="L5" s="205" t="s">
        <v>47</v>
      </c>
      <c r="M5" s="207"/>
      <c r="N5" s="206"/>
      <c r="O5" s="135"/>
      <c r="P5" s="205" t="s">
        <v>45</v>
      </c>
      <c r="Q5" s="207"/>
      <c r="R5" s="207"/>
      <c r="S5" s="207"/>
      <c r="T5" s="206"/>
      <c r="U5" s="155"/>
      <c r="V5" s="208" t="s">
        <v>36</v>
      </c>
      <c r="W5" s="209"/>
      <c r="X5" s="195" t="s">
        <v>47</v>
      </c>
      <c r="Y5" s="196"/>
      <c r="Z5" s="135"/>
      <c r="AA5" s="195" t="s">
        <v>45</v>
      </c>
      <c r="AB5" s="197"/>
      <c r="AC5" s="196"/>
    </row>
    <row r="6" spans="1:29" s="58" customFormat="1" ht="33" customHeight="1" thickBot="1" x14ac:dyDescent="0.35">
      <c r="A6" s="160"/>
      <c r="B6" s="152" t="s">
        <v>0</v>
      </c>
      <c r="C6" s="153"/>
      <c r="D6" s="137" t="s">
        <v>2</v>
      </c>
      <c r="E6" s="137" t="s">
        <v>13</v>
      </c>
      <c r="F6" s="153"/>
      <c r="G6" s="137" t="s">
        <v>1</v>
      </c>
      <c r="H6" s="140" t="s">
        <v>37</v>
      </c>
      <c r="I6" s="137" t="s">
        <v>2</v>
      </c>
      <c r="J6" s="137" t="s">
        <v>3</v>
      </c>
      <c r="K6" s="153"/>
      <c r="L6" s="137" t="s">
        <v>1</v>
      </c>
      <c r="M6" s="137" t="s">
        <v>2</v>
      </c>
      <c r="N6" s="137" t="s">
        <v>3</v>
      </c>
      <c r="O6" s="153"/>
      <c r="P6" s="137" t="s">
        <v>1</v>
      </c>
      <c r="Q6" s="137" t="s">
        <v>2</v>
      </c>
      <c r="R6" s="137" t="s">
        <v>11</v>
      </c>
      <c r="S6" s="137" t="s">
        <v>43</v>
      </c>
      <c r="T6" s="137" t="s">
        <v>3</v>
      </c>
      <c r="U6" s="137"/>
      <c r="V6" s="137" t="s">
        <v>46</v>
      </c>
      <c r="W6" s="137" t="s">
        <v>2</v>
      </c>
      <c r="X6" s="137" t="s">
        <v>2</v>
      </c>
      <c r="Y6" s="154" t="s">
        <v>3</v>
      </c>
      <c r="Z6" s="153"/>
      <c r="AA6" s="137" t="s">
        <v>1</v>
      </c>
      <c r="AB6" s="137" t="s">
        <v>2</v>
      </c>
      <c r="AC6" s="137" t="s">
        <v>3</v>
      </c>
    </row>
    <row r="7" spans="1:29" ht="6" customHeight="1" x14ac:dyDescent="0.25">
      <c r="C7" s="22"/>
      <c r="D7" s="12"/>
      <c r="E7" s="23"/>
      <c r="F7" s="12"/>
      <c r="G7" s="22"/>
      <c r="H7" s="60"/>
      <c r="I7" s="12"/>
      <c r="J7" s="21"/>
      <c r="L7" s="24"/>
      <c r="M7" s="67"/>
      <c r="N7" s="22"/>
      <c r="P7" s="12"/>
      <c r="Q7" s="12"/>
      <c r="R7" s="12"/>
      <c r="S7" s="12"/>
      <c r="T7" s="22"/>
      <c r="U7" s="22"/>
      <c r="X7" s="66"/>
      <c r="AA7" s="12"/>
      <c r="AB7" s="12"/>
      <c r="AC7" s="22"/>
    </row>
    <row r="8" spans="1:29" s="14" customFormat="1" ht="14.25" customHeight="1" x14ac:dyDescent="0.3">
      <c r="A8" s="64" t="s">
        <v>4</v>
      </c>
      <c r="B8" s="105" t="s">
        <v>60</v>
      </c>
      <c r="C8" s="64"/>
      <c r="D8" s="83">
        <v>29010401.509999998</v>
      </c>
      <c r="E8" s="120">
        <v>3.9537260216413626</v>
      </c>
      <c r="F8" s="64"/>
      <c r="G8" s="84">
        <v>7337484.021706827</v>
      </c>
      <c r="H8" s="84">
        <v>5939868.0175721934</v>
      </c>
      <c r="I8" s="85">
        <v>6526573.0400000298</v>
      </c>
      <c r="J8" s="70">
        <v>1.0987740839850582</v>
      </c>
      <c r="K8" s="86"/>
      <c r="L8" s="87">
        <v>2.95</v>
      </c>
      <c r="M8" s="88">
        <v>-3.8690773634548163</v>
      </c>
      <c r="N8" s="70">
        <v>-1.3115516486287513</v>
      </c>
      <c r="O8" s="86"/>
      <c r="P8" s="84">
        <v>175226.1065183797</v>
      </c>
      <c r="Q8" s="84">
        <v>-252518.16009998601</v>
      </c>
      <c r="R8" s="83">
        <v>1860</v>
      </c>
      <c r="S8" s="85">
        <v>-250658.16009998601</v>
      </c>
      <c r="T8" s="70">
        <v>-1.4304841046827355</v>
      </c>
      <c r="U8" s="69"/>
      <c r="V8" s="83">
        <v>349404.00103365845</v>
      </c>
      <c r="W8" s="89">
        <v>482752.27999999962</v>
      </c>
      <c r="X8" s="90">
        <v>-1.6847902820884912</v>
      </c>
      <c r="Y8" s="70">
        <v>-0.57111534986050549</v>
      </c>
      <c r="Z8" s="91"/>
      <c r="AA8" s="85">
        <v>10307.418030492925</v>
      </c>
      <c r="AB8" s="85">
        <v>-8133.363500000617</v>
      </c>
      <c r="AC8" s="70">
        <v>-0.78907864956474072</v>
      </c>
    </row>
    <row r="9" spans="1:29" s="14" customFormat="1" ht="14.25" customHeight="1" x14ac:dyDescent="0.3">
      <c r="A9" s="64" t="s">
        <v>24</v>
      </c>
      <c r="B9" s="82" t="s">
        <v>48</v>
      </c>
      <c r="C9" s="28"/>
      <c r="D9" s="83">
        <v>1346789.8499999999</v>
      </c>
      <c r="E9" s="120">
        <v>0.82379480422097318</v>
      </c>
      <c r="F9" s="28"/>
      <c r="G9" s="84">
        <v>1634860.8210434155</v>
      </c>
      <c r="H9" s="84">
        <v>1323458.7598922886</v>
      </c>
      <c r="I9" s="85">
        <v>1224428.2000000014</v>
      </c>
      <c r="J9" s="70">
        <v>0.92517291592799844</v>
      </c>
      <c r="K9" s="86"/>
      <c r="L9" s="87">
        <v>3.55</v>
      </c>
      <c r="M9" s="88">
        <v>-1.92285654642693</v>
      </c>
      <c r="N9" s="70">
        <v>-0.54164973138786765</v>
      </c>
      <c r="O9" s="86"/>
      <c r="P9" s="84">
        <v>46982.785976176245</v>
      </c>
      <c r="Q9" s="84">
        <v>-23543.997799997451</v>
      </c>
      <c r="R9" s="83">
        <v>0</v>
      </c>
      <c r="S9" s="85">
        <v>-23543.997799997451</v>
      </c>
      <c r="T9" s="70">
        <v>-0.50111966139973063</v>
      </c>
      <c r="U9" s="69"/>
      <c r="V9" s="83">
        <v>77850.515287781687</v>
      </c>
      <c r="W9" s="89">
        <v>92884.960000000021</v>
      </c>
      <c r="X9" s="90">
        <v>-1.0627888519303899</v>
      </c>
      <c r="Y9" s="70">
        <v>-0.29937714138884225</v>
      </c>
      <c r="Z9" s="91"/>
      <c r="AA9" s="85">
        <v>2763.6932927162497</v>
      </c>
      <c r="AB9" s="85">
        <v>-987.1710000000021</v>
      </c>
      <c r="AC9" s="70">
        <v>-0.35719267496205326</v>
      </c>
    </row>
    <row r="10" spans="1:29" s="14" customFormat="1" ht="14.25" customHeight="1" x14ac:dyDescent="0.3">
      <c r="A10" s="64" t="s">
        <v>14</v>
      </c>
      <c r="B10" s="82" t="s">
        <v>61</v>
      </c>
      <c r="C10" s="28"/>
      <c r="D10" s="83">
        <v>13110892.790000001</v>
      </c>
      <c r="E10" s="120">
        <v>0.73930749819972608</v>
      </c>
      <c r="F10" s="28"/>
      <c r="G10" s="84">
        <v>17734018.418487694</v>
      </c>
      <c r="H10" s="84">
        <v>14356110.148299562</v>
      </c>
      <c r="I10" s="85">
        <v>14451628.390000666</v>
      </c>
      <c r="J10" s="70">
        <v>1.006653490445141</v>
      </c>
      <c r="K10" s="86"/>
      <c r="L10" s="87">
        <v>3.7</v>
      </c>
      <c r="M10" s="88">
        <v>0.50038746087176067</v>
      </c>
      <c r="N10" s="70">
        <v>0.13523985428966503</v>
      </c>
      <c r="O10" s="86"/>
      <c r="P10" s="84">
        <v>531176.07548708376</v>
      </c>
      <c r="Q10" s="84">
        <v>72314.136355346825</v>
      </c>
      <c r="R10" s="83">
        <v>0</v>
      </c>
      <c r="S10" s="85">
        <v>72314.136355346825</v>
      </c>
      <c r="T10" s="70">
        <v>0.13613967136798358</v>
      </c>
      <c r="U10" s="69"/>
      <c r="V10" s="83">
        <v>844477.06754703308</v>
      </c>
      <c r="W10" s="89">
        <v>1372722.3699999948</v>
      </c>
      <c r="X10" s="90">
        <v>-4.8915385417668222</v>
      </c>
      <c r="Y10" s="70">
        <v>-1.3220374437207627</v>
      </c>
      <c r="Z10" s="91"/>
      <c r="AA10" s="85">
        <v>31245.651499240226</v>
      </c>
      <c r="AB10" s="85">
        <v>-67147.243800004697</v>
      </c>
      <c r="AC10" s="70">
        <v>-2.149010840808919</v>
      </c>
    </row>
    <row r="11" spans="1:29" s="14" customFormat="1" ht="14.25" customHeight="1" x14ac:dyDescent="0.3">
      <c r="A11" s="64" t="s">
        <v>18</v>
      </c>
      <c r="B11" s="82" t="s">
        <v>64</v>
      </c>
      <c r="C11" s="28"/>
      <c r="D11" s="83">
        <v>5920100.2800000003</v>
      </c>
      <c r="E11" s="120">
        <v>0.682041964301762</v>
      </c>
      <c r="F11" s="28"/>
      <c r="G11" s="84">
        <v>8679964.8553306852</v>
      </c>
      <c r="H11" s="84">
        <v>7026638.2162200781</v>
      </c>
      <c r="I11" s="85">
        <v>6375355.1600001836</v>
      </c>
      <c r="J11" s="70">
        <v>0.90731228274760289</v>
      </c>
      <c r="K11" s="86"/>
      <c r="L11" s="87">
        <v>3.7</v>
      </c>
      <c r="M11" s="88">
        <v>-1.0852933281887684</v>
      </c>
      <c r="N11" s="70">
        <v>-0.29332252113209956</v>
      </c>
      <c r="O11" s="86"/>
      <c r="P11" s="84">
        <v>259985.6140001429</v>
      </c>
      <c r="Q11" s="84">
        <v>-69191.30419982037</v>
      </c>
      <c r="R11" s="83">
        <v>0</v>
      </c>
      <c r="S11" s="85">
        <v>-69191.30419982037</v>
      </c>
      <c r="T11" s="70">
        <v>-0.26613512622964725</v>
      </c>
      <c r="U11" s="69"/>
      <c r="V11" s="83">
        <v>413331.65977765166</v>
      </c>
      <c r="W11" s="89">
        <v>504374.12000000232</v>
      </c>
      <c r="X11" s="90">
        <v>-3.6649782903210206</v>
      </c>
      <c r="Y11" s="70">
        <v>-0.9905346730597353</v>
      </c>
      <c r="Z11" s="91"/>
      <c r="AA11" s="85">
        <v>15293.271411773114</v>
      </c>
      <c r="AB11" s="85">
        <v>-18485.201999997778</v>
      </c>
      <c r="AC11" s="70">
        <v>-1.2087147021903661</v>
      </c>
    </row>
    <row r="12" spans="1:29" s="14" customFormat="1" ht="14.25" customHeight="1" x14ac:dyDescent="0.3">
      <c r="A12" s="64" t="s">
        <v>16</v>
      </c>
      <c r="B12" s="82" t="s">
        <v>62</v>
      </c>
      <c r="C12" s="28"/>
      <c r="D12" s="83">
        <v>38848146.599999964</v>
      </c>
      <c r="E12" s="120">
        <v>1.4769950914873153</v>
      </c>
      <c r="F12" s="28"/>
      <c r="G12" s="84">
        <v>26302150.104561534</v>
      </c>
      <c r="H12" s="84">
        <v>21292216.751311719</v>
      </c>
      <c r="I12" s="85">
        <v>21961584.790000062</v>
      </c>
      <c r="J12" s="70">
        <v>1.0314372170125079</v>
      </c>
      <c r="K12" s="86"/>
      <c r="L12" s="87">
        <v>2.95</v>
      </c>
      <c r="M12" s="88">
        <v>-5.1142613324125881</v>
      </c>
      <c r="N12" s="70">
        <v>-1.7336479092924026</v>
      </c>
      <c r="O12" s="86"/>
      <c r="P12" s="84">
        <v>628120.39416369575</v>
      </c>
      <c r="Q12" s="84">
        <v>-1123172.8388999775</v>
      </c>
      <c r="R12" s="83">
        <v>2078.3200000000002</v>
      </c>
      <c r="S12" s="85">
        <v>-1121094.5188999774</v>
      </c>
      <c r="T12" s="70">
        <v>-1.784840182418606</v>
      </c>
      <c r="U12" s="69"/>
      <c r="V12" s="83">
        <v>1252483.3383124541</v>
      </c>
      <c r="W12" s="89">
        <v>1445165.5800000022</v>
      </c>
      <c r="X12" s="90">
        <v>-4.2686264088851162</v>
      </c>
      <c r="Y12" s="70">
        <v>-1.4469920030119037</v>
      </c>
      <c r="Z12" s="91"/>
      <c r="AA12" s="85">
        <v>36948.258480217395</v>
      </c>
      <c r="AB12" s="85">
        <v>-61688.719599997858</v>
      </c>
      <c r="AC12" s="70">
        <v>-1.6695974895008068</v>
      </c>
    </row>
    <row r="13" spans="1:29" s="14" customFormat="1" ht="14.25" customHeight="1" x14ac:dyDescent="0.3">
      <c r="A13" s="64" t="s">
        <v>19</v>
      </c>
      <c r="B13" s="82" t="s">
        <v>63</v>
      </c>
      <c r="C13" s="28"/>
      <c r="D13" s="83">
        <v>2560423.6399999997</v>
      </c>
      <c r="E13" s="120">
        <v>1.0151180152140862</v>
      </c>
      <c r="F13" s="28"/>
      <c r="G13" s="84">
        <v>2522291.597258287</v>
      </c>
      <c r="H13" s="84">
        <v>2041855.1025424227</v>
      </c>
      <c r="I13" s="85">
        <v>2257203.0899999929</v>
      </c>
      <c r="J13" s="70">
        <v>1.1054668312112006</v>
      </c>
      <c r="K13" s="86"/>
      <c r="L13" s="87">
        <v>4.05</v>
      </c>
      <c r="M13" s="88">
        <v>-3.9658029176275469</v>
      </c>
      <c r="N13" s="70">
        <v>-0.9792105969450734</v>
      </c>
      <c r="O13" s="86"/>
      <c r="P13" s="84">
        <v>82695.131652968121</v>
      </c>
      <c r="Q13" s="84">
        <v>-89516.22599999886</v>
      </c>
      <c r="R13" s="83">
        <v>1232.95</v>
      </c>
      <c r="S13" s="85">
        <v>-88283.275999998863</v>
      </c>
      <c r="T13" s="70">
        <v>-1.0675752518356403</v>
      </c>
      <c r="U13" s="69"/>
      <c r="V13" s="83">
        <v>120109.12367896605</v>
      </c>
      <c r="W13" s="89">
        <v>128327.62999999996</v>
      </c>
      <c r="X13" s="90">
        <v>-2.5582013787677997</v>
      </c>
      <c r="Y13" s="70">
        <v>-0.63165466142414806</v>
      </c>
      <c r="Z13" s="92"/>
      <c r="AA13" s="85">
        <v>4864.4195089981249</v>
      </c>
      <c r="AB13" s="85">
        <v>-3282.8792000000394</v>
      </c>
      <c r="AC13" s="70">
        <v>-0.67487583953798025</v>
      </c>
    </row>
    <row r="14" spans="1:29" s="14" customFormat="1" ht="14.25" customHeight="1" x14ac:dyDescent="0.3">
      <c r="A14" s="64" t="s">
        <v>20</v>
      </c>
      <c r="B14" s="82" t="s">
        <v>52</v>
      </c>
      <c r="C14" s="28"/>
      <c r="D14" s="83">
        <v>2099040.2100000004</v>
      </c>
      <c r="E14" s="120">
        <v>1.0706698022820889</v>
      </c>
      <c r="F14" s="28"/>
      <c r="G14" s="84">
        <v>1960492.5865341325</v>
      </c>
      <c r="H14" s="84">
        <v>1587065.4271942978</v>
      </c>
      <c r="I14" s="85">
        <v>1588302.949999999</v>
      </c>
      <c r="J14" s="70">
        <v>1.0007797553802738</v>
      </c>
      <c r="K14" s="86"/>
      <c r="L14" s="87">
        <v>4.05</v>
      </c>
      <c r="M14" s="88">
        <v>-1.6811543414942109</v>
      </c>
      <c r="N14" s="70">
        <v>-0.41509983740597806</v>
      </c>
      <c r="O14" s="86"/>
      <c r="P14" s="84">
        <v>64276.149801369058</v>
      </c>
      <c r="Q14" s="84">
        <v>-26701.82400000561</v>
      </c>
      <c r="R14" s="83">
        <v>0</v>
      </c>
      <c r="S14" s="85">
        <v>-26701.82400000561</v>
      </c>
      <c r="T14" s="70">
        <v>-0.4154235137375461</v>
      </c>
      <c r="U14" s="69"/>
      <c r="V14" s="83">
        <v>93356.78983495869</v>
      </c>
      <c r="W14" s="89">
        <v>133780.10000000003</v>
      </c>
      <c r="X14" s="90">
        <v>3.4477773600088121E-2</v>
      </c>
      <c r="Y14" s="70">
        <v>8.513030518540278E-3</v>
      </c>
      <c r="Z14" s="91"/>
      <c r="AA14" s="85">
        <v>3780.9499883158264</v>
      </c>
      <c r="AB14" s="85">
        <v>46.124399999971502</v>
      </c>
      <c r="AC14" s="70">
        <v>1.2199156334389125E-2</v>
      </c>
    </row>
    <row r="15" spans="1:29" s="14" customFormat="1" ht="14.25" customHeight="1" x14ac:dyDescent="0.3">
      <c r="A15" s="64" t="s">
        <v>17</v>
      </c>
      <c r="B15" s="82" t="s">
        <v>72</v>
      </c>
      <c r="C15" s="28"/>
      <c r="D15" s="83">
        <v>8418914.6699999999</v>
      </c>
      <c r="E15" s="120">
        <v>0.53451467031486288</v>
      </c>
      <c r="F15" s="28"/>
      <c r="G15" s="84">
        <v>15750577.36963651</v>
      </c>
      <c r="H15" s="84">
        <v>12750467.394467652</v>
      </c>
      <c r="I15" s="85">
        <v>11924795.690000212</v>
      </c>
      <c r="J15" s="70">
        <v>0.93524380880141744</v>
      </c>
      <c r="K15" s="86"/>
      <c r="L15" s="87">
        <v>3</v>
      </c>
      <c r="M15" s="88">
        <v>-8.2744548808262266</v>
      </c>
      <c r="N15" s="70">
        <v>-2.7581516269420754</v>
      </c>
      <c r="O15" s="86"/>
      <c r="P15" s="84">
        <v>382514.02183402958</v>
      </c>
      <c r="Q15" s="84">
        <v>-986711.83899977803</v>
      </c>
      <c r="R15" s="83">
        <v>0</v>
      </c>
      <c r="S15" s="85">
        <v>-986711.83899977803</v>
      </c>
      <c r="T15" s="70">
        <v>-2.5795442328331326</v>
      </c>
      <c r="U15" s="69"/>
      <c r="V15" s="83">
        <v>750027.49379221478</v>
      </c>
      <c r="W15" s="89">
        <v>1188581.1699999981</v>
      </c>
      <c r="X15" s="90">
        <v>-9.1577235823114531</v>
      </c>
      <c r="Y15" s="70">
        <v>-3.0525745274371512</v>
      </c>
      <c r="Z15" s="91"/>
      <c r="AA15" s="85">
        <v>22500.824813766441</v>
      </c>
      <c r="AB15" s="85">
        <v>-108846.97810000321</v>
      </c>
      <c r="AC15" s="70">
        <v>-4.8374661373928172</v>
      </c>
    </row>
    <row r="16" spans="1:29" s="14" customFormat="1" ht="13" x14ac:dyDescent="0.3">
      <c r="A16" s="64" t="s">
        <v>22</v>
      </c>
      <c r="B16" s="82" t="s">
        <v>51</v>
      </c>
      <c r="C16" s="28"/>
      <c r="D16" s="83">
        <v>15103612.010000002</v>
      </c>
      <c r="E16" s="120">
        <v>0.84618054376175889</v>
      </c>
      <c r="F16" s="28"/>
      <c r="G16" s="84">
        <v>17849160.112871144</v>
      </c>
      <c r="H16" s="84">
        <v>14449320.091371879</v>
      </c>
      <c r="I16" s="85">
        <v>13744377.620000342</v>
      </c>
      <c r="J16" s="70">
        <v>0.95121275832262309</v>
      </c>
      <c r="K16" s="86"/>
      <c r="L16" s="87">
        <v>2.6</v>
      </c>
      <c r="M16" s="88">
        <v>-4.6946655857353266</v>
      </c>
      <c r="N16" s="70">
        <v>-1.8056406098982025</v>
      </c>
      <c r="O16" s="86"/>
      <c r="P16" s="84">
        <v>375682.32237566891</v>
      </c>
      <c r="Q16" s="84">
        <v>-645252.5660996642</v>
      </c>
      <c r="R16" s="83">
        <v>864.47</v>
      </c>
      <c r="S16" s="85">
        <v>-644388.09609966422</v>
      </c>
      <c r="T16" s="70">
        <v>-1.7152473185983426</v>
      </c>
      <c r="U16" s="69"/>
      <c r="V16" s="83">
        <v>849960.00537481636</v>
      </c>
      <c r="W16" s="89">
        <v>999666.84999999811</v>
      </c>
      <c r="X16" s="90">
        <v>-3.4510661126756581</v>
      </c>
      <c r="Y16" s="70">
        <v>-1.3273331202598684</v>
      </c>
      <c r="Z16" s="91"/>
      <c r="AA16" s="85">
        <v>22098.960139745228</v>
      </c>
      <c r="AB16" s="85">
        <v>-34499.163900002139</v>
      </c>
      <c r="AC16" s="70">
        <v>-1.5611215949457733</v>
      </c>
    </row>
    <row r="17" spans="1:29" s="14" customFormat="1" ht="13" x14ac:dyDescent="0.3">
      <c r="A17" s="64" t="s">
        <v>68</v>
      </c>
      <c r="B17" s="82" t="s">
        <v>77</v>
      </c>
      <c r="C17" s="28"/>
      <c r="D17" s="83">
        <v>59627.17</v>
      </c>
      <c r="E17" s="120"/>
      <c r="F17" s="28"/>
      <c r="G17" s="84"/>
      <c r="H17" s="84"/>
      <c r="I17" s="85">
        <v>0</v>
      </c>
      <c r="J17" s="70" t="s">
        <v>69</v>
      </c>
      <c r="K17" s="86"/>
      <c r="L17" s="87"/>
      <c r="M17" s="88">
        <v>0</v>
      </c>
      <c r="N17" s="70" t="s">
        <v>69</v>
      </c>
      <c r="O17" s="86"/>
      <c r="P17" s="84">
        <v>0</v>
      </c>
      <c r="Q17" s="84">
        <v>0</v>
      </c>
      <c r="R17" s="83">
        <v>0</v>
      </c>
      <c r="S17" s="85">
        <v>0</v>
      </c>
      <c r="T17" s="70" t="s">
        <v>69</v>
      </c>
      <c r="U17" s="69"/>
      <c r="V17" s="83">
        <v>0</v>
      </c>
      <c r="W17" s="89">
        <v>0</v>
      </c>
      <c r="X17" s="90">
        <v>0</v>
      </c>
      <c r="Y17" s="70">
        <v>0</v>
      </c>
      <c r="Z17" s="91"/>
      <c r="AA17" s="85">
        <v>0</v>
      </c>
      <c r="AB17" s="85">
        <v>0</v>
      </c>
      <c r="AC17" s="70" t="s">
        <v>69</v>
      </c>
    </row>
    <row r="18" spans="1:29" s="14" customFormat="1" ht="13" x14ac:dyDescent="0.3">
      <c r="A18" s="64" t="s">
        <v>59</v>
      </c>
      <c r="B18" s="82" t="s">
        <v>73</v>
      </c>
      <c r="C18" s="28"/>
      <c r="D18" s="83">
        <v>3284.8199999999997</v>
      </c>
      <c r="E18" s="120"/>
      <c r="F18" s="28"/>
      <c r="G18" s="84"/>
      <c r="H18" s="84"/>
      <c r="I18" s="85">
        <v>2697.29</v>
      </c>
      <c r="J18" s="70" t="s">
        <v>69</v>
      </c>
      <c r="K18" s="86"/>
      <c r="L18" s="87"/>
      <c r="M18" s="88">
        <v>7.559068546578211</v>
      </c>
      <c r="N18" s="70" t="s">
        <v>69</v>
      </c>
      <c r="O18" s="86"/>
      <c r="P18" s="84">
        <v>0</v>
      </c>
      <c r="Q18" s="84">
        <v>203.88999999999942</v>
      </c>
      <c r="R18" s="83">
        <v>0</v>
      </c>
      <c r="S18" s="85">
        <v>203.88999999999942</v>
      </c>
      <c r="T18" s="70" t="s">
        <v>69</v>
      </c>
      <c r="U18" s="69"/>
      <c r="V18" s="83">
        <v>0</v>
      </c>
      <c r="W18" s="89">
        <v>293.48</v>
      </c>
      <c r="X18" s="90">
        <v>21.449502521466542</v>
      </c>
      <c r="Y18" s="70">
        <v>0</v>
      </c>
      <c r="Z18" s="91"/>
      <c r="AA18" s="85">
        <v>0</v>
      </c>
      <c r="AB18" s="85">
        <v>62.95000000000001</v>
      </c>
      <c r="AC18" s="70" t="s">
        <v>69</v>
      </c>
    </row>
    <row r="19" spans="1:29" s="14" customFormat="1" ht="13" hidden="1" x14ac:dyDescent="0.3">
      <c r="A19" s="64"/>
      <c r="B19" s="82"/>
      <c r="C19" s="28"/>
      <c r="D19" s="83"/>
      <c r="E19" s="120"/>
      <c r="F19" s="28"/>
      <c r="G19" s="84"/>
      <c r="H19" s="84"/>
      <c r="I19" s="85"/>
      <c r="J19" s="70"/>
      <c r="K19" s="86"/>
      <c r="L19" s="87"/>
      <c r="M19" s="88"/>
      <c r="N19" s="70"/>
      <c r="O19" s="86"/>
      <c r="P19" s="84"/>
      <c r="Q19" s="84"/>
      <c r="R19" s="83"/>
      <c r="S19" s="85"/>
      <c r="T19" s="70"/>
      <c r="U19" s="69"/>
      <c r="V19" s="83"/>
      <c r="W19" s="89"/>
      <c r="X19" s="90"/>
      <c r="Y19" s="70"/>
      <c r="Z19" s="86"/>
      <c r="AA19" s="85"/>
      <c r="AB19" s="85"/>
      <c r="AC19" s="70"/>
    </row>
    <row r="20" spans="1:29" s="14" customFormat="1" ht="13" hidden="1" x14ac:dyDescent="0.3">
      <c r="A20" s="64"/>
      <c r="B20" s="82"/>
      <c r="C20" s="28"/>
      <c r="D20" s="83"/>
      <c r="E20" s="120"/>
      <c r="F20" s="28"/>
      <c r="G20" s="84"/>
      <c r="H20" s="84"/>
      <c r="I20" s="85"/>
      <c r="J20" s="70"/>
      <c r="K20" s="86"/>
      <c r="L20" s="87"/>
      <c r="M20" s="88"/>
      <c r="N20" s="70"/>
      <c r="O20" s="86"/>
      <c r="P20" s="84"/>
      <c r="Q20" s="84"/>
      <c r="R20" s="83"/>
      <c r="S20" s="85"/>
      <c r="T20" s="70"/>
      <c r="U20" s="69"/>
      <c r="V20" s="83"/>
      <c r="W20" s="89"/>
      <c r="X20" s="90"/>
      <c r="Y20" s="70"/>
      <c r="Z20" s="86"/>
      <c r="AA20" s="85"/>
      <c r="AB20" s="85"/>
      <c r="AC20" s="70"/>
    </row>
    <row r="21" spans="1:29" s="79" customFormat="1" ht="13" hidden="1" x14ac:dyDescent="0.3">
      <c r="A21" s="71"/>
      <c r="B21" s="72"/>
      <c r="C21" s="74"/>
      <c r="D21" s="73"/>
      <c r="E21" s="121"/>
      <c r="F21" s="74"/>
      <c r="G21" s="75"/>
      <c r="H21" s="75"/>
      <c r="I21" s="75"/>
      <c r="J21" s="110"/>
      <c r="K21" s="78"/>
      <c r="L21" s="77"/>
      <c r="M21" s="77"/>
      <c r="N21" s="110"/>
      <c r="O21" s="78"/>
      <c r="P21" s="75"/>
      <c r="Q21" s="75"/>
      <c r="R21" s="73"/>
      <c r="S21" s="75"/>
      <c r="T21" s="110"/>
      <c r="U21" s="76"/>
      <c r="V21" s="73"/>
      <c r="W21" s="76"/>
      <c r="X21" s="76"/>
      <c r="Y21" s="76"/>
      <c r="Z21" s="78"/>
      <c r="AA21" s="75"/>
      <c r="AB21" s="75"/>
      <c r="AC21" s="110"/>
    </row>
    <row r="22" spans="1:29" s="14" customFormat="1" ht="13" x14ac:dyDescent="0.3">
      <c r="A22" s="26"/>
      <c r="B22" s="25" t="s">
        <v>49</v>
      </c>
      <c r="C22" s="28"/>
      <c r="D22" s="68">
        <v>116481233.54999997</v>
      </c>
      <c r="E22" s="122">
        <v>1.1674858794782412</v>
      </c>
      <c r="F22" s="28"/>
      <c r="G22" s="41">
        <v>99770999.887430221</v>
      </c>
      <c r="H22" s="41">
        <v>80766999.908872098</v>
      </c>
      <c r="I22" s="41">
        <v>80056946.220001489</v>
      </c>
      <c r="J22" s="44">
        <v>0.99120861627060863</v>
      </c>
      <c r="K22" s="45"/>
      <c r="L22" s="43">
        <v>3.153092976937192</v>
      </c>
      <c r="M22" s="43">
        <v>-3.9273178383593641</v>
      </c>
      <c r="N22" s="44">
        <v>-1.2455445707072768</v>
      </c>
      <c r="O22" s="45"/>
      <c r="P22" s="41">
        <v>2546658.6018095138</v>
      </c>
      <c r="Q22" s="41">
        <v>-3144090.7297438812</v>
      </c>
      <c r="R22" s="40">
        <v>6035.7400000000007</v>
      </c>
      <c r="S22" s="41">
        <v>-3138054.9897438814</v>
      </c>
      <c r="T22" s="44">
        <v>-1.2322244479547255</v>
      </c>
      <c r="U22" s="42"/>
      <c r="V22" s="40">
        <v>4750999.9946395345</v>
      </c>
      <c r="W22" s="40">
        <v>6348548.5399999954</v>
      </c>
      <c r="X22" s="46">
        <v>-4.7721403528877575</v>
      </c>
      <c r="Y22" s="44">
        <v>-1.5134791101286373</v>
      </c>
      <c r="Z22" s="45"/>
      <c r="AA22" s="41">
        <v>149803.44716526553</v>
      </c>
      <c r="AB22" s="41">
        <v>-302961.64670000633</v>
      </c>
      <c r="AC22" s="44">
        <v>-2.0223943602964907</v>
      </c>
    </row>
    <row r="23" spans="1:29" ht="14.5" x14ac:dyDescent="0.35">
      <c r="C23" s="55"/>
      <c r="D23" s="59"/>
      <c r="E23" s="54"/>
      <c r="F23" s="55"/>
      <c r="G23" s="104"/>
      <c r="H23" s="48"/>
      <c r="I23" s="48"/>
      <c r="J23" s="49"/>
      <c r="K23" s="34"/>
      <c r="L23" s="50"/>
      <c r="M23" s="50"/>
      <c r="N23" s="48"/>
      <c r="O23" s="34"/>
      <c r="P23" s="48"/>
      <c r="Q23" s="48"/>
      <c r="R23" s="48"/>
      <c r="S23" s="48"/>
      <c r="T23" s="48"/>
      <c r="U23" s="48"/>
      <c r="V23" s="47"/>
      <c r="W23" s="47"/>
      <c r="X23" s="52"/>
      <c r="Y23" s="47"/>
      <c r="Z23" s="36"/>
      <c r="AA23" s="48"/>
      <c r="AB23" s="48"/>
      <c r="AC23" s="48"/>
    </row>
    <row r="24" spans="1:29" ht="14.5" x14ac:dyDescent="0.35">
      <c r="C24" s="55"/>
      <c r="D24" s="59"/>
      <c r="E24" s="54"/>
      <c r="F24" s="55"/>
      <c r="G24" s="56"/>
      <c r="H24" s="48"/>
      <c r="I24" s="56"/>
      <c r="J24" s="49"/>
      <c r="K24" s="34"/>
      <c r="L24" s="50"/>
      <c r="M24" s="50"/>
      <c r="N24" s="48"/>
      <c r="O24" s="34"/>
      <c r="P24" s="56"/>
      <c r="Q24" s="56"/>
      <c r="R24" s="56"/>
      <c r="S24" s="56"/>
      <c r="T24" s="48"/>
      <c r="U24" s="48"/>
      <c r="V24" s="47"/>
      <c r="W24" s="59"/>
      <c r="X24" s="52"/>
      <c r="Y24" s="47"/>
      <c r="Z24" s="36"/>
      <c r="AA24" s="56"/>
      <c r="AB24" s="56"/>
      <c r="AC24" s="48"/>
    </row>
    <row r="25" spans="1:29" ht="14.5" x14ac:dyDescent="0.35">
      <c r="A25" s="65"/>
      <c r="B25" s="11"/>
      <c r="C25" s="55"/>
      <c r="D25" s="59"/>
      <c r="E25" s="54"/>
      <c r="F25" s="55"/>
      <c r="G25" s="56"/>
      <c r="H25" s="48"/>
      <c r="I25" s="48"/>
      <c r="J25" s="49"/>
      <c r="K25" s="34"/>
      <c r="L25" s="50"/>
      <c r="M25" s="50"/>
      <c r="N25" s="48"/>
      <c r="O25" s="34"/>
      <c r="P25" s="48"/>
      <c r="Q25" s="48"/>
      <c r="R25" s="48"/>
      <c r="S25" s="48"/>
      <c r="T25" s="48"/>
      <c r="U25" s="48"/>
      <c r="V25" s="47"/>
      <c r="W25" s="47"/>
      <c r="X25" s="52"/>
      <c r="Y25" s="47"/>
      <c r="Z25" s="36"/>
      <c r="AA25" s="48"/>
      <c r="AB25" s="48"/>
      <c r="AC25" s="48"/>
    </row>
    <row r="26" spans="1:29" x14ac:dyDescent="0.3">
      <c r="A26" s="65"/>
      <c r="B26" s="11"/>
    </row>
    <row r="27" spans="1:29" x14ac:dyDescent="0.3">
      <c r="A27" s="65"/>
      <c r="B27" s="11"/>
    </row>
    <row r="28" spans="1:29" x14ac:dyDescent="0.3">
      <c r="A28" s="65"/>
      <c r="B28" s="11"/>
    </row>
    <row r="29" spans="1:29" x14ac:dyDescent="0.3">
      <c r="I29" s="109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6"/>
  <sheetViews>
    <sheetView showGridLines="0" zoomScale="80" zoomScaleNormal="80" workbookViewId="0">
      <pane xSplit="3" ySplit="7" topLeftCell="D11" activePane="bottomRight" state="frozen"/>
      <selection activeCell="H8" sqref="H8"/>
      <selection pane="topRight" activeCell="H8" sqref="H8"/>
      <selection pane="bottomLeft" activeCell="H8" sqref="H8"/>
      <selection pane="bottomRight" activeCell="AS24" sqref="AS24"/>
    </sheetView>
  </sheetViews>
  <sheetFormatPr defaultColWidth="9" defaultRowHeight="14" x14ac:dyDescent="0.3"/>
  <cols>
    <col min="1" max="1" width="10.08203125" style="7" hidden="1" customWidth="1"/>
    <col min="2" max="2" width="7.1640625" style="17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9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3" customWidth="1"/>
    <col min="12" max="12" width="0.6640625" style="11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8" bestFit="1" customWidth="1"/>
    <col min="18" max="18" width="0.6640625" style="11" customWidth="1"/>
    <col min="19" max="19" width="9.9140625" style="3" customWidth="1"/>
    <col min="20" max="20" width="8.33203125" style="3" customWidth="1"/>
    <col min="21" max="21" width="0.6640625" style="11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1" customWidth="1"/>
    <col min="26" max="26" width="2.08203125" style="61" customWidth="1"/>
    <col min="27" max="27" width="7.08203125" style="18" bestFit="1" customWidth="1"/>
    <col min="28" max="28" width="8.5" style="18" customWidth="1"/>
    <col min="29" max="29" width="0.58203125" style="13" customWidth="1"/>
    <col min="30" max="31" width="7.83203125" style="1" bestFit="1" customWidth="1"/>
    <col min="32" max="32" width="8.5" style="18" bestFit="1" customWidth="1"/>
    <col min="33" max="33" width="0.58203125" style="13" customWidth="1"/>
    <col min="34" max="34" width="7.58203125" style="1" customWidth="1"/>
    <col min="35" max="35" width="9.1640625" style="1" customWidth="1"/>
    <col min="36" max="36" width="9.1640625" style="18" customWidth="1"/>
    <col min="37" max="37" width="0.58203125" style="13" customWidth="1"/>
    <col min="38" max="38" width="8.83203125" style="3" bestFit="1" customWidth="1"/>
    <col min="39" max="39" width="8.5" style="20" customWidth="1"/>
    <col min="40" max="40" width="0.58203125" style="13" customWidth="1"/>
    <col min="41" max="41" width="9.4140625" style="19" customWidth="1"/>
    <col min="42" max="42" width="6.6640625" style="18" hidden="1" customWidth="1"/>
    <col min="43" max="43" width="8.6640625" customWidth="1"/>
    <col min="44" max="16384" width="9" style="11"/>
  </cols>
  <sheetData>
    <row r="1" spans="1:43" ht="14.5" thickBot="1" x14ac:dyDescent="0.35">
      <c r="A1" s="161"/>
      <c r="B1" s="217"/>
      <c r="C1" s="218"/>
      <c r="D1" s="166"/>
      <c r="E1" s="167"/>
      <c r="F1" s="168"/>
      <c r="G1" s="166"/>
      <c r="H1" s="167"/>
      <c r="I1" s="167"/>
      <c r="J1" s="167"/>
      <c r="K1" s="169"/>
      <c r="L1" s="167"/>
      <c r="M1" s="167"/>
      <c r="N1" s="167"/>
      <c r="O1" s="167"/>
      <c r="P1" s="167"/>
      <c r="Q1" s="170"/>
      <c r="R1" s="167"/>
      <c r="S1" s="171"/>
      <c r="T1" s="171"/>
      <c r="U1" s="167"/>
      <c r="V1" s="172"/>
      <c r="W1" s="172"/>
      <c r="X1" s="167"/>
      <c r="Y1" s="167"/>
      <c r="Z1" s="170"/>
      <c r="AA1" s="170"/>
      <c r="AB1" s="170"/>
      <c r="AC1" s="170"/>
      <c r="AD1" s="167"/>
      <c r="AE1" s="167"/>
      <c r="AF1" s="170"/>
      <c r="AG1" s="170"/>
      <c r="AH1" s="167"/>
      <c r="AI1" s="167"/>
      <c r="AJ1" s="170"/>
      <c r="AK1" s="170"/>
      <c r="AL1" s="171"/>
      <c r="AM1" s="173"/>
      <c r="AN1" s="170"/>
      <c r="AO1" s="174"/>
      <c r="AP1" s="175"/>
    </row>
    <row r="2" spans="1:43" s="162" customFormat="1" ht="30.65" customHeight="1" thickBot="1" x14ac:dyDescent="0.4">
      <c r="A2" s="161"/>
      <c r="B2" s="219"/>
      <c r="C2" s="220"/>
      <c r="D2" s="176"/>
      <c r="E2" s="223" t="s">
        <v>83</v>
      </c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5"/>
      <c r="AQ2"/>
    </row>
    <row r="3" spans="1:43" s="186" customFormat="1" ht="12" thickBot="1" x14ac:dyDescent="0.3">
      <c r="B3" s="219"/>
      <c r="C3" s="220"/>
      <c r="D3" s="188"/>
      <c r="E3" s="234"/>
      <c r="F3" s="234"/>
      <c r="G3" s="188"/>
      <c r="H3" s="188">
        <v>10</v>
      </c>
      <c r="I3" s="188"/>
      <c r="J3" s="188">
        <v>3</v>
      </c>
      <c r="K3" s="188"/>
      <c r="L3" s="188"/>
      <c r="M3" s="188">
        <v>71</v>
      </c>
      <c r="N3" s="188"/>
      <c r="O3" s="188"/>
      <c r="P3" s="188">
        <v>6</v>
      </c>
      <c r="Q3" s="188"/>
      <c r="R3" s="188"/>
      <c r="S3" s="188"/>
      <c r="T3" s="188"/>
      <c r="U3" s="188"/>
      <c r="V3" s="188">
        <v>30</v>
      </c>
      <c r="W3" s="188">
        <v>5</v>
      </c>
      <c r="X3" s="188"/>
      <c r="Y3" s="188"/>
      <c r="Z3" s="188"/>
      <c r="AA3" s="188">
        <v>9</v>
      </c>
      <c r="AB3" s="188">
        <v>8</v>
      </c>
      <c r="AC3" s="188"/>
      <c r="AD3" s="188">
        <v>6</v>
      </c>
      <c r="AE3" s="188">
        <v>11</v>
      </c>
      <c r="AF3" s="188"/>
      <c r="AG3" s="188"/>
      <c r="AH3" s="188">
        <v>6</v>
      </c>
      <c r="AI3" s="188">
        <v>6</v>
      </c>
      <c r="AJ3" s="188">
        <v>6</v>
      </c>
      <c r="AK3" s="188"/>
      <c r="AL3" s="188"/>
      <c r="AM3" s="188"/>
      <c r="AN3" s="188"/>
      <c r="AO3" s="188">
        <v>10</v>
      </c>
      <c r="AP3" s="189"/>
    </row>
    <row r="4" spans="1:43" s="157" customFormat="1" ht="21.75" customHeight="1" thickBot="1" x14ac:dyDescent="0.3">
      <c r="A4" s="163"/>
      <c r="B4" s="219"/>
      <c r="C4" s="220"/>
      <c r="D4" s="177"/>
      <c r="E4" s="235"/>
      <c r="F4" s="235"/>
      <c r="G4" s="177"/>
      <c r="H4" s="226" t="s">
        <v>35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8"/>
      <c r="Y4" s="178"/>
      <c r="Z4" s="179"/>
      <c r="AA4" s="226" t="s">
        <v>6</v>
      </c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8"/>
    </row>
    <row r="5" spans="1:43" s="57" customFormat="1" ht="23.5" customHeight="1" thickBot="1" x14ac:dyDescent="0.35">
      <c r="A5" s="164"/>
      <c r="B5" s="219"/>
      <c r="C5" s="220"/>
      <c r="D5" s="180"/>
      <c r="E5" s="221" t="s">
        <v>5</v>
      </c>
      <c r="F5" s="221"/>
      <c r="G5" s="180"/>
      <c r="H5" s="215" t="s">
        <v>36</v>
      </c>
      <c r="I5" s="215"/>
      <c r="J5" s="215"/>
      <c r="K5" s="215"/>
      <c r="L5" s="180"/>
      <c r="M5" s="215" t="s">
        <v>41</v>
      </c>
      <c r="N5" s="215"/>
      <c r="O5" s="215"/>
      <c r="P5" s="215"/>
      <c r="Q5" s="215"/>
      <c r="R5" s="180"/>
      <c r="S5" s="222" t="s">
        <v>40</v>
      </c>
      <c r="T5" s="222"/>
      <c r="U5" s="181"/>
      <c r="V5" s="216" t="s">
        <v>42</v>
      </c>
      <c r="W5" s="216"/>
      <c r="X5" s="216"/>
      <c r="Y5" s="180"/>
      <c r="Z5" s="182"/>
      <c r="AA5" s="232" t="s">
        <v>36</v>
      </c>
      <c r="AB5" s="233"/>
      <c r="AC5" s="181"/>
      <c r="AD5" s="215" t="s">
        <v>41</v>
      </c>
      <c r="AE5" s="215"/>
      <c r="AF5" s="215"/>
      <c r="AG5" s="215"/>
      <c r="AH5" s="215"/>
      <c r="AI5" s="215"/>
      <c r="AJ5" s="215"/>
      <c r="AK5" s="165"/>
      <c r="AL5" s="229" t="s">
        <v>40</v>
      </c>
      <c r="AM5" s="230"/>
      <c r="AN5" s="181"/>
      <c r="AO5" s="231" t="s">
        <v>42</v>
      </c>
      <c r="AP5" s="231"/>
      <c r="AQ5"/>
    </row>
    <row r="6" spans="1:43" s="107" customFormat="1" ht="27" customHeight="1" thickBot="1" x14ac:dyDescent="0.3">
      <c r="A6" s="106"/>
      <c r="B6" s="136"/>
      <c r="C6" s="137" t="s">
        <v>0</v>
      </c>
      <c r="D6" s="183"/>
      <c r="E6" s="137" t="s">
        <v>2</v>
      </c>
      <c r="F6" s="139" t="s">
        <v>13</v>
      </c>
      <c r="G6" s="183"/>
      <c r="H6" s="137" t="s">
        <v>1</v>
      </c>
      <c r="I6" s="140" t="s">
        <v>37</v>
      </c>
      <c r="J6" s="137" t="s">
        <v>2</v>
      </c>
      <c r="K6" s="137" t="s">
        <v>3</v>
      </c>
      <c r="L6" s="183"/>
      <c r="M6" s="137" t="s">
        <v>1</v>
      </c>
      <c r="N6" s="140" t="s">
        <v>37</v>
      </c>
      <c r="O6" s="137" t="s">
        <v>11</v>
      </c>
      <c r="P6" s="137" t="s">
        <v>43</v>
      </c>
      <c r="Q6" s="137" t="s">
        <v>3</v>
      </c>
      <c r="R6" s="183"/>
      <c r="S6" s="137" t="s">
        <v>44</v>
      </c>
      <c r="T6" s="137" t="s">
        <v>2</v>
      </c>
      <c r="U6" s="184"/>
      <c r="V6" s="137" t="s">
        <v>1</v>
      </c>
      <c r="W6" s="137" t="s">
        <v>2</v>
      </c>
      <c r="X6" s="137" t="s">
        <v>3</v>
      </c>
      <c r="Y6" s="183"/>
      <c r="Z6" s="183"/>
      <c r="AA6" s="137" t="s">
        <v>1</v>
      </c>
      <c r="AB6" s="137" t="s">
        <v>2</v>
      </c>
      <c r="AC6" s="184"/>
      <c r="AD6" s="137" t="s">
        <v>1</v>
      </c>
      <c r="AE6" s="137" t="s">
        <v>2</v>
      </c>
      <c r="AF6" s="137" t="s">
        <v>3</v>
      </c>
      <c r="AG6" s="184"/>
      <c r="AH6" s="137" t="s">
        <v>65</v>
      </c>
      <c r="AI6" s="137" t="s">
        <v>39</v>
      </c>
      <c r="AJ6" s="137" t="s">
        <v>38</v>
      </c>
      <c r="AK6" s="185"/>
      <c r="AL6" s="137" t="s">
        <v>44</v>
      </c>
      <c r="AM6" s="141" t="s">
        <v>2</v>
      </c>
      <c r="AN6" s="184"/>
      <c r="AO6" s="141" t="s">
        <v>2</v>
      </c>
      <c r="AP6" s="141" t="s">
        <v>3</v>
      </c>
    </row>
    <row r="7" spans="1:43" ht="6.5" customHeight="1" x14ac:dyDescent="0.3">
      <c r="B7" s="16"/>
      <c r="D7" s="12"/>
      <c r="E7" s="12"/>
      <c r="F7" s="117"/>
      <c r="G7" s="12"/>
      <c r="H7" s="22"/>
      <c r="I7" s="60"/>
      <c r="J7" s="12"/>
      <c r="K7" s="111"/>
      <c r="M7" s="12"/>
      <c r="N7" s="12"/>
      <c r="O7" s="12"/>
      <c r="P7" s="12"/>
      <c r="Q7" s="114"/>
      <c r="S7" s="21"/>
      <c r="T7" s="21"/>
      <c r="V7" s="24"/>
      <c r="W7" s="67"/>
      <c r="X7" s="22"/>
      <c r="AD7" s="12"/>
      <c r="AE7" s="12"/>
      <c r="AF7" s="114"/>
      <c r="AH7" s="12"/>
      <c r="AI7" s="12"/>
      <c r="AJ7" s="116"/>
      <c r="AL7" s="21"/>
      <c r="AO7" s="66"/>
    </row>
    <row r="8" spans="1:43" ht="12.75" customHeight="1" x14ac:dyDescent="0.3">
      <c r="A8" s="7" t="s">
        <v>4</v>
      </c>
      <c r="B8" s="214" t="s">
        <v>15</v>
      </c>
      <c r="C8" s="6" t="s">
        <v>8</v>
      </c>
      <c r="D8" s="7"/>
      <c r="E8" s="33">
        <v>40267.520000000004</v>
      </c>
      <c r="F8" s="123">
        <v>0.51625025641025646</v>
      </c>
      <c r="G8" s="7"/>
      <c r="H8" s="35">
        <v>78000</v>
      </c>
      <c r="I8" s="35">
        <v>60000</v>
      </c>
      <c r="J8" s="35">
        <v>51782.890000000167</v>
      </c>
      <c r="K8" s="70">
        <v>0.86304816666666939</v>
      </c>
      <c r="L8" s="36"/>
      <c r="M8" s="35">
        <v>15522</v>
      </c>
      <c r="N8" s="35">
        <v>11940</v>
      </c>
      <c r="O8" s="37">
        <v>0</v>
      </c>
      <c r="P8" s="35">
        <v>12485.75</v>
      </c>
      <c r="Q8" s="115">
        <v>1.0457077051926298</v>
      </c>
      <c r="R8" s="36"/>
      <c r="S8" s="127">
        <v>0.19900000000000001</v>
      </c>
      <c r="T8" s="127">
        <v>0.24111728796905618</v>
      </c>
      <c r="U8" s="36"/>
      <c r="V8" s="35"/>
      <c r="W8" s="38">
        <v>7.1078110935873298</v>
      </c>
      <c r="X8" s="69" t="s">
        <v>69</v>
      </c>
      <c r="Y8" s="36"/>
      <c r="Z8" s="62"/>
      <c r="AA8" s="33">
        <v>3000</v>
      </c>
      <c r="AB8" s="33">
        <v>3185.35</v>
      </c>
      <c r="AC8" s="36"/>
      <c r="AD8" s="35">
        <v>597</v>
      </c>
      <c r="AE8" s="35">
        <v>682.79</v>
      </c>
      <c r="AF8" s="115">
        <v>1.1437018425460637</v>
      </c>
      <c r="AG8" s="36"/>
      <c r="AH8" s="35">
        <v>624.28750000000002</v>
      </c>
      <c r="AI8" s="35">
        <v>16231.475</v>
      </c>
      <c r="AJ8" s="115">
        <v>1.0457077051926298</v>
      </c>
      <c r="AK8" s="36"/>
      <c r="AL8" s="108">
        <v>0.19900000000000001</v>
      </c>
      <c r="AM8" s="108">
        <v>0.21435321079316244</v>
      </c>
      <c r="AN8" s="36"/>
      <c r="AO8" s="38">
        <v>2.5620418478346361</v>
      </c>
      <c r="AP8" s="70">
        <v>0</v>
      </c>
    </row>
    <row r="9" spans="1:43" ht="12.75" customHeight="1" x14ac:dyDescent="0.3">
      <c r="A9" s="7" t="s">
        <v>4</v>
      </c>
      <c r="B9" s="214"/>
      <c r="C9" s="6" t="s">
        <v>9</v>
      </c>
      <c r="D9" s="7"/>
      <c r="E9" s="33">
        <v>85402.87</v>
      </c>
      <c r="F9" s="123">
        <v>0.74263365217391297</v>
      </c>
      <c r="G9" s="7"/>
      <c r="H9" s="35">
        <v>115000</v>
      </c>
      <c r="I9" s="35">
        <v>89032.258064516122</v>
      </c>
      <c r="J9" s="35">
        <v>82505.700000000172</v>
      </c>
      <c r="K9" s="70">
        <v>0.92669445652174109</v>
      </c>
      <c r="L9" s="36"/>
      <c r="M9" s="35">
        <v>23000</v>
      </c>
      <c r="N9" s="35">
        <v>17806.451612903224</v>
      </c>
      <c r="O9" s="37">
        <v>0</v>
      </c>
      <c r="P9" s="35">
        <v>20536.68</v>
      </c>
      <c r="Q9" s="115">
        <v>1.1533280434782611</v>
      </c>
      <c r="R9" s="36"/>
      <c r="S9" s="127">
        <v>0.2</v>
      </c>
      <c r="T9" s="127">
        <v>0.24891225697133601</v>
      </c>
      <c r="U9" s="36"/>
      <c r="V9" s="35"/>
      <c r="W9" s="38">
        <v>9.5930584189941044</v>
      </c>
      <c r="X9" s="69" t="s">
        <v>69</v>
      </c>
      <c r="Y9" s="36"/>
      <c r="Z9" s="62"/>
      <c r="AA9" s="33">
        <v>3709.6774193548385</v>
      </c>
      <c r="AB9" s="33">
        <v>2478.9900000000002</v>
      </c>
      <c r="AC9" s="36"/>
      <c r="AD9" s="35">
        <v>741.93548387096769</v>
      </c>
      <c r="AE9" s="35">
        <v>580.72</v>
      </c>
      <c r="AF9" s="115">
        <v>0.78270956521739143</v>
      </c>
      <c r="AG9" s="36"/>
      <c r="AH9" s="35">
        <v>855.69500000000005</v>
      </c>
      <c r="AI9" s="35">
        <v>26526.545000000002</v>
      </c>
      <c r="AJ9" s="115">
        <v>1.1533280434782609</v>
      </c>
      <c r="AK9" s="36"/>
      <c r="AL9" s="108">
        <v>0.2</v>
      </c>
      <c r="AM9" s="108">
        <v>0.23425669325007362</v>
      </c>
      <c r="AN9" s="36"/>
      <c r="AO9" s="38">
        <v>6.4421397423950815</v>
      </c>
      <c r="AP9" s="70">
        <v>0</v>
      </c>
    </row>
    <row r="10" spans="1:43" ht="12.75" customHeight="1" x14ac:dyDescent="0.3">
      <c r="A10" s="7" t="s">
        <v>4</v>
      </c>
      <c r="B10" s="214"/>
      <c r="C10" s="6" t="s">
        <v>10</v>
      </c>
      <c r="D10" s="7"/>
      <c r="E10" s="33">
        <v>138828.45999999996</v>
      </c>
      <c r="F10" s="123">
        <v>0.73067610526315774</v>
      </c>
      <c r="G10" s="7"/>
      <c r="H10" s="35">
        <v>190000</v>
      </c>
      <c r="I10" s="35">
        <v>147096.77419354839</v>
      </c>
      <c r="J10" s="35">
        <v>150296.92999999813</v>
      </c>
      <c r="K10" s="70">
        <v>1.0217554451754258</v>
      </c>
      <c r="L10" s="36"/>
      <c r="M10" s="35">
        <v>36480</v>
      </c>
      <c r="N10" s="35">
        <v>28242.580645161288</v>
      </c>
      <c r="O10" s="37">
        <v>0</v>
      </c>
      <c r="P10" s="35">
        <v>30887.740000000071</v>
      </c>
      <c r="Q10" s="115">
        <v>1.093658557200295</v>
      </c>
      <c r="R10" s="36"/>
      <c r="S10" s="127">
        <v>0.192</v>
      </c>
      <c r="T10" s="127">
        <v>0.20551144990120859</v>
      </c>
      <c r="U10" s="36"/>
      <c r="V10" s="35"/>
      <c r="W10" s="38">
        <v>5.648990967412554</v>
      </c>
      <c r="X10" s="69" t="s">
        <v>69</v>
      </c>
      <c r="Y10" s="36"/>
      <c r="Z10" s="62"/>
      <c r="AA10" s="33">
        <v>6129.0322580645161</v>
      </c>
      <c r="AB10" s="33">
        <v>2950.1000000000013</v>
      </c>
      <c r="AC10" s="36"/>
      <c r="AD10" s="35">
        <v>1176.7741935483871</v>
      </c>
      <c r="AE10" s="35">
        <v>733.5999999999998</v>
      </c>
      <c r="AF10" s="115">
        <v>0.62339912280701737</v>
      </c>
      <c r="AG10" s="36"/>
      <c r="AH10" s="35">
        <v>1286.9891666666697</v>
      </c>
      <c r="AI10" s="35">
        <v>39896.664166666764</v>
      </c>
      <c r="AJ10" s="115">
        <v>1.093658557200295</v>
      </c>
      <c r="AK10" s="36"/>
      <c r="AL10" s="108">
        <v>0.192</v>
      </c>
      <c r="AM10" s="108">
        <v>0.2486695366258769</v>
      </c>
      <c r="AN10" s="36"/>
      <c r="AO10" s="38">
        <v>9.6193349377987687</v>
      </c>
      <c r="AP10" s="70">
        <v>0</v>
      </c>
    </row>
    <row r="11" spans="1:43" ht="12.75" customHeight="1" x14ac:dyDescent="0.3">
      <c r="A11" s="7" t="s">
        <v>4</v>
      </c>
      <c r="B11" s="214"/>
      <c r="C11" s="6" t="s">
        <v>12</v>
      </c>
      <c r="D11" s="7"/>
      <c r="E11" s="33">
        <v>34417.25</v>
      </c>
      <c r="F11" s="123">
        <v>0.71702604166666661</v>
      </c>
      <c r="G11" s="7"/>
      <c r="H11" s="35">
        <v>48000</v>
      </c>
      <c r="I11" s="35">
        <v>36923.076923076922</v>
      </c>
      <c r="J11" s="35">
        <v>35645.609999999993</v>
      </c>
      <c r="K11" s="70">
        <v>0.96540193749999981</v>
      </c>
      <c r="L11" s="36"/>
      <c r="M11" s="35">
        <v>5760</v>
      </c>
      <c r="N11" s="35">
        <v>4430.7692307692305</v>
      </c>
      <c r="O11" s="37">
        <v>0</v>
      </c>
      <c r="P11" s="35">
        <v>9863.08</v>
      </c>
      <c r="Q11" s="115">
        <v>2.2260423611111113</v>
      </c>
      <c r="R11" s="36"/>
      <c r="S11" s="127">
        <v>0.12</v>
      </c>
      <c r="T11" s="127">
        <v>0.27669830871178813</v>
      </c>
      <c r="U11" s="36"/>
      <c r="V11" s="35"/>
      <c r="W11" s="38">
        <v>9.9684365059259505</v>
      </c>
      <c r="X11" s="69" t="s">
        <v>69</v>
      </c>
      <c r="Y11" s="36"/>
      <c r="Z11" s="62"/>
      <c r="AA11" s="33">
        <v>1846.1538461538462</v>
      </c>
      <c r="AB11" s="33">
        <v>1255.3</v>
      </c>
      <c r="AC11" s="36"/>
      <c r="AD11" s="35">
        <v>221.53846153846155</v>
      </c>
      <c r="AE11" s="35">
        <v>234.47</v>
      </c>
      <c r="AF11" s="115">
        <v>1.0583715277777777</v>
      </c>
      <c r="AG11" s="36"/>
      <c r="AH11" s="35">
        <v>493.154</v>
      </c>
      <c r="AI11" s="35">
        <v>12822.004000000001</v>
      </c>
      <c r="AJ11" s="115">
        <v>2.2260423611111113</v>
      </c>
      <c r="AK11" s="36"/>
      <c r="AL11" s="108">
        <v>0.12</v>
      </c>
      <c r="AM11" s="108">
        <v>0.18678403568867999</v>
      </c>
      <c r="AN11" s="36"/>
      <c r="AO11" s="38">
        <v>4.5367641201306323</v>
      </c>
      <c r="AP11" s="70">
        <v>0</v>
      </c>
    </row>
    <row r="12" spans="1:43" s="15" customFormat="1" ht="14.25" customHeight="1" x14ac:dyDescent="0.3">
      <c r="A12" s="26"/>
      <c r="B12" s="214"/>
      <c r="C12" s="9" t="s">
        <v>50</v>
      </c>
      <c r="D12" s="26"/>
      <c r="E12" s="27">
        <v>298916.09999999998</v>
      </c>
      <c r="F12" s="124">
        <v>0.69354083526682131</v>
      </c>
      <c r="G12" s="26"/>
      <c r="H12" s="29">
        <v>431000</v>
      </c>
      <c r="I12" s="29">
        <v>333052.10918114142</v>
      </c>
      <c r="J12" s="29">
        <v>320231.12999999849</v>
      </c>
      <c r="K12" s="31">
        <v>0.96150458493517654</v>
      </c>
      <c r="L12" s="39"/>
      <c r="M12" s="29">
        <v>80762</v>
      </c>
      <c r="N12" s="29">
        <v>62419.801488833749</v>
      </c>
      <c r="O12" s="27">
        <v>0</v>
      </c>
      <c r="P12" s="29">
        <v>73773.250000000073</v>
      </c>
      <c r="Q12" s="31">
        <v>1.1818885712604732</v>
      </c>
      <c r="R12" s="39"/>
      <c r="S12" s="128">
        <v>0.18738283062645011</v>
      </c>
      <c r="T12" s="128">
        <v>0.23037501069930466</v>
      </c>
      <c r="U12" s="39"/>
      <c r="V12" s="29"/>
      <c r="W12" s="32">
        <v>7.3818619695088783</v>
      </c>
      <c r="X12" s="30" t="s">
        <v>69</v>
      </c>
      <c r="Y12" s="39"/>
      <c r="Z12" s="62"/>
      <c r="AA12" s="27">
        <v>14684.863523573202</v>
      </c>
      <c r="AB12" s="27">
        <v>9869.7400000000016</v>
      </c>
      <c r="AC12" s="39"/>
      <c r="AD12" s="29">
        <v>2737.2481389578165</v>
      </c>
      <c r="AE12" s="29">
        <v>2231.5799999999995</v>
      </c>
      <c r="AF12" s="31">
        <v>0.81526404867687818</v>
      </c>
      <c r="AG12" s="39"/>
      <c r="AH12" s="29">
        <v>3260.12566666667</v>
      </c>
      <c r="AI12" s="29">
        <v>95476.688166666761</v>
      </c>
      <c r="AJ12" s="31">
        <v>1.1821981645658448</v>
      </c>
      <c r="AK12" s="39"/>
      <c r="AL12" s="80">
        <v>0.18738283062645011</v>
      </c>
      <c r="AM12" s="80">
        <v>0.22610322055089588</v>
      </c>
      <c r="AN12" s="39"/>
      <c r="AO12" s="32">
        <v>0</v>
      </c>
      <c r="AP12" s="31">
        <v>0</v>
      </c>
      <c r="AQ12" s="10"/>
    </row>
    <row r="13" spans="1:43" ht="8" customHeight="1" x14ac:dyDescent="0.3">
      <c r="B13" s="16"/>
      <c r="D13" s="34"/>
      <c r="E13" s="47"/>
      <c r="F13" s="125"/>
      <c r="G13" s="34"/>
      <c r="H13" s="48"/>
      <c r="I13" s="48"/>
      <c r="J13" s="48"/>
      <c r="K13" s="51"/>
      <c r="L13" s="34"/>
      <c r="M13" s="48"/>
      <c r="N13" s="48"/>
      <c r="O13" s="51"/>
      <c r="P13" s="48"/>
      <c r="Q13" s="47"/>
      <c r="R13" s="34"/>
      <c r="S13" s="51"/>
      <c r="T13" s="51"/>
      <c r="U13" s="34"/>
      <c r="V13" s="48"/>
      <c r="W13" s="52"/>
      <c r="X13" s="48"/>
      <c r="Y13" s="34"/>
      <c r="Z13" s="62"/>
      <c r="AA13" s="47"/>
      <c r="AB13" s="47"/>
      <c r="AC13" s="36"/>
      <c r="AD13" s="48"/>
      <c r="AE13" s="48"/>
      <c r="AF13" s="47"/>
      <c r="AG13" s="36"/>
      <c r="AH13" s="48"/>
      <c r="AI13" s="48"/>
      <c r="AJ13" s="47"/>
      <c r="AK13" s="36"/>
      <c r="AL13" s="49"/>
      <c r="AM13" s="53"/>
      <c r="AN13" s="36"/>
      <c r="AO13" s="52"/>
      <c r="AP13" s="47"/>
    </row>
    <row r="14" spans="1:43" ht="12" customHeight="1" x14ac:dyDescent="0.3">
      <c r="A14" s="7" t="s">
        <v>24</v>
      </c>
      <c r="B14" s="211" t="s">
        <v>25</v>
      </c>
      <c r="C14" s="6" t="s">
        <v>8</v>
      </c>
      <c r="D14" s="34"/>
      <c r="E14" s="33">
        <v>893235.06000000145</v>
      </c>
      <c r="F14" s="131">
        <v>1.7687822970297058</v>
      </c>
      <c r="G14" s="7"/>
      <c r="H14" s="35">
        <v>505000</v>
      </c>
      <c r="I14" s="35">
        <v>388461.53846153844</v>
      </c>
      <c r="J14" s="35">
        <v>394918.57999999233</v>
      </c>
      <c r="K14" s="70">
        <v>1.0166220871286933</v>
      </c>
      <c r="L14" s="36"/>
      <c r="M14" s="35">
        <v>51510</v>
      </c>
      <c r="N14" s="35">
        <v>39623.076923076922</v>
      </c>
      <c r="O14" s="37">
        <v>0</v>
      </c>
      <c r="P14" s="35">
        <v>42441.622650000187</v>
      </c>
      <c r="Q14" s="115">
        <v>1.0711339437973257</v>
      </c>
      <c r="R14" s="36"/>
      <c r="S14" s="127">
        <v>0.10199999999999999</v>
      </c>
      <c r="T14" s="127">
        <v>0.10746929822851335</v>
      </c>
      <c r="U14" s="36"/>
      <c r="V14" s="35"/>
      <c r="W14" s="38">
        <v>0.2252167142894243</v>
      </c>
      <c r="X14" s="69" t="s">
        <v>69</v>
      </c>
      <c r="Y14" s="36"/>
      <c r="Z14" s="62"/>
      <c r="AA14" s="33">
        <v>19423.076923076922</v>
      </c>
      <c r="AB14" s="33">
        <v>14827.379999999965</v>
      </c>
      <c r="AC14" s="36"/>
      <c r="AD14" s="35">
        <v>1981.1538461538462</v>
      </c>
      <c r="AE14" s="35">
        <v>1752.6861500000014</v>
      </c>
      <c r="AF14" s="115">
        <v>0.88467947777130718</v>
      </c>
      <c r="AG14" s="36"/>
      <c r="AH14" s="35">
        <v>2122.0811325000095</v>
      </c>
      <c r="AI14" s="35">
        <v>55174.109445000249</v>
      </c>
      <c r="AJ14" s="115">
        <v>1.0711339437973257</v>
      </c>
      <c r="AK14" s="36"/>
      <c r="AL14" s="108">
        <v>0.10199999999999999</v>
      </c>
      <c r="AM14" s="108">
        <v>0.11820605865635099</v>
      </c>
      <c r="AN14" s="36"/>
      <c r="AO14" s="38">
        <v>0.94929886466769609</v>
      </c>
      <c r="AP14" s="70">
        <v>0</v>
      </c>
    </row>
    <row r="15" spans="1:43" ht="12.75" customHeight="1" x14ac:dyDescent="0.3">
      <c r="A15" s="7" t="s">
        <v>24</v>
      </c>
      <c r="B15" s="211"/>
      <c r="C15" s="6" t="s">
        <v>9</v>
      </c>
      <c r="D15" s="34"/>
      <c r="E15" s="33">
        <v>1253331.6899999974</v>
      </c>
      <c r="F15" s="131">
        <v>1.4658850175438567</v>
      </c>
      <c r="G15" s="7"/>
      <c r="H15" s="35">
        <v>855000</v>
      </c>
      <c r="I15" s="35">
        <v>661935.48387096776</v>
      </c>
      <c r="J15" s="35">
        <v>677938.5699999521</v>
      </c>
      <c r="K15" s="70">
        <v>1.024176202241643</v>
      </c>
      <c r="L15" s="36"/>
      <c r="M15" s="35">
        <v>106020</v>
      </c>
      <c r="N15" s="35">
        <v>82080</v>
      </c>
      <c r="O15" s="37">
        <v>0</v>
      </c>
      <c r="P15" s="35">
        <v>92750.210900001213</v>
      </c>
      <c r="Q15" s="115">
        <v>1.1299976961501121</v>
      </c>
      <c r="R15" s="36"/>
      <c r="S15" s="127">
        <v>0.124</v>
      </c>
      <c r="T15" s="127">
        <v>0.13681211691497028</v>
      </c>
      <c r="U15" s="36"/>
      <c r="V15" s="35"/>
      <c r="W15" s="38">
        <v>3.6693547174866517</v>
      </c>
      <c r="X15" s="69" t="s">
        <v>69</v>
      </c>
      <c r="Y15" s="36"/>
      <c r="Z15" s="62"/>
      <c r="AA15" s="33">
        <v>27580.645161290322</v>
      </c>
      <c r="AB15" s="33">
        <v>30754.029999999973</v>
      </c>
      <c r="AC15" s="36"/>
      <c r="AD15" s="35">
        <v>3420</v>
      </c>
      <c r="AE15" s="35">
        <v>4514.4493000000011</v>
      </c>
      <c r="AF15" s="115">
        <v>1.3200144152046787</v>
      </c>
      <c r="AG15" s="36"/>
      <c r="AH15" s="35">
        <v>3864.5921208333839</v>
      </c>
      <c r="AI15" s="35">
        <v>119802.3557458349</v>
      </c>
      <c r="AJ15" s="115">
        <v>1.1299976961501121</v>
      </c>
      <c r="AK15" s="36"/>
      <c r="AL15" s="108">
        <v>0.124</v>
      </c>
      <c r="AM15" s="108">
        <v>0.14679212122768967</v>
      </c>
      <c r="AN15" s="36"/>
      <c r="AO15" s="38">
        <v>4.726240105768202</v>
      </c>
      <c r="AP15" s="70">
        <v>0</v>
      </c>
    </row>
    <row r="16" spans="1:43" ht="12.75" customHeight="1" x14ac:dyDescent="0.3">
      <c r="A16" s="7" t="s">
        <v>24</v>
      </c>
      <c r="B16" s="211"/>
      <c r="C16" s="6" t="s">
        <v>10</v>
      </c>
      <c r="D16" s="34"/>
      <c r="E16" s="33">
        <v>1835494.7599999986</v>
      </c>
      <c r="F16" s="131">
        <v>1.4922721626016249</v>
      </c>
      <c r="G16" s="7"/>
      <c r="H16" s="35">
        <v>1230000</v>
      </c>
      <c r="I16" s="35">
        <v>952258.06451612909</v>
      </c>
      <c r="J16" s="35">
        <v>938983.77999992785</v>
      </c>
      <c r="K16" s="70">
        <v>0.98606020257444993</v>
      </c>
      <c r="L16" s="36"/>
      <c r="M16" s="35">
        <v>170891.33832238274</v>
      </c>
      <c r="N16" s="35">
        <v>132302.97160442534</v>
      </c>
      <c r="O16" s="37">
        <v>5000</v>
      </c>
      <c r="P16" s="35">
        <v>124811.49110000003</v>
      </c>
      <c r="Q16" s="115">
        <v>0.94337632470702015</v>
      </c>
      <c r="R16" s="36"/>
      <c r="S16" s="127">
        <v>0.13893604741657134</v>
      </c>
      <c r="T16" s="127">
        <v>0.13292188188810847</v>
      </c>
      <c r="U16" s="36"/>
      <c r="V16" s="35"/>
      <c r="W16" s="38">
        <v>2.9663165321056968</v>
      </c>
      <c r="X16" s="69" t="s">
        <v>69</v>
      </c>
      <c r="Y16" s="36"/>
      <c r="Z16" s="62"/>
      <c r="AA16" s="33">
        <v>39677.419354838712</v>
      </c>
      <c r="AB16" s="33">
        <v>28956.879999999972</v>
      </c>
      <c r="AC16" s="36"/>
      <c r="AD16" s="35">
        <v>5512.6238168510563</v>
      </c>
      <c r="AE16" s="35">
        <v>3722.8100000000004</v>
      </c>
      <c r="AF16" s="115">
        <v>0.67532451400367077</v>
      </c>
      <c r="AG16" s="36"/>
      <c r="AH16" s="35">
        <v>5200.4787958333345</v>
      </c>
      <c r="AI16" s="35">
        <v>161214.84267083337</v>
      </c>
      <c r="AJ16" s="115">
        <v>0.94337632470702015</v>
      </c>
      <c r="AK16" s="36"/>
      <c r="AL16" s="108">
        <v>0.13893604741657134</v>
      </c>
      <c r="AM16" s="108">
        <v>0.12856391986982038</v>
      </c>
      <c r="AN16" s="36"/>
      <c r="AO16" s="38">
        <v>2.8892615502774417</v>
      </c>
      <c r="AP16" s="70">
        <v>0</v>
      </c>
    </row>
    <row r="17" spans="1:43" ht="12.75" customHeight="1" x14ac:dyDescent="0.3">
      <c r="A17" s="7" t="s">
        <v>24</v>
      </c>
      <c r="B17" s="211"/>
      <c r="C17" s="6" t="s">
        <v>12</v>
      </c>
      <c r="D17" s="34"/>
      <c r="E17" s="33">
        <v>51415.149999999994</v>
      </c>
      <c r="F17" s="131">
        <v>1.1177206521739129</v>
      </c>
      <c r="G17" s="7"/>
      <c r="H17" s="35">
        <v>46000</v>
      </c>
      <c r="I17" s="35">
        <v>35384.615384615383</v>
      </c>
      <c r="J17" s="35">
        <v>27538.190000000242</v>
      </c>
      <c r="K17" s="70">
        <v>0.77825319565218076</v>
      </c>
      <c r="L17" s="36"/>
      <c r="M17" s="35">
        <v>6566.3465285347293</v>
      </c>
      <c r="N17" s="35">
        <v>5051.0357911805604</v>
      </c>
      <c r="O17" s="37">
        <v>0</v>
      </c>
      <c r="P17" s="35">
        <v>4071.1400000000058</v>
      </c>
      <c r="Q17" s="115">
        <v>0.80600102004988428</v>
      </c>
      <c r="R17" s="36"/>
      <c r="S17" s="127">
        <v>0.14274666366379846</v>
      </c>
      <c r="T17" s="127">
        <v>0.14783615045142653</v>
      </c>
      <c r="U17" s="36"/>
      <c r="V17" s="35"/>
      <c r="W17" s="38">
        <v>3.9291979610866363</v>
      </c>
      <c r="X17" s="69" t="s">
        <v>69</v>
      </c>
      <c r="Y17" s="36"/>
      <c r="Z17" s="62"/>
      <c r="AA17" s="33">
        <v>1769.2307692307693</v>
      </c>
      <c r="AB17" s="33">
        <v>2399.7900000000004</v>
      </c>
      <c r="AC17" s="36"/>
      <c r="AD17" s="35">
        <v>252.55178955902804</v>
      </c>
      <c r="AE17" s="35">
        <v>457.60000000000008</v>
      </c>
      <c r="AF17" s="115">
        <v>1.8119055929043293</v>
      </c>
      <c r="AG17" s="36"/>
      <c r="AH17" s="35">
        <v>203.5570000000003</v>
      </c>
      <c r="AI17" s="35">
        <v>5292.4820000000082</v>
      </c>
      <c r="AJ17" s="115">
        <v>0.80600102004988428</v>
      </c>
      <c r="AK17" s="36"/>
      <c r="AL17" s="108">
        <v>0.14274666366379846</v>
      </c>
      <c r="AM17" s="108">
        <v>0.19068335145991941</v>
      </c>
      <c r="AN17" s="36"/>
      <c r="AO17" s="38">
        <v>6.2259614382925292</v>
      </c>
      <c r="AP17" s="70">
        <v>0</v>
      </c>
    </row>
    <row r="18" spans="1:43" s="15" customFormat="1" ht="14.25" customHeight="1" x14ac:dyDescent="0.3">
      <c r="A18" s="26"/>
      <c r="B18" s="211"/>
      <c r="C18" s="9" t="s">
        <v>26</v>
      </c>
      <c r="D18" s="28"/>
      <c r="E18" s="27">
        <v>4033476.6599999978</v>
      </c>
      <c r="F18" s="124">
        <v>1.5301504779969644</v>
      </c>
      <c r="G18" s="26"/>
      <c r="H18" s="29">
        <v>2636000</v>
      </c>
      <c r="I18" s="29">
        <v>2038039.7022332507</v>
      </c>
      <c r="J18" s="29">
        <v>2039379.1199998725</v>
      </c>
      <c r="K18" s="31">
        <v>1.00065720886848</v>
      </c>
      <c r="L18" s="39"/>
      <c r="M18" s="29">
        <v>334987.68485091749</v>
      </c>
      <c r="N18" s="29">
        <v>259057.08431868284</v>
      </c>
      <c r="O18" s="27">
        <v>5000</v>
      </c>
      <c r="P18" s="29">
        <v>264074.46465000144</v>
      </c>
      <c r="Q18" s="31">
        <v>1.0193678561021184</v>
      </c>
      <c r="R18" s="39"/>
      <c r="S18" s="128">
        <v>0.12708182278107644</v>
      </c>
      <c r="T18" s="128">
        <v>0.12948767694062591</v>
      </c>
      <c r="U18" s="39"/>
      <c r="V18" s="29"/>
      <c r="W18" s="32">
        <v>2.6822209815447002</v>
      </c>
      <c r="X18" s="30" t="s">
        <v>69</v>
      </c>
      <c r="Y18" s="39"/>
      <c r="Z18" s="62"/>
      <c r="AA18" s="27">
        <v>88450.372208436718</v>
      </c>
      <c r="AB18" s="27">
        <v>76938.0799999999</v>
      </c>
      <c r="AC18" s="39"/>
      <c r="AD18" s="29">
        <v>11166.329452563928</v>
      </c>
      <c r="AE18" s="29">
        <v>10447.545450000003</v>
      </c>
      <c r="AF18" s="31">
        <v>0.93562933946939175</v>
      </c>
      <c r="AG18" s="39"/>
      <c r="AH18" s="29">
        <v>11390.70904916673</v>
      </c>
      <c r="AI18" s="29">
        <v>341483.78986166854</v>
      </c>
      <c r="AJ18" s="31">
        <v>1.019392071125367</v>
      </c>
      <c r="AK18" s="39"/>
      <c r="AL18" s="80">
        <v>0.12708182278107644</v>
      </c>
      <c r="AM18" s="80">
        <v>0.13579160605515522</v>
      </c>
      <c r="AN18" s="39"/>
      <c r="AO18" s="32">
        <v>0</v>
      </c>
      <c r="AP18" s="31">
        <v>0</v>
      </c>
      <c r="AQ18" s="10"/>
    </row>
    <row r="19" spans="1:43" ht="8" customHeight="1" x14ac:dyDescent="0.3">
      <c r="B19" s="16"/>
      <c r="D19" s="34"/>
      <c r="E19" s="47"/>
      <c r="F19" s="125"/>
      <c r="G19" s="34"/>
      <c r="H19" s="48"/>
      <c r="I19" s="48"/>
      <c r="J19" s="48"/>
      <c r="K19" s="51"/>
      <c r="L19" s="34"/>
      <c r="M19" s="48"/>
      <c r="N19" s="48"/>
      <c r="O19" s="51"/>
      <c r="P19" s="48"/>
      <c r="Q19" s="47"/>
      <c r="R19" s="34"/>
      <c r="S19" s="51"/>
      <c r="T19" s="51"/>
      <c r="U19" s="34"/>
      <c r="V19" s="48"/>
      <c r="W19" s="52"/>
      <c r="X19" s="48"/>
      <c r="Y19" s="34"/>
      <c r="Z19" s="62"/>
      <c r="AA19" s="47"/>
      <c r="AB19" s="47"/>
      <c r="AC19" s="36"/>
      <c r="AD19" s="48"/>
      <c r="AE19" s="48"/>
      <c r="AF19" s="47"/>
      <c r="AG19" s="36"/>
      <c r="AH19" s="48"/>
      <c r="AI19" s="48"/>
      <c r="AJ19" s="47"/>
      <c r="AK19" s="36"/>
      <c r="AL19" s="49"/>
      <c r="AM19" s="53"/>
      <c r="AN19" s="36"/>
      <c r="AO19" s="52"/>
      <c r="AP19" s="47"/>
    </row>
    <row r="20" spans="1:43" ht="12" customHeight="1" x14ac:dyDescent="0.3">
      <c r="A20" s="7" t="s">
        <v>14</v>
      </c>
      <c r="B20" s="211" t="s">
        <v>33</v>
      </c>
      <c r="C20" s="6" t="s">
        <v>8</v>
      </c>
      <c r="D20" s="34"/>
      <c r="E20" s="33">
        <v>77234.690000000017</v>
      </c>
      <c r="F20" s="123">
        <v>0.44903889534883729</v>
      </c>
      <c r="G20" s="7"/>
      <c r="H20" s="35">
        <v>172000</v>
      </c>
      <c r="I20" s="35">
        <v>132307.69230769231</v>
      </c>
      <c r="J20" s="35">
        <v>134649.73000000056</v>
      </c>
      <c r="K20" s="70">
        <v>1.0177014476744228</v>
      </c>
      <c r="L20" s="36"/>
      <c r="M20" s="35">
        <v>31045.208551705378</v>
      </c>
      <c r="N20" s="35">
        <v>23880.929655157983</v>
      </c>
      <c r="O20" s="37">
        <v>0</v>
      </c>
      <c r="P20" s="35">
        <v>21511.247810000001</v>
      </c>
      <c r="Q20" s="115">
        <v>0.90077095492611359</v>
      </c>
      <c r="R20" s="36"/>
      <c r="S20" s="127">
        <v>0.18049539855642663</v>
      </c>
      <c r="T20" s="127">
        <v>0.1597570809091107</v>
      </c>
      <c r="U20" s="36"/>
      <c r="V20" s="35"/>
      <c r="W20" s="38">
        <v>-0.30644115662122201</v>
      </c>
      <c r="X20" s="69" t="s">
        <v>69</v>
      </c>
      <c r="Y20" s="36"/>
      <c r="Z20" s="62"/>
      <c r="AA20" s="33">
        <v>6615.3846153846152</v>
      </c>
      <c r="AB20" s="33">
        <v>6988.5899999999992</v>
      </c>
      <c r="AC20" s="36"/>
      <c r="AD20" s="35">
        <v>1194.0464827578992</v>
      </c>
      <c r="AE20" s="35">
        <v>1230.1117000000002</v>
      </c>
      <c r="AF20" s="115">
        <v>1.0302041987166202</v>
      </c>
      <c r="AG20" s="36"/>
      <c r="AH20" s="35">
        <v>1075.5623905</v>
      </c>
      <c r="AI20" s="35">
        <v>27964.622153</v>
      </c>
      <c r="AJ20" s="115">
        <v>0.90077095492611359</v>
      </c>
      <c r="AK20" s="36"/>
      <c r="AL20" s="108">
        <v>0.18049539855642663</v>
      </c>
      <c r="AM20" s="108">
        <v>0.17601715081296804</v>
      </c>
      <c r="AN20" s="36"/>
      <c r="AO20" s="38">
        <v>2.0497940213977848</v>
      </c>
      <c r="AP20" s="70">
        <v>0</v>
      </c>
    </row>
    <row r="21" spans="1:43" ht="12.75" customHeight="1" x14ac:dyDescent="0.3">
      <c r="A21" s="7" t="s">
        <v>14</v>
      </c>
      <c r="B21" s="211"/>
      <c r="C21" s="6" t="s">
        <v>9</v>
      </c>
      <c r="D21" s="34"/>
      <c r="E21" s="33">
        <v>86353.490000000093</v>
      </c>
      <c r="F21" s="123">
        <v>0.50796170588235345</v>
      </c>
      <c r="G21" s="7"/>
      <c r="H21" s="35">
        <v>170000</v>
      </c>
      <c r="I21" s="35">
        <v>131612.90322580645</v>
      </c>
      <c r="J21" s="35">
        <v>145807.05000000063</v>
      </c>
      <c r="K21" s="70">
        <v>1.1078476838235343</v>
      </c>
      <c r="L21" s="36"/>
      <c r="M21" s="35">
        <v>40800</v>
      </c>
      <c r="N21" s="35">
        <v>31587.096774193553</v>
      </c>
      <c r="O21" s="37">
        <v>0</v>
      </c>
      <c r="P21" s="35">
        <v>33794.874190000046</v>
      </c>
      <c r="Q21" s="115">
        <v>1.0698949141033509</v>
      </c>
      <c r="R21" s="36"/>
      <c r="S21" s="127">
        <v>0.24</v>
      </c>
      <c r="T21" s="127">
        <v>0.23177805318741379</v>
      </c>
      <c r="U21" s="36"/>
      <c r="V21" s="35"/>
      <c r="W21" s="38">
        <v>7.1409881689533936</v>
      </c>
      <c r="X21" s="69" t="s">
        <v>69</v>
      </c>
      <c r="Y21" s="36"/>
      <c r="Z21" s="62"/>
      <c r="AA21" s="33">
        <v>5483.8709677419356</v>
      </c>
      <c r="AB21" s="33">
        <v>3093.89</v>
      </c>
      <c r="AC21" s="36"/>
      <c r="AD21" s="35">
        <v>1316.1290322580646</v>
      </c>
      <c r="AE21" s="35">
        <v>935.75009999999997</v>
      </c>
      <c r="AF21" s="115">
        <v>0.71098659558823518</v>
      </c>
      <c r="AG21" s="36"/>
      <c r="AH21" s="35">
        <v>1408.1197579166685</v>
      </c>
      <c r="AI21" s="35">
        <v>43651.712495416723</v>
      </c>
      <c r="AJ21" s="115">
        <v>1.0698949141033511</v>
      </c>
      <c r="AK21" s="36"/>
      <c r="AL21" s="108">
        <v>0.24</v>
      </c>
      <c r="AM21" s="108">
        <v>0.30245099211672039</v>
      </c>
      <c r="AN21" s="36"/>
      <c r="AO21" s="38">
        <v>14.206713877998284</v>
      </c>
      <c r="AP21" s="70">
        <v>0</v>
      </c>
    </row>
    <row r="22" spans="1:43" ht="12.75" customHeight="1" x14ac:dyDescent="0.3">
      <c r="A22" s="7" t="s">
        <v>14</v>
      </c>
      <c r="B22" s="211"/>
      <c r="C22" s="6" t="s">
        <v>10</v>
      </c>
      <c r="D22" s="34"/>
      <c r="E22" s="33">
        <v>160958.45999999993</v>
      </c>
      <c r="F22" s="123">
        <v>0.53652819999999979</v>
      </c>
      <c r="G22" s="7"/>
      <c r="H22" s="35">
        <v>300000</v>
      </c>
      <c r="I22" s="35">
        <v>232258.06451612903</v>
      </c>
      <c r="J22" s="35">
        <v>217291.39999999467</v>
      </c>
      <c r="K22" s="70">
        <v>0.93556019444442151</v>
      </c>
      <c r="L22" s="36"/>
      <c r="M22" s="35">
        <v>73642.908202804829</v>
      </c>
      <c r="N22" s="35">
        <v>57013.864415074699</v>
      </c>
      <c r="O22" s="37">
        <v>1357.86</v>
      </c>
      <c r="P22" s="35">
        <v>56086.325590000073</v>
      </c>
      <c r="Q22" s="115">
        <v>0.98373134614552837</v>
      </c>
      <c r="R22" s="36"/>
      <c r="S22" s="127">
        <v>0.24547636067601611</v>
      </c>
      <c r="T22" s="127">
        <v>0.25811571737308264</v>
      </c>
      <c r="U22" s="36"/>
      <c r="V22" s="35"/>
      <c r="W22" s="38">
        <v>9.2734252667137458</v>
      </c>
      <c r="X22" s="69" t="s">
        <v>69</v>
      </c>
      <c r="Y22" s="36"/>
      <c r="Z22" s="62"/>
      <c r="AA22" s="33">
        <v>9677.4193548387102</v>
      </c>
      <c r="AB22" s="33">
        <v>5605.2199999999966</v>
      </c>
      <c r="AC22" s="36"/>
      <c r="AD22" s="35">
        <v>2375.5776839614459</v>
      </c>
      <c r="AE22" s="35">
        <v>1495.9038999999991</v>
      </c>
      <c r="AF22" s="115">
        <v>0.62970110811340518</v>
      </c>
      <c r="AG22" s="36"/>
      <c r="AH22" s="35">
        <v>2336.9302329166699</v>
      </c>
      <c r="AI22" s="35">
        <v>72444.837220416768</v>
      </c>
      <c r="AJ22" s="115">
        <v>0.98373134614552837</v>
      </c>
      <c r="AK22" s="36"/>
      <c r="AL22" s="108">
        <v>0.24547636067601611</v>
      </c>
      <c r="AM22" s="108">
        <v>0.26687692900546278</v>
      </c>
      <c r="AN22" s="36"/>
      <c r="AO22" s="38">
        <v>10.909186436928362</v>
      </c>
      <c r="AP22" s="70">
        <v>0</v>
      </c>
    </row>
    <row r="23" spans="1:43" ht="12.75" customHeight="1" x14ac:dyDescent="0.3">
      <c r="A23" s="7" t="s">
        <v>14</v>
      </c>
      <c r="B23" s="211"/>
      <c r="C23" s="6" t="s">
        <v>12</v>
      </c>
      <c r="D23" s="34"/>
      <c r="E23" s="33">
        <v>44612.039999999994</v>
      </c>
      <c r="F23" s="123">
        <v>5.0125887640449431E-2</v>
      </c>
      <c r="G23" s="7"/>
      <c r="H23" s="35">
        <v>890000</v>
      </c>
      <c r="I23" s="35">
        <v>684615.38461538474</v>
      </c>
      <c r="J23" s="35">
        <v>665115.70999999961</v>
      </c>
      <c r="K23" s="70">
        <v>0.97151732921348244</v>
      </c>
      <c r="L23" s="36"/>
      <c r="M23" s="35">
        <v>228323.22150295851</v>
      </c>
      <c r="N23" s="35">
        <v>175633.24730996805</v>
      </c>
      <c r="O23" s="37">
        <v>11134.55</v>
      </c>
      <c r="P23" s="35">
        <v>102510.73999999996</v>
      </c>
      <c r="Q23" s="115">
        <v>0.58366363755196582</v>
      </c>
      <c r="R23" s="36"/>
      <c r="S23" s="127">
        <v>0.25654294550894213</v>
      </c>
      <c r="T23" s="127">
        <v>0.15412467102904548</v>
      </c>
      <c r="U23" s="36"/>
      <c r="V23" s="35"/>
      <c r="W23" s="38">
        <v>-2.6140444043940665</v>
      </c>
      <c r="X23" s="69" t="s">
        <v>69</v>
      </c>
      <c r="Y23" s="36"/>
      <c r="Z23" s="62"/>
      <c r="AA23" s="33">
        <v>34230.769230769234</v>
      </c>
      <c r="AB23" s="33">
        <v>69568.12</v>
      </c>
      <c r="AC23" s="36"/>
      <c r="AD23" s="35">
        <v>8781.6623654984032</v>
      </c>
      <c r="AE23" s="35">
        <v>9532.35</v>
      </c>
      <c r="AF23" s="115">
        <v>1.0854835455130813</v>
      </c>
      <c r="AG23" s="36"/>
      <c r="AH23" s="35">
        <v>5125.5369999999984</v>
      </c>
      <c r="AI23" s="35">
        <v>133263.96199999997</v>
      </c>
      <c r="AJ23" s="115">
        <v>0.58366363755196582</v>
      </c>
      <c r="AK23" s="36"/>
      <c r="AL23" s="108">
        <v>0.25654294550894213</v>
      </c>
      <c r="AM23" s="108">
        <v>0.13702181401481026</v>
      </c>
      <c r="AN23" s="36"/>
      <c r="AO23" s="38">
        <v>-2.6041669661333358</v>
      </c>
      <c r="AP23" s="70">
        <v>0</v>
      </c>
    </row>
    <row r="24" spans="1:43" s="15" customFormat="1" ht="14.25" customHeight="1" x14ac:dyDescent="0.3">
      <c r="A24" s="26"/>
      <c r="B24" s="211"/>
      <c r="C24" s="9" t="s">
        <v>34</v>
      </c>
      <c r="D24" s="28"/>
      <c r="E24" s="27">
        <v>369158.68</v>
      </c>
      <c r="F24" s="124">
        <v>0.24096519582245429</v>
      </c>
      <c r="G24" s="26"/>
      <c r="H24" s="29">
        <v>1532000</v>
      </c>
      <c r="I24" s="29">
        <v>1180794.0446650125</v>
      </c>
      <c r="J24" s="29">
        <v>1162863.8899999955</v>
      </c>
      <c r="K24" s="31">
        <v>0.98481517183625045</v>
      </c>
      <c r="L24" s="39"/>
      <c r="M24" s="29">
        <v>373811.33825746871</v>
      </c>
      <c r="N24" s="29">
        <v>288115.13815439428</v>
      </c>
      <c r="O24" s="27">
        <v>12492.41</v>
      </c>
      <c r="P24" s="29">
        <v>213903.18759000007</v>
      </c>
      <c r="Q24" s="31">
        <v>0.74242259174654779</v>
      </c>
      <c r="R24" s="39"/>
      <c r="S24" s="128">
        <v>0.24400217901923546</v>
      </c>
      <c r="T24" s="128">
        <v>0.18394516282554865</v>
      </c>
      <c r="U24" s="39"/>
      <c r="V24" s="29"/>
      <c r="W24" s="32">
        <v>1.0975813850402887</v>
      </c>
      <c r="X24" s="30" t="s">
        <v>69</v>
      </c>
      <c r="Y24" s="39"/>
      <c r="Z24" s="62"/>
      <c r="AA24" s="27">
        <v>56007.444168734495</v>
      </c>
      <c r="AB24" s="27">
        <v>85255.819999999992</v>
      </c>
      <c r="AC24" s="39"/>
      <c r="AD24" s="29">
        <v>13667.415564475814</v>
      </c>
      <c r="AE24" s="29">
        <v>13194.115699999998</v>
      </c>
      <c r="AF24" s="31">
        <v>0.9653702002223441</v>
      </c>
      <c r="AG24" s="39"/>
      <c r="AH24" s="29">
        <v>9946.1493813333364</v>
      </c>
      <c r="AI24" s="29">
        <v>277325.13386883342</v>
      </c>
      <c r="AJ24" s="31">
        <v>0.7418852920876926</v>
      </c>
      <c r="AK24" s="39"/>
      <c r="AL24" s="80">
        <v>0.24400217901923546</v>
      </c>
      <c r="AM24" s="80">
        <v>0.15475912025712732</v>
      </c>
      <c r="AN24" s="39"/>
      <c r="AO24" s="32">
        <v>0</v>
      </c>
      <c r="AP24" s="31">
        <v>0</v>
      </c>
      <c r="AQ24" s="10"/>
    </row>
    <row r="25" spans="1:43" ht="8" customHeight="1" x14ac:dyDescent="0.3">
      <c r="B25" s="16"/>
      <c r="D25" s="34"/>
      <c r="E25" s="47"/>
      <c r="F25" s="125"/>
      <c r="G25" s="34"/>
      <c r="H25" s="48"/>
      <c r="I25" s="48"/>
      <c r="J25" s="48"/>
      <c r="K25" s="51"/>
      <c r="L25" s="34"/>
      <c r="M25" s="48"/>
      <c r="N25" s="48"/>
      <c r="O25" s="51"/>
      <c r="P25" s="48"/>
      <c r="Q25" s="47"/>
      <c r="R25" s="34"/>
      <c r="S25" s="51"/>
      <c r="T25" s="51"/>
      <c r="U25" s="34"/>
      <c r="V25" s="48"/>
      <c r="W25" s="52"/>
      <c r="X25" s="48"/>
      <c r="Y25" s="34"/>
      <c r="Z25" s="62"/>
      <c r="AA25" s="47"/>
      <c r="AB25" s="47"/>
      <c r="AC25" s="36"/>
      <c r="AD25" s="48"/>
      <c r="AE25" s="48"/>
      <c r="AF25" s="47"/>
      <c r="AG25" s="36"/>
      <c r="AH25" s="48"/>
      <c r="AI25" s="48"/>
      <c r="AJ25" s="47"/>
      <c r="AK25" s="36"/>
      <c r="AL25" s="49"/>
      <c r="AM25" s="53"/>
      <c r="AN25" s="36"/>
      <c r="AO25" s="52"/>
      <c r="AP25" s="47"/>
    </row>
    <row r="26" spans="1:43" ht="12.75" customHeight="1" x14ac:dyDescent="0.3">
      <c r="A26" s="7" t="s">
        <v>18</v>
      </c>
      <c r="B26" s="211" t="s">
        <v>53</v>
      </c>
      <c r="C26" s="6" t="s">
        <v>8</v>
      </c>
      <c r="D26" s="34"/>
      <c r="E26" s="33">
        <v>179311.34000000008</v>
      </c>
      <c r="F26" s="123">
        <v>0.54336769696969722</v>
      </c>
      <c r="G26" s="7"/>
      <c r="H26" s="35">
        <v>330000</v>
      </c>
      <c r="I26" s="35">
        <v>253846.15384615381</v>
      </c>
      <c r="J26" s="35">
        <v>273436.87999999605</v>
      </c>
      <c r="K26" s="70">
        <v>1.0771755878787725</v>
      </c>
      <c r="L26" s="36"/>
      <c r="M26" s="35">
        <v>45867.685825971581</v>
      </c>
      <c r="N26" s="35">
        <v>35282.835250747368</v>
      </c>
      <c r="O26" s="37">
        <v>0</v>
      </c>
      <c r="P26" s="35">
        <v>26668.551100000106</v>
      </c>
      <c r="Q26" s="115">
        <v>0.75585056899403247</v>
      </c>
      <c r="R26" s="36"/>
      <c r="S26" s="127">
        <v>0.13899298735142904</v>
      </c>
      <c r="T26" s="127">
        <v>9.7530922310115925E-2</v>
      </c>
      <c r="U26" s="36"/>
      <c r="V26" s="35"/>
      <c r="W26" s="38">
        <v>-4.3694175050580304</v>
      </c>
      <c r="X26" s="69" t="s">
        <v>69</v>
      </c>
      <c r="Y26" s="36"/>
      <c r="Z26" s="62"/>
      <c r="AA26" s="33">
        <v>12692.307692307691</v>
      </c>
      <c r="AB26" s="33">
        <v>13280.859999999995</v>
      </c>
      <c r="AC26" s="36"/>
      <c r="AD26" s="35">
        <v>1764.1417625373685</v>
      </c>
      <c r="AE26" s="35">
        <v>1792.3558000000003</v>
      </c>
      <c r="AF26" s="115">
        <v>1.0159930670322386</v>
      </c>
      <c r="AG26" s="36"/>
      <c r="AH26" s="35">
        <v>1333.4275550000052</v>
      </c>
      <c r="AI26" s="35">
        <v>34669.116430000133</v>
      </c>
      <c r="AJ26" s="115">
        <v>0.75585056899403236</v>
      </c>
      <c r="AK26" s="36"/>
      <c r="AL26" s="108">
        <v>0.13899298735142904</v>
      </c>
      <c r="AM26" s="108">
        <v>0.13495781146702857</v>
      </c>
      <c r="AN26" s="36"/>
      <c r="AO26" s="38">
        <v>-0.57122957398845897</v>
      </c>
      <c r="AP26" s="70">
        <v>0</v>
      </c>
    </row>
    <row r="27" spans="1:43" ht="12.75" customHeight="1" x14ac:dyDescent="0.3">
      <c r="A27" s="7" t="s">
        <v>18</v>
      </c>
      <c r="B27" s="211"/>
      <c r="C27" s="6" t="s">
        <v>9</v>
      </c>
      <c r="D27" s="34"/>
      <c r="E27" s="33">
        <v>152632.48000000001</v>
      </c>
      <c r="F27" s="123">
        <v>0.50877493333333335</v>
      </c>
      <c r="G27" s="7"/>
      <c r="H27" s="35">
        <v>300000</v>
      </c>
      <c r="I27" s="35">
        <v>232258.06451612903</v>
      </c>
      <c r="J27" s="35">
        <v>192162.18999999712</v>
      </c>
      <c r="K27" s="70">
        <v>0.82736498472220987</v>
      </c>
      <c r="L27" s="36"/>
      <c r="M27" s="35">
        <v>50700</v>
      </c>
      <c r="N27" s="35">
        <v>39251.612903225803</v>
      </c>
      <c r="O27" s="37">
        <v>0</v>
      </c>
      <c r="P27" s="35">
        <v>34322.764099999702</v>
      </c>
      <c r="Q27" s="115">
        <v>0.87442939439512724</v>
      </c>
      <c r="R27" s="36"/>
      <c r="S27" s="127">
        <v>0.16900000000000001</v>
      </c>
      <c r="T27" s="127">
        <v>0.17861351444839496</v>
      </c>
      <c r="U27" s="36"/>
      <c r="V27" s="35"/>
      <c r="W27" s="38">
        <v>4.1067309339037035</v>
      </c>
      <c r="X27" s="69" t="s">
        <v>69</v>
      </c>
      <c r="Y27" s="36"/>
      <c r="Z27" s="62"/>
      <c r="AA27" s="33">
        <v>9677.4193548387102</v>
      </c>
      <c r="AB27" s="33">
        <v>5007.4899999999898</v>
      </c>
      <c r="AC27" s="36"/>
      <c r="AD27" s="35">
        <v>1635.483870967742</v>
      </c>
      <c r="AE27" s="35">
        <v>966.76165000000015</v>
      </c>
      <c r="AF27" s="115">
        <v>0.59111659072978318</v>
      </c>
      <c r="AG27" s="36"/>
      <c r="AH27" s="35">
        <v>1430.1151708333209</v>
      </c>
      <c r="AI27" s="35">
        <v>44333.570295832949</v>
      </c>
      <c r="AJ27" s="115">
        <v>0.87442939439512724</v>
      </c>
      <c r="AK27" s="36"/>
      <c r="AL27" s="108">
        <v>0.16900000000000001</v>
      </c>
      <c r="AM27" s="108">
        <v>0.1930631214440772</v>
      </c>
      <c r="AN27" s="36"/>
      <c r="AO27" s="38">
        <v>5.5892602880882603</v>
      </c>
      <c r="AP27" s="70">
        <v>0</v>
      </c>
    </row>
    <row r="28" spans="1:43" ht="12.75" customHeight="1" x14ac:dyDescent="0.3">
      <c r="A28" s="7" t="s">
        <v>18</v>
      </c>
      <c r="B28" s="211"/>
      <c r="C28" s="6" t="s">
        <v>10</v>
      </c>
      <c r="D28" s="34"/>
      <c r="E28" s="33">
        <v>330133.39999999997</v>
      </c>
      <c r="F28" s="123">
        <v>0.72556791208791205</v>
      </c>
      <c r="G28" s="7"/>
      <c r="H28" s="35">
        <v>455000</v>
      </c>
      <c r="I28" s="35">
        <v>352258.06451612903</v>
      </c>
      <c r="J28" s="35">
        <v>283190.73999999004</v>
      </c>
      <c r="K28" s="70">
        <v>0.80392975641022812</v>
      </c>
      <c r="L28" s="36"/>
      <c r="M28" s="35">
        <v>85995</v>
      </c>
      <c r="N28" s="35">
        <v>66576.774193548394</v>
      </c>
      <c r="O28" s="37">
        <v>0</v>
      </c>
      <c r="P28" s="35">
        <v>52671.51392999971</v>
      </c>
      <c r="Q28" s="115">
        <v>0.79113947120471673</v>
      </c>
      <c r="R28" s="36"/>
      <c r="S28" s="127">
        <v>0.189</v>
      </c>
      <c r="T28" s="127">
        <v>0.18599306576903454</v>
      </c>
      <c r="U28" s="36"/>
      <c r="V28" s="35"/>
      <c r="W28" s="38">
        <v>4.6900311535579373</v>
      </c>
      <c r="X28" s="69" t="s">
        <v>69</v>
      </c>
      <c r="Y28" s="36"/>
      <c r="Z28" s="62"/>
      <c r="AA28" s="33">
        <v>14677.41935483871</v>
      </c>
      <c r="AB28" s="33">
        <v>7553.6499999999778</v>
      </c>
      <c r="AC28" s="36"/>
      <c r="AD28" s="35">
        <v>2774.0322580645161</v>
      </c>
      <c r="AE28" s="35">
        <v>1619.8728499999991</v>
      </c>
      <c r="AF28" s="115">
        <v>0.58394160532589068</v>
      </c>
      <c r="AG28" s="36"/>
      <c r="AH28" s="35">
        <v>2194.6464137499879</v>
      </c>
      <c r="AI28" s="35">
        <v>68034.038826249627</v>
      </c>
      <c r="AJ28" s="115">
        <v>0.79113947120471684</v>
      </c>
      <c r="AK28" s="36"/>
      <c r="AL28" s="108">
        <v>0.189</v>
      </c>
      <c r="AM28" s="108">
        <v>0.21444902133405755</v>
      </c>
      <c r="AN28" s="36"/>
      <c r="AO28" s="38">
        <v>8.1052583850188444</v>
      </c>
      <c r="AP28" s="70">
        <v>0</v>
      </c>
    </row>
    <row r="29" spans="1:43" ht="12.75" customHeight="1" x14ac:dyDescent="0.3">
      <c r="A29" s="7" t="s">
        <v>18</v>
      </c>
      <c r="B29" s="211"/>
      <c r="C29" s="6" t="s">
        <v>12</v>
      </c>
      <c r="D29" s="34"/>
      <c r="E29" s="33">
        <v>29956.220000000005</v>
      </c>
      <c r="F29" s="123">
        <v>5.8737686274509815E-2</v>
      </c>
      <c r="G29" s="7"/>
      <c r="H29" s="35">
        <v>510000</v>
      </c>
      <c r="I29" s="35">
        <v>392307.69230769237</v>
      </c>
      <c r="J29" s="35">
        <v>548519.07999999786</v>
      </c>
      <c r="K29" s="70">
        <v>1.3981858901960729</v>
      </c>
      <c r="L29" s="36"/>
      <c r="M29" s="35">
        <v>112200</v>
      </c>
      <c r="N29" s="35">
        <v>86307.692307692312</v>
      </c>
      <c r="O29" s="37">
        <v>0</v>
      </c>
      <c r="P29" s="35">
        <v>88360.899999999863</v>
      </c>
      <c r="Q29" s="115">
        <v>1.0237893939393923</v>
      </c>
      <c r="R29" s="36"/>
      <c r="S29" s="127">
        <v>0.22</v>
      </c>
      <c r="T29" s="127">
        <v>0.16108992963380636</v>
      </c>
      <c r="U29" s="36"/>
      <c r="V29" s="35"/>
      <c r="W29" s="38">
        <v>2.0932653792093574</v>
      </c>
      <c r="X29" s="69" t="s">
        <v>69</v>
      </c>
      <c r="Y29" s="36"/>
      <c r="Z29" s="62"/>
      <c r="AA29" s="33">
        <v>19615.384615384617</v>
      </c>
      <c r="AB29" s="33">
        <v>10290.619999999999</v>
      </c>
      <c r="AC29" s="36"/>
      <c r="AD29" s="35">
        <v>4315.3846153846152</v>
      </c>
      <c r="AE29" s="35">
        <v>2348.1499999999996</v>
      </c>
      <c r="AF29" s="115">
        <v>0.54413458110516932</v>
      </c>
      <c r="AG29" s="36"/>
      <c r="AH29" s="35">
        <v>4418.0449999999928</v>
      </c>
      <c r="AI29" s="35">
        <v>114869.16999999981</v>
      </c>
      <c r="AJ29" s="115">
        <v>1.0237893939393923</v>
      </c>
      <c r="AK29" s="36"/>
      <c r="AL29" s="108">
        <v>0.22</v>
      </c>
      <c r="AM29" s="108">
        <v>0.22818353024404747</v>
      </c>
      <c r="AN29" s="36"/>
      <c r="AO29" s="38">
        <v>8.8258044704789196</v>
      </c>
      <c r="AP29" s="70">
        <v>0</v>
      </c>
    </row>
    <row r="30" spans="1:43" s="15" customFormat="1" ht="14.25" customHeight="1" x14ac:dyDescent="0.3">
      <c r="A30" s="26"/>
      <c r="B30" s="211"/>
      <c r="C30" s="9" t="s">
        <v>54</v>
      </c>
      <c r="D30" s="28"/>
      <c r="E30" s="27">
        <v>692033.44</v>
      </c>
      <c r="F30" s="124">
        <v>0.4338767648902821</v>
      </c>
      <c r="G30" s="26"/>
      <c r="H30" s="29">
        <v>1595000</v>
      </c>
      <c r="I30" s="29">
        <v>1230669.9751861044</v>
      </c>
      <c r="J30" s="29">
        <v>1297308.889999981</v>
      </c>
      <c r="K30" s="31">
        <v>1.0541484850995892</v>
      </c>
      <c r="L30" s="39"/>
      <c r="M30" s="29">
        <v>294762.6858259716</v>
      </c>
      <c r="N30" s="29">
        <v>227418.91465521388</v>
      </c>
      <c r="O30" s="27">
        <v>0</v>
      </c>
      <c r="P30" s="29">
        <v>202023.72912999938</v>
      </c>
      <c r="Q30" s="31">
        <v>0.88833301063055492</v>
      </c>
      <c r="R30" s="39"/>
      <c r="S30" s="128">
        <v>0.18480419174042106</v>
      </c>
      <c r="T30" s="128">
        <v>0.15572523297053975</v>
      </c>
      <c r="U30" s="39"/>
      <c r="V30" s="29"/>
      <c r="W30" s="32">
        <v>1.5962026692024804</v>
      </c>
      <c r="X30" s="30" t="s">
        <v>69</v>
      </c>
      <c r="Y30" s="39"/>
      <c r="Z30" s="62"/>
      <c r="AA30" s="27">
        <v>56662.531017369729</v>
      </c>
      <c r="AB30" s="27">
        <v>36132.619999999966</v>
      </c>
      <c r="AC30" s="39"/>
      <c r="AD30" s="29">
        <v>10489.042506954242</v>
      </c>
      <c r="AE30" s="29">
        <v>6727.1402999999991</v>
      </c>
      <c r="AF30" s="31">
        <v>0.64134932197480377</v>
      </c>
      <c r="AG30" s="39"/>
      <c r="AH30" s="29">
        <v>9376.2341395833064</v>
      </c>
      <c r="AI30" s="29">
        <v>261905.89555208251</v>
      </c>
      <c r="AJ30" s="31">
        <v>0.88853137844832986</v>
      </c>
      <c r="AK30" s="39"/>
      <c r="AL30" s="80">
        <v>0.18480419174042106</v>
      </c>
      <c r="AM30" s="80">
        <v>0.18617914504954264</v>
      </c>
      <c r="AN30" s="39"/>
      <c r="AO30" s="32">
        <v>0</v>
      </c>
      <c r="AP30" s="31">
        <v>0</v>
      </c>
      <c r="AQ30" s="10"/>
    </row>
    <row r="31" spans="1:43" ht="8" customHeight="1" x14ac:dyDescent="0.3">
      <c r="B31" s="16"/>
      <c r="D31" s="34"/>
      <c r="E31" s="47"/>
      <c r="F31" s="125"/>
      <c r="G31" s="34"/>
      <c r="H31" s="48"/>
      <c r="I31" s="48"/>
      <c r="J31" s="48"/>
      <c r="K31" s="51"/>
      <c r="L31" s="34"/>
      <c r="M31" s="48"/>
      <c r="N31" s="48"/>
      <c r="O31" s="51"/>
      <c r="P31" s="48"/>
      <c r="Q31" s="47"/>
      <c r="R31" s="34"/>
      <c r="S31" s="51"/>
      <c r="T31" s="51"/>
      <c r="U31" s="34"/>
      <c r="V31" s="48"/>
      <c r="W31" s="52"/>
      <c r="X31" s="48"/>
      <c r="Y31" s="34"/>
      <c r="Z31" s="62"/>
      <c r="AA31" s="47"/>
      <c r="AB31" s="47"/>
      <c r="AC31" s="36"/>
      <c r="AD31" s="48"/>
      <c r="AE31" s="48"/>
      <c r="AF31" s="47"/>
      <c r="AG31" s="36"/>
      <c r="AH31" s="48"/>
      <c r="AI31" s="48"/>
      <c r="AJ31" s="47"/>
      <c r="AK31" s="36"/>
      <c r="AL31" s="49"/>
      <c r="AM31" s="53"/>
      <c r="AN31" s="36"/>
      <c r="AO31" s="52"/>
      <c r="AP31" s="47"/>
    </row>
    <row r="32" spans="1:43" ht="12.75" customHeight="1" x14ac:dyDescent="0.3">
      <c r="A32" s="7" t="s">
        <v>16</v>
      </c>
      <c r="B32" s="211" t="s">
        <v>57</v>
      </c>
      <c r="C32" s="6" t="s">
        <v>8</v>
      </c>
      <c r="D32" s="34"/>
      <c r="E32" s="33">
        <v>389384.21000000014</v>
      </c>
      <c r="F32" s="123">
        <v>0.25958947333333343</v>
      </c>
      <c r="G32" s="7"/>
      <c r="H32" s="35">
        <v>1500000</v>
      </c>
      <c r="I32" s="35">
        <v>1153846.153846154</v>
      </c>
      <c r="J32" s="35">
        <v>1414234.879999995</v>
      </c>
      <c r="K32" s="70">
        <v>1.2256702293333288</v>
      </c>
      <c r="L32" s="36"/>
      <c r="M32" s="35">
        <v>105000.00000000001</v>
      </c>
      <c r="N32" s="35">
        <v>80769.23076923078</v>
      </c>
      <c r="O32" s="37">
        <v>0</v>
      </c>
      <c r="P32" s="35">
        <v>127697.76680000008</v>
      </c>
      <c r="Q32" s="115">
        <v>1.5810199699047627</v>
      </c>
      <c r="R32" s="36"/>
      <c r="S32" s="127">
        <v>7.0000000000000007E-2</v>
      </c>
      <c r="T32" s="127">
        <v>9.0294595760500931E-2</v>
      </c>
      <c r="U32" s="36"/>
      <c r="V32" s="35"/>
      <c r="W32" s="38">
        <v>-3.8430231051865946</v>
      </c>
      <c r="X32" s="69" t="s">
        <v>69</v>
      </c>
      <c r="Y32" s="36"/>
      <c r="Z32" s="62"/>
      <c r="AA32" s="33">
        <v>57692.307692307695</v>
      </c>
      <c r="AB32" s="33">
        <v>77859.079999999973</v>
      </c>
      <c r="AC32" s="36"/>
      <c r="AD32" s="35">
        <v>4038.461538461539</v>
      </c>
      <c r="AE32" s="35">
        <v>5646.6299999999974</v>
      </c>
      <c r="AF32" s="115">
        <v>1.398213142857142</v>
      </c>
      <c r="AG32" s="36"/>
      <c r="AH32" s="35">
        <v>6384.8883400000041</v>
      </c>
      <c r="AI32" s="35">
        <v>166007.0968400001</v>
      </c>
      <c r="AJ32" s="115">
        <v>1.5810199699047627</v>
      </c>
      <c r="AK32" s="36"/>
      <c r="AL32" s="108">
        <v>7.0000000000000007E-2</v>
      </c>
      <c r="AM32" s="108">
        <v>7.2523718492435302E-2</v>
      </c>
      <c r="AN32" s="36"/>
      <c r="AO32" s="38">
        <v>-6.9365063137145242</v>
      </c>
      <c r="AP32" s="70">
        <v>0</v>
      </c>
    </row>
    <row r="33" spans="1:43" ht="12.75" customHeight="1" x14ac:dyDescent="0.3">
      <c r="A33" s="7" t="s">
        <v>16</v>
      </c>
      <c r="B33" s="211"/>
      <c r="C33" s="6" t="s">
        <v>9</v>
      </c>
      <c r="D33" s="34"/>
      <c r="E33" s="33">
        <v>258828.99999999988</v>
      </c>
      <c r="F33" s="123">
        <v>0.41746612903225788</v>
      </c>
      <c r="G33" s="7"/>
      <c r="H33" s="35">
        <v>620000</v>
      </c>
      <c r="I33" s="35">
        <v>480000</v>
      </c>
      <c r="J33" s="35">
        <v>476986.85999999987</v>
      </c>
      <c r="K33" s="70">
        <v>0.99372262499999975</v>
      </c>
      <c r="L33" s="36"/>
      <c r="M33" s="35">
        <v>92380</v>
      </c>
      <c r="N33" s="35">
        <v>71520</v>
      </c>
      <c r="O33" s="37">
        <v>0</v>
      </c>
      <c r="P33" s="35">
        <v>58125.217999999957</v>
      </c>
      <c r="Q33" s="115">
        <v>0.81271277964205757</v>
      </c>
      <c r="R33" s="36"/>
      <c r="S33" s="127">
        <v>0.14899999999999999</v>
      </c>
      <c r="T33" s="127">
        <v>0.12185915980997877</v>
      </c>
      <c r="U33" s="36"/>
      <c r="V33" s="35"/>
      <c r="W33" s="38">
        <v>-1.6334080984959192</v>
      </c>
      <c r="X33" s="69" t="s">
        <v>69</v>
      </c>
      <c r="Y33" s="36"/>
      <c r="Z33" s="62"/>
      <c r="AA33" s="33">
        <v>20000</v>
      </c>
      <c r="AB33" s="33">
        <v>9769.9499999999989</v>
      </c>
      <c r="AC33" s="36"/>
      <c r="AD33" s="35">
        <v>2980</v>
      </c>
      <c r="AE33" s="35">
        <v>1268.46</v>
      </c>
      <c r="AF33" s="115">
        <v>0.42565771812080538</v>
      </c>
      <c r="AG33" s="36"/>
      <c r="AH33" s="35">
        <v>2421.8840833333315</v>
      </c>
      <c r="AI33" s="35">
        <v>75078.406583333272</v>
      </c>
      <c r="AJ33" s="115">
        <v>0.81271277964205746</v>
      </c>
      <c r="AK33" s="36"/>
      <c r="AL33" s="108">
        <v>0.14899999999999999</v>
      </c>
      <c r="AM33" s="108">
        <v>0.12983280364792044</v>
      </c>
      <c r="AN33" s="36"/>
      <c r="AO33" s="38">
        <v>-0.54155855454732338</v>
      </c>
      <c r="AP33" s="70">
        <v>0</v>
      </c>
    </row>
    <row r="34" spans="1:43" ht="12.75" customHeight="1" x14ac:dyDescent="0.3">
      <c r="A34" s="7" t="s">
        <v>16</v>
      </c>
      <c r="B34" s="211"/>
      <c r="C34" s="6" t="s">
        <v>10</v>
      </c>
      <c r="D34" s="34"/>
      <c r="E34" s="33">
        <v>753881.44000000064</v>
      </c>
      <c r="F34" s="123">
        <v>0.44345967058823565</v>
      </c>
      <c r="G34" s="7"/>
      <c r="H34" s="35">
        <v>1700000</v>
      </c>
      <c r="I34" s="35">
        <v>1316129.0322580645</v>
      </c>
      <c r="J34" s="35">
        <v>1340026.649999985</v>
      </c>
      <c r="K34" s="70">
        <v>1.0181575036764592</v>
      </c>
      <c r="L34" s="36"/>
      <c r="M34" s="35">
        <v>229500.00000000003</v>
      </c>
      <c r="N34" s="35">
        <v>177677.41935483873</v>
      </c>
      <c r="O34" s="37">
        <v>0</v>
      </c>
      <c r="P34" s="35">
        <v>168908.52840000024</v>
      </c>
      <c r="Q34" s="115">
        <v>0.95064712788671146</v>
      </c>
      <c r="R34" s="36"/>
      <c r="S34" s="127">
        <v>0.13500000000000001</v>
      </c>
      <c r="T34" s="127">
        <v>0.12604863373426353</v>
      </c>
      <c r="U34" s="36"/>
      <c r="V34" s="35"/>
      <c r="W34" s="38">
        <v>-2.5676475613388368</v>
      </c>
      <c r="X34" s="69" t="s">
        <v>69</v>
      </c>
      <c r="Y34" s="36"/>
      <c r="Z34" s="62"/>
      <c r="AA34" s="33">
        <v>54838.709677419356</v>
      </c>
      <c r="AB34" s="33">
        <v>40282.739999999991</v>
      </c>
      <c r="AC34" s="36"/>
      <c r="AD34" s="35">
        <v>7403.2258064516136</v>
      </c>
      <c r="AE34" s="35">
        <v>3734.8591999999999</v>
      </c>
      <c r="AF34" s="115">
        <v>0.50449078518518509</v>
      </c>
      <c r="AG34" s="36"/>
      <c r="AH34" s="35">
        <v>7037.8553500000098</v>
      </c>
      <c r="AI34" s="35">
        <v>218173.51585000032</v>
      </c>
      <c r="AJ34" s="115">
        <v>0.95064712788671146</v>
      </c>
      <c r="AK34" s="36"/>
      <c r="AL34" s="108">
        <v>0.13500000000000001</v>
      </c>
      <c r="AM34" s="108">
        <v>9.2716116133113105E-2</v>
      </c>
      <c r="AN34" s="36"/>
      <c r="AO34" s="38">
        <v>-4.3501777684438032</v>
      </c>
      <c r="AP34" s="70">
        <v>0</v>
      </c>
    </row>
    <row r="35" spans="1:43" ht="12.75" customHeight="1" x14ac:dyDescent="0.3">
      <c r="A35" s="7" t="s">
        <v>16</v>
      </c>
      <c r="B35" s="211"/>
      <c r="C35" s="6" t="s">
        <v>12</v>
      </c>
      <c r="D35" s="34"/>
      <c r="E35" s="33">
        <v>120848.41999999998</v>
      </c>
      <c r="F35" s="123">
        <v>0.23240080769230767</v>
      </c>
      <c r="G35" s="7"/>
      <c r="H35" s="35">
        <v>520000</v>
      </c>
      <c r="I35" s="35">
        <v>400000</v>
      </c>
      <c r="J35" s="35">
        <v>574053.72999999975</v>
      </c>
      <c r="K35" s="70">
        <v>1.4351343249999993</v>
      </c>
      <c r="L35" s="36"/>
      <c r="M35" s="35">
        <v>31200</v>
      </c>
      <c r="N35" s="35">
        <v>24000</v>
      </c>
      <c r="O35" s="37">
        <v>0</v>
      </c>
      <c r="P35" s="35">
        <v>32240.649999999994</v>
      </c>
      <c r="Q35" s="115">
        <v>1.3433604166666664</v>
      </c>
      <c r="R35" s="36"/>
      <c r="S35" s="127">
        <v>0.06</v>
      </c>
      <c r="T35" s="127">
        <v>5.6163122570425605E-2</v>
      </c>
      <c r="U35" s="36"/>
      <c r="V35" s="35"/>
      <c r="W35" s="38">
        <v>-8.4329405890281794</v>
      </c>
      <c r="X35" s="69" t="s">
        <v>69</v>
      </c>
      <c r="Y35" s="36"/>
      <c r="Z35" s="62"/>
      <c r="AA35" s="33">
        <v>20000</v>
      </c>
      <c r="AB35" s="33">
        <v>5004.2299999999996</v>
      </c>
      <c r="AC35" s="36"/>
      <c r="AD35" s="35">
        <v>1200</v>
      </c>
      <c r="AE35" s="35">
        <v>464.28</v>
      </c>
      <c r="AF35" s="115">
        <v>0.38689999999999997</v>
      </c>
      <c r="AG35" s="36"/>
      <c r="AH35" s="35">
        <v>1612.0324999999998</v>
      </c>
      <c r="AI35" s="35">
        <v>41912.844999999994</v>
      </c>
      <c r="AJ35" s="115">
        <v>1.3433604166666664</v>
      </c>
      <c r="AK35" s="36"/>
      <c r="AL35" s="108">
        <v>0.06</v>
      </c>
      <c r="AM35" s="108">
        <v>9.2777510226348517E-2</v>
      </c>
      <c r="AN35" s="36"/>
      <c r="AO35" s="38">
        <v>-0.14967337632362585</v>
      </c>
      <c r="AP35" s="70">
        <v>0</v>
      </c>
    </row>
    <row r="36" spans="1:43" s="15" customFormat="1" ht="17" customHeight="1" x14ac:dyDescent="0.3">
      <c r="A36" s="26"/>
      <c r="B36" s="211"/>
      <c r="C36" s="9" t="s">
        <v>58</v>
      </c>
      <c r="D36" s="28"/>
      <c r="E36" s="27">
        <v>1522943.0700000005</v>
      </c>
      <c r="F36" s="124">
        <v>0.3509085414746545</v>
      </c>
      <c r="G36" s="26"/>
      <c r="H36" s="29">
        <v>4340000</v>
      </c>
      <c r="I36" s="29">
        <v>3349975.1861042185</v>
      </c>
      <c r="J36" s="29">
        <v>3805302.1199999796</v>
      </c>
      <c r="K36" s="31">
        <v>1.1359194945038604</v>
      </c>
      <c r="L36" s="39"/>
      <c r="M36" s="29">
        <v>458080</v>
      </c>
      <c r="N36" s="29">
        <v>353966.65012406954</v>
      </c>
      <c r="O36" s="27">
        <v>0</v>
      </c>
      <c r="P36" s="29">
        <v>386972.1632000003</v>
      </c>
      <c r="Q36" s="31">
        <v>1.0932446971045491</v>
      </c>
      <c r="R36" s="39"/>
      <c r="S36" s="128">
        <v>0.10554838709677419</v>
      </c>
      <c r="T36" s="128">
        <v>0.10169288823774192</v>
      </c>
      <c r="U36" s="39"/>
      <c r="V36" s="29"/>
      <c r="W36" s="32">
        <v>-3.8093502757154329</v>
      </c>
      <c r="X36" s="30" t="s">
        <v>69</v>
      </c>
      <c r="Y36" s="39"/>
      <c r="Z36" s="62"/>
      <c r="AA36" s="27">
        <v>152531.01736972705</v>
      </c>
      <c r="AB36" s="27">
        <v>132915.99999999997</v>
      </c>
      <c r="AC36" s="39"/>
      <c r="AD36" s="29">
        <v>15621.687344913153</v>
      </c>
      <c r="AE36" s="29">
        <v>11114.229199999998</v>
      </c>
      <c r="AF36" s="31">
        <v>0.71146150570086109</v>
      </c>
      <c r="AG36" s="39"/>
      <c r="AH36" s="29">
        <v>17456.660273333346</v>
      </c>
      <c r="AI36" s="29">
        <v>501171.86427333369</v>
      </c>
      <c r="AJ36" s="31">
        <v>1.0940706083507983</v>
      </c>
      <c r="AK36" s="39"/>
      <c r="AL36" s="80">
        <v>0.10554838709677419</v>
      </c>
      <c r="AM36" s="80">
        <v>8.3618444732011202E-2</v>
      </c>
      <c r="AN36" s="39"/>
      <c r="AO36" s="32">
        <v>0</v>
      </c>
      <c r="AP36" s="31">
        <v>0</v>
      </c>
      <c r="AQ36" s="10"/>
    </row>
    <row r="37" spans="1:43" ht="8" customHeight="1" x14ac:dyDescent="0.3">
      <c r="B37" s="16"/>
      <c r="D37" s="34"/>
      <c r="E37" s="47"/>
      <c r="F37" s="125"/>
      <c r="G37" s="34"/>
      <c r="H37" s="48"/>
      <c r="I37" s="48"/>
      <c r="J37" s="48"/>
      <c r="K37" s="51"/>
      <c r="L37" s="34"/>
      <c r="M37" s="48"/>
      <c r="N37" s="48"/>
      <c r="O37" s="51"/>
      <c r="P37" s="48"/>
      <c r="Q37" s="47"/>
      <c r="R37" s="34"/>
      <c r="S37" s="51"/>
      <c r="T37" s="51"/>
      <c r="U37" s="34"/>
      <c r="V37" s="48"/>
      <c r="W37" s="52"/>
      <c r="X37" s="48"/>
      <c r="Y37" s="34"/>
      <c r="Z37" s="62"/>
      <c r="AA37" s="47"/>
      <c r="AB37" s="47"/>
      <c r="AC37" s="36"/>
      <c r="AD37" s="48"/>
      <c r="AE37" s="48"/>
      <c r="AF37" s="47"/>
      <c r="AG37" s="36"/>
      <c r="AH37" s="48"/>
      <c r="AI37" s="48"/>
      <c r="AJ37" s="47"/>
      <c r="AK37" s="36"/>
      <c r="AL37" s="49"/>
      <c r="AM37" s="53"/>
      <c r="AN37" s="36"/>
      <c r="AO37" s="52"/>
      <c r="AP37" s="47"/>
    </row>
    <row r="38" spans="1:43" ht="12.75" customHeight="1" x14ac:dyDescent="0.3">
      <c r="A38" s="7" t="s">
        <v>19</v>
      </c>
      <c r="B38" s="211" t="s">
        <v>31</v>
      </c>
      <c r="C38" s="6" t="s">
        <v>8</v>
      </c>
      <c r="D38" s="34"/>
      <c r="E38" s="33">
        <v>129280.3</v>
      </c>
      <c r="F38" s="123">
        <v>0.58763772727272734</v>
      </c>
      <c r="G38" s="7"/>
      <c r="H38" s="35">
        <v>220000</v>
      </c>
      <c r="I38" s="35">
        <v>169230.76923076922</v>
      </c>
      <c r="J38" s="35">
        <v>175896.26000000018</v>
      </c>
      <c r="K38" s="70">
        <v>1.039386990909092</v>
      </c>
      <c r="L38" s="36"/>
      <c r="M38" s="35">
        <v>23100</v>
      </c>
      <c r="N38" s="35">
        <v>17769.23076923077</v>
      </c>
      <c r="O38" s="37">
        <v>65.8</v>
      </c>
      <c r="P38" s="35">
        <v>22184.814000000035</v>
      </c>
      <c r="Q38" s="115">
        <v>1.2484960259740279</v>
      </c>
      <c r="R38" s="36"/>
      <c r="S38" s="127">
        <v>0.105</v>
      </c>
      <c r="T38" s="127">
        <v>0.12612442129241414</v>
      </c>
      <c r="U38" s="36"/>
      <c r="V38" s="35"/>
      <c r="W38" s="38">
        <v>-0.42280944461227998</v>
      </c>
      <c r="X38" s="69" t="s">
        <v>69</v>
      </c>
      <c r="Y38" s="36"/>
      <c r="Z38" s="62"/>
      <c r="AA38" s="33">
        <v>8461.538461538461</v>
      </c>
      <c r="AB38" s="33">
        <v>10542.629999999986</v>
      </c>
      <c r="AC38" s="36"/>
      <c r="AD38" s="35">
        <v>888.46153846153845</v>
      </c>
      <c r="AE38" s="35">
        <v>1344.9051999999995</v>
      </c>
      <c r="AF38" s="115">
        <v>1.5137461125541121</v>
      </c>
      <c r="AG38" s="36"/>
      <c r="AH38" s="35">
        <v>1109.2407000000017</v>
      </c>
      <c r="AI38" s="35">
        <v>28840.258200000044</v>
      </c>
      <c r="AJ38" s="115">
        <v>1.2484960259740279</v>
      </c>
      <c r="AK38" s="36"/>
      <c r="AL38" s="108">
        <v>0.105</v>
      </c>
      <c r="AM38" s="108">
        <v>0.12756828229768105</v>
      </c>
      <c r="AN38" s="36"/>
      <c r="AO38" s="38">
        <v>-0.80468346133757318</v>
      </c>
      <c r="AP38" s="70">
        <v>0</v>
      </c>
    </row>
    <row r="39" spans="1:43" ht="12.75" customHeight="1" x14ac:dyDescent="0.3">
      <c r="A39" s="7" t="s">
        <v>19</v>
      </c>
      <c r="B39" s="211"/>
      <c r="C39" s="6" t="s">
        <v>9</v>
      </c>
      <c r="D39" s="34"/>
      <c r="E39" s="33">
        <v>190357.13999999984</v>
      </c>
      <c r="F39" s="123">
        <v>0.32539682051282026</v>
      </c>
      <c r="G39" s="7"/>
      <c r="H39" s="35">
        <v>585000</v>
      </c>
      <c r="I39" s="35">
        <v>452903.22580645164</v>
      </c>
      <c r="J39" s="35">
        <v>427994.30999996432</v>
      </c>
      <c r="K39" s="70">
        <v>0.94500168162385279</v>
      </c>
      <c r="L39" s="36"/>
      <c r="M39" s="35">
        <v>93541.499999999985</v>
      </c>
      <c r="N39" s="35">
        <v>72419.225806451606</v>
      </c>
      <c r="O39" s="37">
        <v>686.66000000000008</v>
      </c>
      <c r="P39" s="35">
        <v>66257.43120000021</v>
      </c>
      <c r="Q39" s="115">
        <v>0.91491493401324842</v>
      </c>
      <c r="R39" s="36"/>
      <c r="S39" s="127">
        <v>0.15989999999999999</v>
      </c>
      <c r="T39" s="127">
        <v>0.15480914033648188</v>
      </c>
      <c r="U39" s="36"/>
      <c r="V39" s="35"/>
      <c r="W39" s="38">
        <v>4.7644117511672146</v>
      </c>
      <c r="X39" s="69" t="s">
        <v>69</v>
      </c>
      <c r="Y39" s="36"/>
      <c r="Z39" s="62"/>
      <c r="AA39" s="33">
        <v>18870.967741935485</v>
      </c>
      <c r="AB39" s="33">
        <v>13651.419999999938</v>
      </c>
      <c r="AC39" s="36"/>
      <c r="AD39" s="35">
        <v>3017.4677419354834</v>
      </c>
      <c r="AE39" s="35">
        <v>1957.3092000000008</v>
      </c>
      <c r="AF39" s="115">
        <v>0.64865952758935908</v>
      </c>
      <c r="AG39" s="36"/>
      <c r="AH39" s="35">
        <v>2760.7263000000089</v>
      </c>
      <c r="AI39" s="35">
        <v>85582.515300000276</v>
      </c>
      <c r="AJ39" s="115">
        <v>0.91491493401324853</v>
      </c>
      <c r="AK39" s="36"/>
      <c r="AL39" s="108">
        <v>0.15989999999999999</v>
      </c>
      <c r="AM39" s="108">
        <v>0.14337769990228194</v>
      </c>
      <c r="AN39" s="36"/>
      <c r="AO39" s="38">
        <v>3.6443769219607987</v>
      </c>
      <c r="AP39" s="70">
        <v>0</v>
      </c>
    </row>
    <row r="40" spans="1:43" ht="12.75" customHeight="1" x14ac:dyDescent="0.3">
      <c r="A40" s="7" t="s">
        <v>19</v>
      </c>
      <c r="B40" s="211"/>
      <c r="C40" s="6" t="s">
        <v>10</v>
      </c>
      <c r="D40" s="34"/>
      <c r="E40" s="33">
        <v>293351.22999999963</v>
      </c>
      <c r="F40" s="123">
        <v>0.31886003260869528</v>
      </c>
      <c r="G40" s="7"/>
      <c r="H40" s="35">
        <v>920000</v>
      </c>
      <c r="I40" s="35">
        <v>712258.06451612897</v>
      </c>
      <c r="J40" s="35">
        <v>715593.28999991296</v>
      </c>
      <c r="K40" s="70">
        <v>1.0046826082426314</v>
      </c>
      <c r="L40" s="36"/>
      <c r="M40" s="35">
        <v>158240</v>
      </c>
      <c r="N40" s="35">
        <v>122508.38709677421</v>
      </c>
      <c r="O40" s="37">
        <v>1101.1399999999999</v>
      </c>
      <c r="P40" s="35">
        <v>121846.38585000015</v>
      </c>
      <c r="Q40" s="115">
        <v>0.99459627816133833</v>
      </c>
      <c r="R40" s="36"/>
      <c r="S40" s="127">
        <v>0.17199999999999999</v>
      </c>
      <c r="T40" s="127">
        <v>0.17027323698076455</v>
      </c>
      <c r="U40" s="36"/>
      <c r="V40" s="35"/>
      <c r="W40" s="38">
        <v>6.2774311159232692</v>
      </c>
      <c r="X40" s="69" t="s">
        <v>69</v>
      </c>
      <c r="Y40" s="36"/>
      <c r="Z40" s="62"/>
      <c r="AA40" s="33">
        <v>29677.419354838708</v>
      </c>
      <c r="AB40" s="33">
        <v>25894.700000000048</v>
      </c>
      <c r="AC40" s="36"/>
      <c r="AD40" s="35">
        <v>5104.5161290322585</v>
      </c>
      <c r="AE40" s="35">
        <v>3957.8191999999958</v>
      </c>
      <c r="AF40" s="115">
        <v>0.77535639029322456</v>
      </c>
      <c r="AG40" s="36"/>
      <c r="AH40" s="35">
        <v>5076.932743750006</v>
      </c>
      <c r="AI40" s="35">
        <v>157384.91505625017</v>
      </c>
      <c r="AJ40" s="115">
        <v>0.99459627816133833</v>
      </c>
      <c r="AK40" s="36"/>
      <c r="AL40" s="108">
        <v>0.17199999999999999</v>
      </c>
      <c r="AM40" s="108">
        <v>0.1528428288414227</v>
      </c>
      <c r="AN40" s="36"/>
      <c r="AO40" s="38">
        <v>4.7691581675016925</v>
      </c>
      <c r="AP40" s="70">
        <v>0</v>
      </c>
    </row>
    <row r="41" spans="1:43" ht="12.75" customHeight="1" x14ac:dyDescent="0.3">
      <c r="A41" s="7" t="s">
        <v>19</v>
      </c>
      <c r="B41" s="211"/>
      <c r="C41" s="6" t="s">
        <v>12</v>
      </c>
      <c r="D41" s="34"/>
      <c r="E41" s="33">
        <v>26606.459999999974</v>
      </c>
      <c r="F41" s="123">
        <v>0.48375381818181773</v>
      </c>
      <c r="G41" s="7"/>
      <c r="H41" s="35">
        <v>55000</v>
      </c>
      <c r="I41" s="35">
        <v>42307.692307692305</v>
      </c>
      <c r="J41" s="35">
        <v>60716.649999999914</v>
      </c>
      <c r="K41" s="70">
        <v>1.4351208181818162</v>
      </c>
      <c r="L41" s="36"/>
      <c r="M41" s="35">
        <v>8921.0164607613788</v>
      </c>
      <c r="N41" s="35">
        <v>6862.3203544318303</v>
      </c>
      <c r="O41" s="37">
        <v>2086.6</v>
      </c>
      <c r="P41" s="35">
        <v>10664.67999999998</v>
      </c>
      <c r="Q41" s="115">
        <v>1.554092413233449</v>
      </c>
      <c r="R41" s="36"/>
      <c r="S41" s="127">
        <v>0.16220029928657051</v>
      </c>
      <c r="T41" s="127">
        <v>0.17564671305152699</v>
      </c>
      <c r="U41" s="36"/>
      <c r="V41" s="35"/>
      <c r="W41" s="38">
        <v>-1.1848644482197417</v>
      </c>
      <c r="X41" s="69" t="s">
        <v>69</v>
      </c>
      <c r="Y41" s="36"/>
      <c r="Z41" s="62"/>
      <c r="AA41" s="33">
        <v>2115.3846153846152</v>
      </c>
      <c r="AB41" s="33">
        <v>6679.899999999996</v>
      </c>
      <c r="AC41" s="36"/>
      <c r="AD41" s="35">
        <v>343.1160177215915</v>
      </c>
      <c r="AE41" s="35">
        <v>918.11000000000013</v>
      </c>
      <c r="AF41" s="115">
        <v>2.6758004656750409</v>
      </c>
      <c r="AG41" s="36"/>
      <c r="AH41" s="35">
        <v>533.23399999999901</v>
      </c>
      <c r="AI41" s="35">
        <v>13864.083999999973</v>
      </c>
      <c r="AJ41" s="115">
        <v>1.554092413233449</v>
      </c>
      <c r="AK41" s="36"/>
      <c r="AL41" s="108">
        <v>0.16220029928657051</v>
      </c>
      <c r="AM41" s="108">
        <v>0.1374436743065017</v>
      </c>
      <c r="AN41" s="36"/>
      <c r="AO41" s="38">
        <v>-3.4265483016213292</v>
      </c>
      <c r="AP41" s="70">
        <v>0</v>
      </c>
    </row>
    <row r="42" spans="1:43" s="15" customFormat="1" ht="14.25" customHeight="1" x14ac:dyDescent="0.3">
      <c r="A42" s="26"/>
      <c r="B42" s="211"/>
      <c r="C42" s="9" t="s">
        <v>30</v>
      </c>
      <c r="D42" s="28"/>
      <c r="E42" s="27">
        <v>639595.12999999942</v>
      </c>
      <c r="F42" s="124">
        <v>0.3593231067415727</v>
      </c>
      <c r="G42" s="26"/>
      <c r="H42" s="29">
        <v>1780000</v>
      </c>
      <c r="I42" s="29">
        <v>1376699.7518610421</v>
      </c>
      <c r="J42" s="29">
        <v>1380200.5099998773</v>
      </c>
      <c r="K42" s="31">
        <v>1.002542862475353</v>
      </c>
      <c r="L42" s="39"/>
      <c r="M42" s="29">
        <v>283802.51646076137</v>
      </c>
      <c r="N42" s="29">
        <v>219559.16402688841</v>
      </c>
      <c r="O42" s="27">
        <v>3940.2</v>
      </c>
      <c r="P42" s="29">
        <v>220953.31105000037</v>
      </c>
      <c r="Q42" s="31">
        <v>1.0063497555626566</v>
      </c>
      <c r="R42" s="39"/>
      <c r="S42" s="128">
        <v>0.15943961598919179</v>
      </c>
      <c r="T42" s="128">
        <v>0.16008783466542845</v>
      </c>
      <c r="U42" s="39"/>
      <c r="V42" s="29"/>
      <c r="W42" s="32">
        <v>4.6260793694305189</v>
      </c>
      <c r="X42" s="30" t="s">
        <v>69</v>
      </c>
      <c r="Y42" s="39"/>
      <c r="Z42" s="62"/>
      <c r="AA42" s="27">
        <v>59125.310173697268</v>
      </c>
      <c r="AB42" s="27">
        <v>56768.649999999965</v>
      </c>
      <c r="AC42" s="39"/>
      <c r="AD42" s="29">
        <v>9353.561427150873</v>
      </c>
      <c r="AE42" s="29">
        <v>8178.1435999999958</v>
      </c>
      <c r="AF42" s="31">
        <v>0.87433472947117707</v>
      </c>
      <c r="AG42" s="39"/>
      <c r="AH42" s="29">
        <v>9480.1337437500151</v>
      </c>
      <c r="AI42" s="29">
        <v>285671.77255625045</v>
      </c>
      <c r="AJ42" s="31">
        <v>1.006586467656454</v>
      </c>
      <c r="AK42" s="39"/>
      <c r="AL42" s="80">
        <v>0.15943961598919179</v>
      </c>
      <c r="AM42" s="80">
        <v>0.14406091390230349</v>
      </c>
      <c r="AN42" s="39"/>
      <c r="AO42" s="32">
        <v>0</v>
      </c>
      <c r="AP42" s="31">
        <v>0</v>
      </c>
      <c r="AQ42" s="10"/>
    </row>
    <row r="43" spans="1:43" ht="8" customHeight="1" x14ac:dyDescent="0.3">
      <c r="B43" s="16"/>
      <c r="D43" s="34"/>
      <c r="E43" s="47"/>
      <c r="F43" s="125"/>
      <c r="G43" s="34"/>
      <c r="H43" s="48"/>
      <c r="I43" s="48"/>
      <c r="J43" s="48"/>
      <c r="K43" s="51"/>
      <c r="L43" s="34"/>
      <c r="M43" s="48"/>
      <c r="N43" s="48"/>
      <c r="O43" s="51"/>
      <c r="P43" s="48"/>
      <c r="Q43" s="47"/>
      <c r="R43" s="34"/>
      <c r="S43" s="51"/>
      <c r="T43" s="51"/>
      <c r="U43" s="34"/>
      <c r="V43" s="48"/>
      <c r="W43" s="52"/>
      <c r="X43" s="48"/>
      <c r="Y43" s="34"/>
      <c r="Z43" s="62"/>
      <c r="AA43" s="47"/>
      <c r="AB43" s="47"/>
      <c r="AC43" s="36"/>
      <c r="AD43" s="48"/>
      <c r="AE43" s="48"/>
      <c r="AF43" s="47"/>
      <c r="AG43" s="36"/>
      <c r="AH43" s="48"/>
      <c r="AI43" s="48"/>
      <c r="AJ43" s="47"/>
      <c r="AK43" s="36"/>
      <c r="AL43" s="49"/>
      <c r="AM43" s="53"/>
      <c r="AN43" s="36"/>
      <c r="AO43" s="52"/>
      <c r="AP43" s="47"/>
    </row>
    <row r="44" spans="1:43" ht="12.75" customHeight="1" x14ac:dyDescent="0.3">
      <c r="A44" s="7" t="s">
        <v>20</v>
      </c>
      <c r="B44" s="211" t="s">
        <v>27</v>
      </c>
      <c r="C44" s="6" t="s">
        <v>8</v>
      </c>
      <c r="D44" s="34"/>
      <c r="E44" s="33">
        <v>583345.42000000074</v>
      </c>
      <c r="F44" s="123">
        <v>3.1703555434782649</v>
      </c>
      <c r="G44" s="7"/>
      <c r="H44" s="35">
        <v>184000</v>
      </c>
      <c r="I44" s="35">
        <v>141538.46153846153</v>
      </c>
      <c r="J44" s="35">
        <v>120654.17000000266</v>
      </c>
      <c r="K44" s="70">
        <v>0.85244794021741011</v>
      </c>
      <c r="L44" s="36"/>
      <c r="M44" s="35">
        <v>22080</v>
      </c>
      <c r="N44" s="35">
        <v>16984.615384615387</v>
      </c>
      <c r="O44" s="37">
        <v>0</v>
      </c>
      <c r="P44" s="35">
        <v>19103.759499999906</v>
      </c>
      <c r="Q44" s="115">
        <v>1.1247684488224581</v>
      </c>
      <c r="R44" s="36"/>
      <c r="S44" s="127">
        <v>0.12</v>
      </c>
      <c r="T44" s="127">
        <v>0.15833484661159647</v>
      </c>
      <c r="U44" s="36"/>
      <c r="V44" s="35"/>
      <c r="W44" s="38">
        <v>5.152602268121707</v>
      </c>
      <c r="X44" s="69" t="s">
        <v>69</v>
      </c>
      <c r="Y44" s="36"/>
      <c r="Z44" s="62"/>
      <c r="AA44" s="33">
        <v>7076.9230769230771</v>
      </c>
      <c r="AB44" s="33">
        <v>5025.6599999999835</v>
      </c>
      <c r="AC44" s="36"/>
      <c r="AD44" s="35">
        <v>849.23076923076928</v>
      </c>
      <c r="AE44" s="35">
        <v>965.09890000000041</v>
      </c>
      <c r="AF44" s="115">
        <v>1.1364389221014497</v>
      </c>
      <c r="AG44" s="36"/>
      <c r="AH44" s="35">
        <v>955.18797499999528</v>
      </c>
      <c r="AI44" s="35">
        <v>24834.887349999877</v>
      </c>
      <c r="AJ44" s="115">
        <v>1.1247684488224583</v>
      </c>
      <c r="AK44" s="36"/>
      <c r="AL44" s="108">
        <v>0.12</v>
      </c>
      <c r="AM44" s="108">
        <v>0.19203426017677352</v>
      </c>
      <c r="AN44" s="36"/>
      <c r="AO44" s="38">
        <v>8.5146806588584685</v>
      </c>
      <c r="AP44" s="70">
        <v>0</v>
      </c>
    </row>
    <row r="45" spans="1:43" ht="12.75" customHeight="1" x14ac:dyDescent="0.3">
      <c r="A45" s="7" t="s">
        <v>20</v>
      </c>
      <c r="B45" s="211"/>
      <c r="C45" s="6" t="s">
        <v>9</v>
      </c>
      <c r="D45" s="34"/>
      <c r="E45" s="33">
        <v>926115.96000000101</v>
      </c>
      <c r="F45" s="123">
        <v>2.0580354666666687</v>
      </c>
      <c r="G45" s="7"/>
      <c r="H45" s="35">
        <v>450000</v>
      </c>
      <c r="I45" s="35">
        <v>348387.09677419357</v>
      </c>
      <c r="J45" s="35">
        <v>321191.70999995625</v>
      </c>
      <c r="K45" s="70">
        <v>0.92193916759246697</v>
      </c>
      <c r="L45" s="36"/>
      <c r="M45" s="35">
        <v>71629.254685760781</v>
      </c>
      <c r="N45" s="35">
        <v>55454.906853492212</v>
      </c>
      <c r="O45" s="37">
        <v>0</v>
      </c>
      <c r="P45" s="35">
        <v>63075.274429999074</v>
      </c>
      <c r="Q45" s="115">
        <v>1.137415568952975</v>
      </c>
      <c r="R45" s="36"/>
      <c r="S45" s="127">
        <v>0.15917612152391283</v>
      </c>
      <c r="T45" s="127">
        <v>0.19637889916277002</v>
      </c>
      <c r="U45" s="36"/>
      <c r="V45" s="35"/>
      <c r="W45" s="38">
        <v>9.2157311376304882</v>
      </c>
      <c r="X45" s="69" t="s">
        <v>69</v>
      </c>
      <c r="Y45" s="36"/>
      <c r="Z45" s="62"/>
      <c r="AA45" s="33">
        <v>14516.129032258064</v>
      </c>
      <c r="AB45" s="33">
        <v>7473.5899999999383</v>
      </c>
      <c r="AC45" s="36"/>
      <c r="AD45" s="35">
        <v>2310.621118895509</v>
      </c>
      <c r="AE45" s="35">
        <v>1471.5964999999994</v>
      </c>
      <c r="AF45" s="115">
        <v>0.63688351498467721</v>
      </c>
      <c r="AG45" s="36"/>
      <c r="AH45" s="35">
        <v>2628.1364345832949</v>
      </c>
      <c r="AI45" s="35">
        <v>81472.229472082137</v>
      </c>
      <c r="AJ45" s="115">
        <v>1.1374155689529748</v>
      </c>
      <c r="AK45" s="36"/>
      <c r="AL45" s="108">
        <v>0.15917612152391283</v>
      </c>
      <c r="AM45" s="108">
        <v>0.19690623917019953</v>
      </c>
      <c r="AN45" s="36"/>
      <c r="AO45" s="38">
        <v>9.4330368671541134</v>
      </c>
      <c r="AP45" s="70">
        <v>0</v>
      </c>
    </row>
    <row r="46" spans="1:43" ht="12.75" customHeight="1" x14ac:dyDescent="0.3">
      <c r="A46" s="7" t="s">
        <v>20</v>
      </c>
      <c r="B46" s="211"/>
      <c r="C46" s="6" t="s">
        <v>10</v>
      </c>
      <c r="D46" s="34"/>
      <c r="E46" s="33">
        <v>1147250.2699999989</v>
      </c>
      <c r="F46" s="123">
        <v>2.0127197719298224</v>
      </c>
      <c r="G46" s="7"/>
      <c r="H46" s="35">
        <v>570000</v>
      </c>
      <c r="I46" s="35">
        <v>441290.32258064521</v>
      </c>
      <c r="J46" s="35">
        <v>441077.25999990379</v>
      </c>
      <c r="K46" s="70">
        <v>0.99951718274831991</v>
      </c>
      <c r="L46" s="36"/>
      <c r="M46" s="35">
        <v>95190</v>
      </c>
      <c r="N46" s="35">
        <v>73695.483870967742</v>
      </c>
      <c r="O46" s="37">
        <v>3364.26</v>
      </c>
      <c r="P46" s="35">
        <v>83294.426169998638</v>
      </c>
      <c r="Q46" s="115">
        <v>1.1302514319037178</v>
      </c>
      <c r="R46" s="36"/>
      <c r="S46" s="127">
        <v>0.16700000000000001</v>
      </c>
      <c r="T46" s="127">
        <v>0.18884316586626299</v>
      </c>
      <c r="U46" s="36"/>
      <c r="V46" s="35"/>
      <c r="W46" s="38">
        <v>7.6395654969625433</v>
      </c>
      <c r="X46" s="69" t="s">
        <v>69</v>
      </c>
      <c r="Y46" s="36"/>
      <c r="Z46" s="62"/>
      <c r="AA46" s="33">
        <v>18387.096774193549</v>
      </c>
      <c r="AB46" s="33">
        <v>14364.41999999992</v>
      </c>
      <c r="AC46" s="36"/>
      <c r="AD46" s="35">
        <v>3070.6451612903224</v>
      </c>
      <c r="AE46" s="35">
        <v>2499.1973399999952</v>
      </c>
      <c r="AF46" s="115">
        <v>0.81389975354553901</v>
      </c>
      <c r="AG46" s="36"/>
      <c r="AH46" s="35">
        <v>3470.6010904166101</v>
      </c>
      <c r="AI46" s="35">
        <v>107588.63380291492</v>
      </c>
      <c r="AJ46" s="115">
        <v>1.130251431903718</v>
      </c>
      <c r="AK46" s="36"/>
      <c r="AL46" s="108">
        <v>0.16700000000000001</v>
      </c>
      <c r="AM46" s="108">
        <v>0.17398525941179727</v>
      </c>
      <c r="AN46" s="36"/>
      <c r="AO46" s="38">
        <v>7.265781284590112</v>
      </c>
      <c r="AP46" s="70">
        <v>0</v>
      </c>
    </row>
    <row r="47" spans="1:43" ht="12.75" customHeight="1" x14ac:dyDescent="0.3">
      <c r="A47" s="7" t="s">
        <v>20</v>
      </c>
      <c r="B47" s="211"/>
      <c r="C47" s="6" t="s">
        <v>12</v>
      </c>
      <c r="D47" s="34"/>
      <c r="E47" s="33">
        <v>50973.69000000001</v>
      </c>
      <c r="F47" s="123">
        <v>2.3169859090909095</v>
      </c>
      <c r="G47" s="7"/>
      <c r="H47" s="35">
        <v>22000</v>
      </c>
      <c r="I47" s="35">
        <v>16923.076923076922</v>
      </c>
      <c r="J47" s="35">
        <v>22309.090000000349</v>
      </c>
      <c r="K47" s="70">
        <v>1.3182644090909299</v>
      </c>
      <c r="L47" s="36"/>
      <c r="M47" s="35">
        <v>3740.0000000000005</v>
      </c>
      <c r="N47" s="35">
        <v>2876.9230769230771</v>
      </c>
      <c r="O47" s="37">
        <v>9185.16</v>
      </c>
      <c r="P47" s="35">
        <v>3720.9000000000106</v>
      </c>
      <c r="Q47" s="115">
        <v>1.2933609625668485</v>
      </c>
      <c r="R47" s="36"/>
      <c r="S47" s="127">
        <v>0.17</v>
      </c>
      <c r="T47" s="127">
        <v>0.16678851535405309</v>
      </c>
      <c r="U47" s="36"/>
      <c r="V47" s="35"/>
      <c r="W47" s="38">
        <v>-36.873489685143987</v>
      </c>
      <c r="X47" s="69" t="s">
        <v>69</v>
      </c>
      <c r="Y47" s="36"/>
      <c r="Z47" s="62"/>
      <c r="AA47" s="33">
        <v>846.15384615384619</v>
      </c>
      <c r="AB47" s="33">
        <v>1671.6100000000004</v>
      </c>
      <c r="AC47" s="36"/>
      <c r="AD47" s="35">
        <v>143.84615384615387</v>
      </c>
      <c r="AE47" s="35">
        <v>467.87000000000012</v>
      </c>
      <c r="AF47" s="115">
        <v>3.2525721925133695</v>
      </c>
      <c r="AG47" s="36"/>
      <c r="AH47" s="35">
        <v>186.04500000000053</v>
      </c>
      <c r="AI47" s="35">
        <v>4837.1700000000137</v>
      </c>
      <c r="AJ47" s="115">
        <v>1.2933609625668485</v>
      </c>
      <c r="AK47" s="36"/>
      <c r="AL47" s="108">
        <v>0.17</v>
      </c>
      <c r="AM47" s="108">
        <v>0.27989184080018664</v>
      </c>
      <c r="AN47" s="36"/>
      <c r="AO47" s="38">
        <v>13.773547657647441</v>
      </c>
      <c r="AP47" s="70">
        <v>0</v>
      </c>
    </row>
    <row r="48" spans="1:43" s="15" customFormat="1" ht="14.25" customHeight="1" x14ac:dyDescent="0.3">
      <c r="A48" s="26"/>
      <c r="B48" s="211"/>
      <c r="C48" s="9" t="s">
        <v>28</v>
      </c>
      <c r="D48" s="28"/>
      <c r="E48" s="27">
        <v>2707685.3400000003</v>
      </c>
      <c r="F48" s="124">
        <v>2.2085524796084832</v>
      </c>
      <c r="G48" s="26"/>
      <c r="H48" s="29">
        <v>1226000</v>
      </c>
      <c r="I48" s="29">
        <v>948138.95781637717</v>
      </c>
      <c r="J48" s="29">
        <v>905232.22999986308</v>
      </c>
      <c r="K48" s="31">
        <v>0.95474637186585931</v>
      </c>
      <c r="L48" s="39"/>
      <c r="M48" s="29">
        <v>192639.25468576077</v>
      </c>
      <c r="N48" s="29">
        <v>149011.92918599839</v>
      </c>
      <c r="O48" s="27">
        <v>12549.42</v>
      </c>
      <c r="P48" s="29">
        <v>169194.36009999766</v>
      </c>
      <c r="Q48" s="31">
        <v>1.1354417127826546</v>
      </c>
      <c r="R48" s="39"/>
      <c r="S48" s="128">
        <v>0.15712826646473146</v>
      </c>
      <c r="T48" s="128">
        <v>0.18690713221735736</v>
      </c>
      <c r="U48" s="39"/>
      <c r="V48" s="29"/>
      <c r="W48" s="32">
        <v>6.7703334093470602</v>
      </c>
      <c r="X48" s="30" t="s">
        <v>69</v>
      </c>
      <c r="Y48" s="39"/>
      <c r="Z48" s="62"/>
      <c r="AA48" s="27">
        <v>40826.302729528536</v>
      </c>
      <c r="AB48" s="27">
        <v>28535.279999999842</v>
      </c>
      <c r="AC48" s="39"/>
      <c r="AD48" s="29">
        <v>6374.3432032627552</v>
      </c>
      <c r="AE48" s="29">
        <v>5403.7627399999947</v>
      </c>
      <c r="AF48" s="31">
        <v>0.84773639694110581</v>
      </c>
      <c r="AG48" s="39"/>
      <c r="AH48" s="29">
        <v>7239.9704999999012</v>
      </c>
      <c r="AI48" s="29">
        <v>218732.92062499694</v>
      </c>
      <c r="AJ48" s="31">
        <v>1.1354535241625647</v>
      </c>
      <c r="AK48" s="39"/>
      <c r="AL48" s="80">
        <v>0.15712826646473146</v>
      </c>
      <c r="AM48" s="80">
        <v>0.18937128845415305</v>
      </c>
      <c r="AN48" s="39"/>
      <c r="AO48" s="32">
        <v>0</v>
      </c>
      <c r="AP48" s="31">
        <v>0</v>
      </c>
      <c r="AQ48" s="10"/>
    </row>
    <row r="49" spans="1:43" ht="8" customHeight="1" x14ac:dyDescent="0.3">
      <c r="B49" s="16"/>
      <c r="D49" s="34"/>
      <c r="E49" s="47"/>
      <c r="F49" s="125"/>
      <c r="G49" s="34"/>
      <c r="H49" s="48"/>
      <c r="I49" s="48"/>
      <c r="J49" s="48"/>
      <c r="K49" s="51"/>
      <c r="L49" s="34"/>
      <c r="M49" s="48"/>
      <c r="N49" s="48"/>
      <c r="O49" s="51"/>
      <c r="P49" s="48"/>
      <c r="Q49" s="47"/>
      <c r="R49" s="34"/>
      <c r="S49" s="51"/>
      <c r="T49" s="51"/>
      <c r="U49" s="34"/>
      <c r="V49" s="48"/>
      <c r="W49" s="52"/>
      <c r="X49" s="48"/>
      <c r="Y49" s="34"/>
      <c r="Z49" s="62"/>
      <c r="AA49" s="47"/>
      <c r="AB49" s="47"/>
      <c r="AC49" s="36"/>
      <c r="AD49" s="48"/>
      <c r="AE49" s="48"/>
      <c r="AF49" s="47"/>
      <c r="AG49" s="36"/>
      <c r="AH49" s="48"/>
      <c r="AI49" s="48"/>
      <c r="AJ49" s="47"/>
      <c r="AK49" s="36"/>
      <c r="AL49" s="49"/>
      <c r="AM49" s="53"/>
      <c r="AN49" s="36"/>
      <c r="AO49" s="52"/>
      <c r="AP49" s="47"/>
    </row>
    <row r="50" spans="1:43" ht="12.75" customHeight="1" x14ac:dyDescent="0.3">
      <c r="A50" s="7" t="s">
        <v>17</v>
      </c>
      <c r="B50" s="212" t="s">
        <v>67</v>
      </c>
      <c r="C50" s="6" t="s">
        <v>8</v>
      </c>
      <c r="D50" s="34"/>
      <c r="E50" s="33">
        <v>112270.23999999995</v>
      </c>
      <c r="F50" s="123">
        <v>0.19356937931034474</v>
      </c>
      <c r="G50" s="7"/>
      <c r="H50" s="35">
        <v>580000</v>
      </c>
      <c r="I50" s="35">
        <v>446153.84615384619</v>
      </c>
      <c r="J50" s="35">
        <v>400292.23999999865</v>
      </c>
      <c r="K50" s="70">
        <v>0.89720674482758311</v>
      </c>
      <c r="L50" s="36"/>
      <c r="M50" s="35">
        <v>98020</v>
      </c>
      <c r="N50" s="35">
        <v>75400</v>
      </c>
      <c r="O50" s="37">
        <v>0</v>
      </c>
      <c r="P50" s="35">
        <v>69745.156050000121</v>
      </c>
      <c r="Q50" s="115">
        <v>0.92500206962864884</v>
      </c>
      <c r="R50" s="36"/>
      <c r="S50" s="127">
        <v>0.16900000000000001</v>
      </c>
      <c r="T50" s="127">
        <v>0.17423559360031651</v>
      </c>
      <c r="U50" s="36"/>
      <c r="V50" s="35"/>
      <c r="W50" s="38">
        <v>-11.363261488656523</v>
      </c>
      <c r="X50" s="69" t="s">
        <v>69</v>
      </c>
      <c r="Y50" s="36"/>
      <c r="Z50" s="62"/>
      <c r="AA50" s="33">
        <v>22307.692307692309</v>
      </c>
      <c r="AB50" s="33">
        <v>22781.400000000005</v>
      </c>
      <c r="AC50" s="36"/>
      <c r="AD50" s="35">
        <v>3770</v>
      </c>
      <c r="AE50" s="35">
        <v>4684.6949999999997</v>
      </c>
      <c r="AF50" s="115">
        <v>1.2426246684350133</v>
      </c>
      <c r="AG50" s="36"/>
      <c r="AH50" s="35">
        <v>3487.2578025000062</v>
      </c>
      <c r="AI50" s="35">
        <v>90668.702865000159</v>
      </c>
      <c r="AJ50" s="115">
        <v>0.92500206962864884</v>
      </c>
      <c r="AK50" s="36"/>
      <c r="AL50" s="108">
        <v>0.16900000000000001</v>
      </c>
      <c r="AM50" s="108">
        <v>0.20563683531301846</v>
      </c>
      <c r="AN50" s="36"/>
      <c r="AO50" s="38">
        <v>-5.7046318487888961</v>
      </c>
      <c r="AP50" s="70">
        <v>0</v>
      </c>
    </row>
    <row r="51" spans="1:43" ht="12.75" customHeight="1" x14ac:dyDescent="0.3">
      <c r="A51" s="7" t="s">
        <v>17</v>
      </c>
      <c r="B51" s="212"/>
      <c r="C51" s="6" t="s">
        <v>9</v>
      </c>
      <c r="D51" s="34"/>
      <c r="E51" s="33">
        <v>80308.789999999979</v>
      </c>
      <c r="F51" s="123">
        <v>0.31493643137254895</v>
      </c>
      <c r="G51" s="7"/>
      <c r="H51" s="35">
        <v>255000</v>
      </c>
      <c r="I51" s="35">
        <v>197419.3548387097</v>
      </c>
      <c r="J51" s="35">
        <v>182853.60999999812</v>
      </c>
      <c r="K51" s="70">
        <v>0.92621926633985974</v>
      </c>
      <c r="L51" s="36"/>
      <c r="M51" s="35">
        <v>50745</v>
      </c>
      <c r="N51" s="35">
        <v>39286.451612903227</v>
      </c>
      <c r="O51" s="37">
        <v>0</v>
      </c>
      <c r="P51" s="35">
        <v>39308.74495000008</v>
      </c>
      <c r="Q51" s="115">
        <v>1.0005674561122626</v>
      </c>
      <c r="R51" s="36"/>
      <c r="S51" s="127">
        <v>0.19900000000000001</v>
      </c>
      <c r="T51" s="127">
        <v>0.21497385230732105</v>
      </c>
      <c r="U51" s="36"/>
      <c r="V51" s="35"/>
      <c r="W51" s="38">
        <v>2.260991702596217</v>
      </c>
      <c r="X51" s="69" t="s">
        <v>69</v>
      </c>
      <c r="Y51" s="36"/>
      <c r="Z51" s="62"/>
      <c r="AA51" s="33">
        <v>8225.8064516129034</v>
      </c>
      <c r="AB51" s="33">
        <v>5795.7499999999973</v>
      </c>
      <c r="AC51" s="36"/>
      <c r="AD51" s="35">
        <v>1636.9354838709678</v>
      </c>
      <c r="AE51" s="35">
        <v>1203.4763499999997</v>
      </c>
      <c r="AF51" s="115">
        <v>0.73520084441816902</v>
      </c>
      <c r="AG51" s="36"/>
      <c r="AH51" s="35">
        <v>1637.8643729166699</v>
      </c>
      <c r="AI51" s="35">
        <v>50773.795560416766</v>
      </c>
      <c r="AJ51" s="115">
        <v>1.0005674561122626</v>
      </c>
      <c r="AK51" s="36"/>
      <c r="AL51" s="108">
        <v>0.19900000000000001</v>
      </c>
      <c r="AM51" s="108">
        <v>0.20764807833326149</v>
      </c>
      <c r="AN51" s="36"/>
      <c r="AO51" s="38">
        <v>1.4111435103308048</v>
      </c>
      <c r="AP51" s="70">
        <v>0</v>
      </c>
    </row>
    <row r="52" spans="1:43" ht="12.75" customHeight="1" x14ac:dyDescent="0.3">
      <c r="A52" s="7" t="s">
        <v>17</v>
      </c>
      <c r="B52" s="212"/>
      <c r="C52" s="6" t="s">
        <v>10</v>
      </c>
      <c r="D52" s="34"/>
      <c r="E52" s="33">
        <v>130689.51999999995</v>
      </c>
      <c r="F52" s="123">
        <v>0.28410765217391293</v>
      </c>
      <c r="G52" s="7"/>
      <c r="H52" s="35">
        <v>460000</v>
      </c>
      <c r="I52" s="35">
        <v>356129.03225806449</v>
      </c>
      <c r="J52" s="35">
        <v>296469.63999999728</v>
      </c>
      <c r="K52" s="70">
        <v>0.83247815579709383</v>
      </c>
      <c r="L52" s="36"/>
      <c r="M52" s="35">
        <v>95534.936056770661</v>
      </c>
      <c r="N52" s="35">
        <v>73962.531140725667</v>
      </c>
      <c r="O52" s="37">
        <v>0</v>
      </c>
      <c r="P52" s="35">
        <v>66301.798899999791</v>
      </c>
      <c r="Q52" s="115">
        <v>0.89642414716513563</v>
      </c>
      <c r="R52" s="36"/>
      <c r="S52" s="127">
        <v>0.20768464360167535</v>
      </c>
      <c r="T52" s="127">
        <v>0.22363773538498039</v>
      </c>
      <c r="U52" s="36"/>
      <c r="V52" s="35"/>
      <c r="W52" s="38">
        <v>1.9123438406705509</v>
      </c>
      <c r="X52" s="69" t="s">
        <v>69</v>
      </c>
      <c r="Y52" s="36"/>
      <c r="Z52" s="62"/>
      <c r="AA52" s="33">
        <v>14838.709677419354</v>
      </c>
      <c r="AB52" s="33">
        <v>9815.6799999999948</v>
      </c>
      <c r="AC52" s="36"/>
      <c r="AD52" s="35">
        <v>3081.7721308635696</v>
      </c>
      <c r="AE52" s="35">
        <v>2220.3693000000003</v>
      </c>
      <c r="AF52" s="115">
        <v>0.7204845802073665</v>
      </c>
      <c r="AG52" s="36"/>
      <c r="AH52" s="35">
        <v>2762.5749541666578</v>
      </c>
      <c r="AI52" s="35">
        <v>85639.82357916639</v>
      </c>
      <c r="AJ52" s="115">
        <v>0.89642414716513552</v>
      </c>
      <c r="AK52" s="36"/>
      <c r="AL52" s="108">
        <v>0.20768464360167535</v>
      </c>
      <c r="AM52" s="108">
        <v>0.22620636573319439</v>
      </c>
      <c r="AN52" s="36"/>
      <c r="AO52" s="38">
        <v>2.3819979868943366</v>
      </c>
      <c r="AP52" s="70">
        <v>0</v>
      </c>
    </row>
    <row r="53" spans="1:43" ht="12.75" customHeight="1" x14ac:dyDescent="0.3">
      <c r="A53" s="7" t="s">
        <v>17</v>
      </c>
      <c r="B53" s="212"/>
      <c r="C53" s="6" t="s">
        <v>12</v>
      </c>
      <c r="D53" s="34"/>
      <c r="E53" s="33">
        <v>29142.48</v>
      </c>
      <c r="F53" s="123">
        <v>7.6690736842105256E-2</v>
      </c>
      <c r="G53" s="7"/>
      <c r="H53" s="35">
        <v>380000</v>
      </c>
      <c r="I53" s="35">
        <v>292307.69230769231</v>
      </c>
      <c r="J53" s="35">
        <v>371043.87999999989</v>
      </c>
      <c r="K53" s="70">
        <v>1.2693606421052628</v>
      </c>
      <c r="L53" s="36"/>
      <c r="M53" s="35">
        <v>77231.730048526413</v>
      </c>
      <c r="N53" s="35">
        <v>59409.023114251089</v>
      </c>
      <c r="O53" s="37">
        <v>1463.78</v>
      </c>
      <c r="P53" s="35">
        <v>88333.699999999968</v>
      </c>
      <c r="Q53" s="115">
        <v>1.4868734641558246</v>
      </c>
      <c r="R53" s="36"/>
      <c r="S53" s="127">
        <v>0.20324139486454318</v>
      </c>
      <c r="T53" s="127">
        <v>0.23806806893028393</v>
      </c>
      <c r="U53" s="36"/>
      <c r="V53" s="35"/>
      <c r="W53" s="38">
        <v>-1.1317232883614277</v>
      </c>
      <c r="X53" s="69" t="s">
        <v>69</v>
      </c>
      <c r="Y53" s="36"/>
      <c r="Z53" s="62"/>
      <c r="AA53" s="33">
        <v>14615.384615384615</v>
      </c>
      <c r="AB53" s="33">
        <v>31425.800000000003</v>
      </c>
      <c r="AC53" s="36"/>
      <c r="AD53" s="35">
        <v>2970.4511557125543</v>
      </c>
      <c r="AE53" s="35">
        <v>6530.0699999999988</v>
      </c>
      <c r="AF53" s="115">
        <v>2.1983428299912777</v>
      </c>
      <c r="AG53" s="36"/>
      <c r="AH53" s="35">
        <v>4416.6849999999986</v>
      </c>
      <c r="AI53" s="35">
        <v>114833.80999999997</v>
      </c>
      <c r="AJ53" s="115">
        <v>1.4868734641558248</v>
      </c>
      <c r="AK53" s="36"/>
      <c r="AL53" s="108">
        <v>0.20324139486454318</v>
      </c>
      <c r="AM53" s="108">
        <v>0.20779327813452636</v>
      </c>
      <c r="AN53" s="36"/>
      <c r="AO53" s="38">
        <v>4.8587784559183964</v>
      </c>
      <c r="AP53" s="70">
        <v>0</v>
      </c>
    </row>
    <row r="54" spans="1:43" s="15" customFormat="1" ht="14.25" customHeight="1" x14ac:dyDescent="0.3">
      <c r="A54" s="26"/>
      <c r="B54" s="212"/>
      <c r="C54" s="9" t="s">
        <v>71</v>
      </c>
      <c r="D54" s="28"/>
      <c r="E54" s="27">
        <v>352411.02999999985</v>
      </c>
      <c r="F54" s="124">
        <v>0.21039464477611933</v>
      </c>
      <c r="G54" s="26"/>
      <c r="H54" s="29">
        <v>1675000</v>
      </c>
      <c r="I54" s="29">
        <v>1292009.9255583126</v>
      </c>
      <c r="J54" s="29">
        <v>1250659.3699999941</v>
      </c>
      <c r="K54" s="31">
        <v>0.96799517190980566</v>
      </c>
      <c r="L54" s="39"/>
      <c r="M54" s="29">
        <v>321531.6661052971</v>
      </c>
      <c r="N54" s="29">
        <v>248058.00586787998</v>
      </c>
      <c r="O54" s="27">
        <v>1463.78</v>
      </c>
      <c r="P54" s="29">
        <v>263689.39989999996</v>
      </c>
      <c r="Q54" s="31">
        <v>1.0630150757579078</v>
      </c>
      <c r="R54" s="39"/>
      <c r="S54" s="128">
        <v>0.1919592036449535</v>
      </c>
      <c r="T54" s="128">
        <v>0.21084030250379143</v>
      </c>
      <c r="U54" s="39"/>
      <c r="V54" s="29"/>
      <c r="W54" s="32">
        <v>-3.1888475036975654</v>
      </c>
      <c r="X54" s="30" t="s">
        <v>69</v>
      </c>
      <c r="Y54" s="39"/>
      <c r="Z54" s="62"/>
      <c r="AA54" s="27">
        <v>59987.593052109187</v>
      </c>
      <c r="AB54" s="27">
        <v>69818.63</v>
      </c>
      <c r="AC54" s="39"/>
      <c r="AD54" s="29">
        <v>11459.158770447091</v>
      </c>
      <c r="AE54" s="29">
        <v>14638.610649999999</v>
      </c>
      <c r="AF54" s="31">
        <v>1.2774594490960927</v>
      </c>
      <c r="AG54" s="39"/>
      <c r="AH54" s="29">
        <v>12304.382129583333</v>
      </c>
      <c r="AI54" s="29">
        <v>341916.13200458325</v>
      </c>
      <c r="AJ54" s="31">
        <v>1.0633980041412485</v>
      </c>
      <c r="AK54" s="39"/>
      <c r="AL54" s="80">
        <v>0.1919592036449535</v>
      </c>
      <c r="AM54" s="80">
        <v>0.20966625455125656</v>
      </c>
      <c r="AN54" s="39"/>
      <c r="AO54" s="32">
        <v>0</v>
      </c>
      <c r="AP54" s="31">
        <v>0</v>
      </c>
      <c r="AQ54" s="10"/>
    </row>
    <row r="55" spans="1:43" ht="8" customHeight="1" x14ac:dyDescent="0.3">
      <c r="B55" s="16"/>
      <c r="D55" s="34"/>
      <c r="E55" s="47"/>
      <c r="F55" s="125"/>
      <c r="G55" s="34"/>
      <c r="H55" s="48"/>
      <c r="I55" s="48"/>
      <c r="J55" s="48"/>
      <c r="K55" s="51"/>
      <c r="L55" s="34"/>
      <c r="M55" s="48"/>
      <c r="N55" s="48"/>
      <c r="O55" s="51"/>
      <c r="P55" s="48"/>
      <c r="Q55" s="47"/>
      <c r="R55" s="34"/>
      <c r="S55" s="51"/>
      <c r="T55" s="51"/>
      <c r="U55" s="34"/>
      <c r="V55" s="48"/>
      <c r="W55" s="52"/>
      <c r="X55" s="48"/>
      <c r="Y55" s="34"/>
      <c r="Z55" s="62"/>
      <c r="AA55" s="47"/>
      <c r="AB55" s="47"/>
      <c r="AC55" s="36"/>
      <c r="AD55" s="48"/>
      <c r="AE55" s="48"/>
      <c r="AF55" s="47"/>
      <c r="AG55" s="36"/>
      <c r="AH55" s="48"/>
      <c r="AI55" s="48"/>
      <c r="AJ55" s="47"/>
      <c r="AK55" s="36"/>
      <c r="AL55" s="49"/>
      <c r="AM55" s="53"/>
      <c r="AN55" s="36"/>
      <c r="AO55" s="52"/>
      <c r="AP55" s="47"/>
    </row>
    <row r="56" spans="1:43" ht="12.75" customHeight="1" x14ac:dyDescent="0.3">
      <c r="A56" s="7" t="s">
        <v>21</v>
      </c>
      <c r="B56" s="212" t="s">
        <v>75</v>
      </c>
      <c r="C56" s="6" t="s">
        <v>8</v>
      </c>
      <c r="D56" s="34"/>
      <c r="E56" s="33">
        <v>340717.6599999998</v>
      </c>
      <c r="F56" s="123">
        <v>4.4831271052631552</v>
      </c>
      <c r="G56" s="7"/>
      <c r="H56" s="35">
        <v>76000</v>
      </c>
      <c r="I56" s="35">
        <v>58461.538461538454</v>
      </c>
      <c r="J56" s="35">
        <v>50786.600000000653</v>
      </c>
      <c r="K56" s="70">
        <v>0.86871815789474816</v>
      </c>
      <c r="L56" s="36"/>
      <c r="M56" s="35">
        <v>16644</v>
      </c>
      <c r="N56" s="35">
        <v>12803.076923076924</v>
      </c>
      <c r="O56" s="37">
        <v>0</v>
      </c>
      <c r="P56" s="35">
        <v>11111.009999999982</v>
      </c>
      <c r="Q56" s="115">
        <v>0.86783904109588894</v>
      </c>
      <c r="R56" s="36"/>
      <c r="S56" s="127">
        <v>0.219</v>
      </c>
      <c r="T56" s="127">
        <v>0.21877837854866911</v>
      </c>
      <c r="U56" s="36"/>
      <c r="V56" s="35"/>
      <c r="W56" s="38">
        <v>10.220314019840814</v>
      </c>
      <c r="X56" s="69" t="s">
        <v>69</v>
      </c>
      <c r="Y56" s="36"/>
      <c r="Z56" s="62"/>
      <c r="AA56" s="33">
        <v>2923.0769230769229</v>
      </c>
      <c r="AB56" s="33">
        <v>2249.2000000000016</v>
      </c>
      <c r="AC56" s="36"/>
      <c r="AD56" s="35">
        <v>640.15384615384619</v>
      </c>
      <c r="AE56" s="35">
        <v>538.72000000000014</v>
      </c>
      <c r="AF56" s="115">
        <v>0.84154770487863517</v>
      </c>
      <c r="AG56" s="36"/>
      <c r="AH56" s="35">
        <v>555.55049999999915</v>
      </c>
      <c r="AI56" s="35">
        <v>14444.312999999978</v>
      </c>
      <c r="AJ56" s="115">
        <v>0.86783904109588905</v>
      </c>
      <c r="AK56" s="36"/>
      <c r="AL56" s="108">
        <v>0.219</v>
      </c>
      <c r="AM56" s="108">
        <v>0.23951627245242743</v>
      </c>
      <c r="AN56" s="36"/>
      <c r="AO56" s="38">
        <v>12.126089276187162</v>
      </c>
      <c r="AP56" s="70">
        <v>0</v>
      </c>
    </row>
    <row r="57" spans="1:43" ht="12.75" customHeight="1" x14ac:dyDescent="0.3">
      <c r="A57" s="7" t="s">
        <v>21</v>
      </c>
      <c r="B57" s="212"/>
      <c r="C57" s="6" t="s">
        <v>9</v>
      </c>
      <c r="D57" s="34"/>
      <c r="E57" s="33">
        <v>489291.6199999993</v>
      </c>
      <c r="F57" s="123">
        <v>2.4464580999999965</v>
      </c>
      <c r="G57" s="7"/>
      <c r="H57" s="35">
        <v>200000</v>
      </c>
      <c r="I57" s="35">
        <v>154838.70967741936</v>
      </c>
      <c r="J57" s="35">
        <v>139977.88000000236</v>
      </c>
      <c r="K57" s="70">
        <v>0.9040238083333485</v>
      </c>
      <c r="L57" s="36"/>
      <c r="M57" s="35">
        <v>45000</v>
      </c>
      <c r="N57" s="35">
        <v>34838.709677419349</v>
      </c>
      <c r="O57" s="37">
        <v>0</v>
      </c>
      <c r="P57" s="35">
        <v>27986.86999999997</v>
      </c>
      <c r="Q57" s="115">
        <v>0.8033268240740733</v>
      </c>
      <c r="R57" s="36"/>
      <c r="S57" s="127">
        <v>0.22500000000000001</v>
      </c>
      <c r="T57" s="127">
        <v>0.19993780445881518</v>
      </c>
      <c r="U57" s="36"/>
      <c r="V57" s="35"/>
      <c r="W57" s="38">
        <v>8.1144606562135806</v>
      </c>
      <c r="X57" s="69" t="s">
        <v>69</v>
      </c>
      <c r="Y57" s="36"/>
      <c r="Z57" s="62"/>
      <c r="AA57" s="33">
        <v>6451.6129032258068</v>
      </c>
      <c r="AB57" s="33">
        <v>3174.3799999999992</v>
      </c>
      <c r="AC57" s="36"/>
      <c r="AD57" s="35">
        <v>1451.6129032258063</v>
      </c>
      <c r="AE57" s="35">
        <v>684.80999999999949</v>
      </c>
      <c r="AF57" s="115">
        <v>0.47175799999999968</v>
      </c>
      <c r="AG57" s="36"/>
      <c r="AH57" s="35">
        <v>1166.119583333332</v>
      </c>
      <c r="AI57" s="35">
        <v>36149.707083333291</v>
      </c>
      <c r="AJ57" s="115">
        <v>0.80332682407407319</v>
      </c>
      <c r="AK57" s="36"/>
      <c r="AL57" s="108">
        <v>0.22500000000000001</v>
      </c>
      <c r="AM57" s="108">
        <v>0.21573031584120353</v>
      </c>
      <c r="AN57" s="36"/>
      <c r="AO57" s="38">
        <v>9.7178031615622462</v>
      </c>
      <c r="AP57" s="70">
        <v>0</v>
      </c>
    </row>
    <row r="58" spans="1:43" ht="12.75" customHeight="1" x14ac:dyDescent="0.3">
      <c r="A58" s="7" t="s">
        <v>21</v>
      </c>
      <c r="B58" s="212"/>
      <c r="C58" s="6" t="s">
        <v>10</v>
      </c>
      <c r="D58" s="34"/>
      <c r="E58" s="33">
        <v>561787.08000000031</v>
      </c>
      <c r="F58" s="123">
        <v>2.6751765714285729</v>
      </c>
      <c r="G58" s="7"/>
      <c r="H58" s="35">
        <v>210000</v>
      </c>
      <c r="I58" s="35">
        <v>162580.6451612903</v>
      </c>
      <c r="J58" s="35">
        <v>154536.23999999714</v>
      </c>
      <c r="K58" s="70">
        <v>0.95052052380950636</v>
      </c>
      <c r="L58" s="36"/>
      <c r="M58" s="35">
        <v>49770</v>
      </c>
      <c r="N58" s="35">
        <v>38531.612903225803</v>
      </c>
      <c r="O58" s="37">
        <v>742.19</v>
      </c>
      <c r="P58" s="35">
        <v>31918.550000000101</v>
      </c>
      <c r="Q58" s="115">
        <v>0.82837305773223768</v>
      </c>
      <c r="R58" s="36"/>
      <c r="S58" s="127">
        <v>0.23699999999999999</v>
      </c>
      <c r="T58" s="127">
        <v>0.20654410900640971</v>
      </c>
      <c r="U58" s="36"/>
      <c r="V58" s="35"/>
      <c r="W58" s="38">
        <v>8.4319380360204637</v>
      </c>
      <c r="X58" s="69" t="s">
        <v>69</v>
      </c>
      <c r="Y58" s="36"/>
      <c r="Z58" s="62"/>
      <c r="AA58" s="33">
        <v>6774.1935483870966</v>
      </c>
      <c r="AB58" s="33">
        <v>5517.3199999999833</v>
      </c>
      <c r="AC58" s="36"/>
      <c r="AD58" s="35">
        <v>1605.483870967742</v>
      </c>
      <c r="AE58" s="35">
        <v>1094.3899999999999</v>
      </c>
      <c r="AF58" s="115">
        <v>0.68165742415109498</v>
      </c>
      <c r="AG58" s="36"/>
      <c r="AH58" s="35">
        <v>1329.9395833333376</v>
      </c>
      <c r="AI58" s="35">
        <v>41228.127083333464</v>
      </c>
      <c r="AJ58" s="115">
        <v>0.82837305773223757</v>
      </c>
      <c r="AK58" s="36"/>
      <c r="AL58" s="108">
        <v>0.23699999999999999</v>
      </c>
      <c r="AM58" s="108">
        <v>0.19835536093610723</v>
      </c>
      <c r="AN58" s="36"/>
      <c r="AO58" s="38">
        <v>8.7426504172312782</v>
      </c>
      <c r="AP58" s="70">
        <v>0</v>
      </c>
    </row>
    <row r="59" spans="1:43" ht="12.75" customHeight="1" x14ac:dyDescent="0.3">
      <c r="A59" s="7" t="s">
        <v>21</v>
      </c>
      <c r="B59" s="212"/>
      <c r="C59" s="6" t="s">
        <v>12</v>
      </c>
      <c r="D59" s="34"/>
      <c r="E59" s="33">
        <v>35217.929999999993</v>
      </c>
      <c r="F59" s="123">
        <v>4.2948695121951213</v>
      </c>
      <c r="G59" s="7"/>
      <c r="H59" s="35">
        <v>8200</v>
      </c>
      <c r="I59" s="35">
        <v>6307.6923076923067</v>
      </c>
      <c r="J59" s="35">
        <v>5520.1299999999583</v>
      </c>
      <c r="K59" s="70">
        <v>0.87514256097560328</v>
      </c>
      <c r="L59" s="36"/>
      <c r="M59" s="35">
        <v>656</v>
      </c>
      <c r="N59" s="35">
        <v>504.61538461538458</v>
      </c>
      <c r="O59" s="37">
        <v>0</v>
      </c>
      <c r="P59" s="35">
        <v>949.60999999999831</v>
      </c>
      <c r="Q59" s="115">
        <v>1.8818490853658505</v>
      </c>
      <c r="R59" s="36"/>
      <c r="S59" s="127">
        <v>0.08</v>
      </c>
      <c r="T59" s="127">
        <v>0.17202674574693086</v>
      </c>
      <c r="U59" s="36"/>
      <c r="V59" s="35"/>
      <c r="W59" s="38">
        <v>5.636461460146112</v>
      </c>
      <c r="X59" s="69" t="s">
        <v>69</v>
      </c>
      <c r="Y59" s="36"/>
      <c r="Z59" s="62"/>
      <c r="AA59" s="33">
        <v>315.38461538461536</v>
      </c>
      <c r="AB59" s="33">
        <v>70.169999999999987</v>
      </c>
      <c r="AC59" s="36"/>
      <c r="AD59" s="35">
        <v>25.23076923076923</v>
      </c>
      <c r="AE59" s="35">
        <v>16.290000000000006</v>
      </c>
      <c r="AF59" s="115">
        <v>0.64564024390243935</v>
      </c>
      <c r="AG59" s="36"/>
      <c r="AH59" s="35">
        <v>47.480499999999914</v>
      </c>
      <c r="AI59" s="35">
        <v>1234.4929999999977</v>
      </c>
      <c r="AJ59" s="115">
        <v>1.88184908536585</v>
      </c>
      <c r="AK59" s="36"/>
      <c r="AL59" s="108">
        <v>0.08</v>
      </c>
      <c r="AM59" s="108">
        <v>0.23215049166310403</v>
      </c>
      <c r="AN59" s="36"/>
      <c r="AO59" s="38">
        <v>10.460310674077228</v>
      </c>
      <c r="AP59" s="70">
        <v>0</v>
      </c>
    </row>
    <row r="60" spans="1:43" s="15" customFormat="1" ht="14.25" customHeight="1" x14ac:dyDescent="0.3">
      <c r="A60" s="26"/>
      <c r="B60" s="212"/>
      <c r="C60" s="9" t="s">
        <v>78</v>
      </c>
      <c r="D60" s="28"/>
      <c r="E60" s="27">
        <v>1427014.2899999993</v>
      </c>
      <c r="F60" s="124">
        <v>2.8875238567381611</v>
      </c>
      <c r="G60" s="26"/>
      <c r="H60" s="29">
        <v>494200</v>
      </c>
      <c r="I60" s="29">
        <v>382188.58560794045</v>
      </c>
      <c r="J60" s="29">
        <v>350820.85000000009</v>
      </c>
      <c r="K60" s="31">
        <v>0.91792602712599525</v>
      </c>
      <c r="L60" s="39"/>
      <c r="M60" s="29">
        <v>112070</v>
      </c>
      <c r="N60" s="29">
        <v>86678.014888337464</v>
      </c>
      <c r="O60" s="27">
        <v>742.19</v>
      </c>
      <c r="P60" s="29">
        <v>71966.040000000052</v>
      </c>
      <c r="Q60" s="31">
        <v>0.83026866838967128</v>
      </c>
      <c r="R60" s="39"/>
      <c r="S60" s="128">
        <v>0.22677053824362606</v>
      </c>
      <c r="T60" s="128">
        <v>0.2051361542508093</v>
      </c>
      <c r="U60" s="39"/>
      <c r="V60" s="29"/>
      <c r="W60" s="32">
        <v>8.520172047926506</v>
      </c>
      <c r="X60" s="30" t="s">
        <v>69</v>
      </c>
      <c r="Y60" s="39"/>
      <c r="Z60" s="62"/>
      <c r="AA60" s="27">
        <v>16464.267990074441</v>
      </c>
      <c r="AB60" s="27">
        <v>11011.069999999983</v>
      </c>
      <c r="AC60" s="39"/>
      <c r="AD60" s="29">
        <v>3722.4813895781635</v>
      </c>
      <c r="AE60" s="29">
        <v>2334.2099999999996</v>
      </c>
      <c r="AF60" s="31">
        <v>0.62705753386305452</v>
      </c>
      <c r="AG60" s="39"/>
      <c r="AH60" s="29">
        <v>3099.0901666666691</v>
      </c>
      <c r="AI60" s="29">
        <v>93056.640166666737</v>
      </c>
      <c r="AJ60" s="31">
        <v>0.83034389369739214</v>
      </c>
      <c r="AK60" s="39"/>
      <c r="AL60" s="80">
        <v>0.22677053824362606</v>
      </c>
      <c r="AM60" s="80">
        <v>0.21198757250657776</v>
      </c>
      <c r="AN60" s="39"/>
      <c r="AO60" s="32">
        <v>0</v>
      </c>
      <c r="AP60" s="31">
        <v>0</v>
      </c>
      <c r="AQ60" s="10"/>
    </row>
    <row r="61" spans="1:43" ht="8" customHeight="1" x14ac:dyDescent="0.3">
      <c r="B61" s="16"/>
      <c r="D61" s="34"/>
      <c r="E61" s="47"/>
      <c r="F61" s="125"/>
      <c r="G61" s="34"/>
      <c r="H61" s="48"/>
      <c r="I61" s="48"/>
      <c r="J61" s="48"/>
      <c r="K61" s="51"/>
      <c r="L61" s="34"/>
      <c r="M61" s="48"/>
      <c r="N61" s="48"/>
      <c r="O61" s="51"/>
      <c r="P61" s="48"/>
      <c r="Q61" s="47"/>
      <c r="R61" s="34"/>
      <c r="S61" s="51"/>
      <c r="T61" s="51"/>
      <c r="U61" s="34"/>
      <c r="V61" s="48"/>
      <c r="W61" s="52"/>
      <c r="X61" s="48"/>
      <c r="Y61" s="34"/>
      <c r="Z61" s="62"/>
      <c r="AA61" s="47"/>
      <c r="AB61" s="47"/>
      <c r="AC61" s="36"/>
      <c r="AD61" s="48"/>
      <c r="AE61" s="48"/>
      <c r="AF61" s="47"/>
      <c r="AG61" s="36"/>
      <c r="AH61" s="48"/>
      <c r="AI61" s="48"/>
      <c r="AJ61" s="47"/>
      <c r="AK61" s="36"/>
      <c r="AL61" s="49"/>
      <c r="AM61" s="53"/>
      <c r="AN61" s="36"/>
      <c r="AO61" s="52"/>
      <c r="AP61" s="47"/>
    </row>
    <row r="62" spans="1:43" ht="12.75" customHeight="1" x14ac:dyDescent="0.3">
      <c r="A62" s="7" t="s">
        <v>22</v>
      </c>
      <c r="B62" s="211" t="s">
        <v>55</v>
      </c>
      <c r="C62" s="6" t="s">
        <v>8</v>
      </c>
      <c r="D62" s="34"/>
      <c r="E62" s="33">
        <v>167704.64999999997</v>
      </c>
      <c r="F62" s="123">
        <v>0.15528208333333329</v>
      </c>
      <c r="G62" s="7"/>
      <c r="H62" s="35">
        <v>1080000</v>
      </c>
      <c r="I62" s="35">
        <v>830769.23076923075</v>
      </c>
      <c r="J62" s="35">
        <v>827964.71999999625</v>
      </c>
      <c r="K62" s="70">
        <v>0.99662419999999552</v>
      </c>
      <c r="L62" s="36"/>
      <c r="M62" s="35">
        <v>43200</v>
      </c>
      <c r="N62" s="35">
        <v>33230.769230769227</v>
      </c>
      <c r="O62" s="37">
        <v>0</v>
      </c>
      <c r="P62" s="35">
        <v>15456.520099999956</v>
      </c>
      <c r="Q62" s="115">
        <v>0.46512676226851724</v>
      </c>
      <c r="R62" s="36"/>
      <c r="S62" s="127">
        <v>0.04</v>
      </c>
      <c r="T62" s="127">
        <v>1.8668090229738324E-2</v>
      </c>
      <c r="U62" s="36"/>
      <c r="V62" s="35"/>
      <c r="W62" s="38">
        <v>-11.699568539587563</v>
      </c>
      <c r="X62" s="69" t="s">
        <v>69</v>
      </c>
      <c r="Y62" s="36"/>
      <c r="Z62" s="62"/>
      <c r="AA62" s="33">
        <v>41538.461538461539</v>
      </c>
      <c r="AB62" s="33">
        <v>48891.999999999993</v>
      </c>
      <c r="AC62" s="36"/>
      <c r="AD62" s="35">
        <v>1661.5384615384614</v>
      </c>
      <c r="AE62" s="35">
        <v>1174.5715999999982</v>
      </c>
      <c r="AF62" s="115">
        <v>0.70691809259259153</v>
      </c>
      <c r="AG62" s="36"/>
      <c r="AH62" s="35">
        <v>772.82600499999785</v>
      </c>
      <c r="AI62" s="35">
        <v>20093.476129999945</v>
      </c>
      <c r="AJ62" s="115">
        <v>0.46512676226851724</v>
      </c>
      <c r="AK62" s="36"/>
      <c r="AL62" s="108">
        <v>0.04</v>
      </c>
      <c r="AM62" s="108">
        <v>2.4023799394583947E-2</v>
      </c>
      <c r="AN62" s="36"/>
      <c r="AO62" s="38">
        <v>-11.250671684529207</v>
      </c>
      <c r="AP62" s="70">
        <v>0</v>
      </c>
    </row>
    <row r="63" spans="1:43" ht="12.75" customHeight="1" x14ac:dyDescent="0.3">
      <c r="A63" s="7" t="s">
        <v>22</v>
      </c>
      <c r="B63" s="211"/>
      <c r="C63" s="6" t="s">
        <v>9</v>
      </c>
      <c r="D63" s="34"/>
      <c r="E63" s="33">
        <v>223339.43999999989</v>
      </c>
      <c r="F63" s="123">
        <v>0.27917429999999988</v>
      </c>
      <c r="G63" s="7"/>
      <c r="H63" s="35">
        <v>800000</v>
      </c>
      <c r="I63" s="35">
        <v>619354.83870967745</v>
      </c>
      <c r="J63" s="35">
        <v>488432.95999998564</v>
      </c>
      <c r="K63" s="70">
        <v>0.78861571666664343</v>
      </c>
      <c r="L63" s="36"/>
      <c r="M63" s="35">
        <v>72000</v>
      </c>
      <c r="N63" s="35">
        <v>55741.93548387097</v>
      </c>
      <c r="O63" s="37">
        <v>0</v>
      </c>
      <c r="P63" s="35">
        <v>53048.672100000149</v>
      </c>
      <c r="Q63" s="115">
        <v>0.95168335364583601</v>
      </c>
      <c r="R63" s="36"/>
      <c r="S63" s="127">
        <v>0.09</v>
      </c>
      <c r="T63" s="127">
        <v>0.10860993512805055</v>
      </c>
      <c r="U63" s="36"/>
      <c r="V63" s="35"/>
      <c r="W63" s="38">
        <v>-0.94265503704245668</v>
      </c>
      <c r="X63" s="69" t="s">
        <v>69</v>
      </c>
      <c r="Y63" s="36"/>
      <c r="Z63" s="62"/>
      <c r="AA63" s="33">
        <v>25806.451612903227</v>
      </c>
      <c r="AB63" s="33">
        <v>16035.159999999976</v>
      </c>
      <c r="AC63" s="36"/>
      <c r="AD63" s="35">
        <v>2322.5806451612902</v>
      </c>
      <c r="AE63" s="35">
        <v>1524.8813500000001</v>
      </c>
      <c r="AF63" s="115">
        <v>0.65654613680555562</v>
      </c>
      <c r="AG63" s="36"/>
      <c r="AH63" s="35">
        <v>2210.3613375000064</v>
      </c>
      <c r="AI63" s="35">
        <v>68521.20146250019</v>
      </c>
      <c r="AJ63" s="115">
        <v>0.95168335364583601</v>
      </c>
      <c r="AK63" s="36"/>
      <c r="AL63" s="108">
        <v>0.09</v>
      </c>
      <c r="AM63" s="108">
        <v>9.5096110671798864E-2</v>
      </c>
      <c r="AN63" s="36"/>
      <c r="AO63" s="38">
        <v>-2.3019954275481291</v>
      </c>
      <c r="AP63" s="70">
        <v>0</v>
      </c>
    </row>
    <row r="64" spans="1:43" ht="12.75" customHeight="1" x14ac:dyDescent="0.3">
      <c r="A64" s="7" t="s">
        <v>22</v>
      </c>
      <c r="B64" s="211"/>
      <c r="C64" s="6" t="s">
        <v>10</v>
      </c>
      <c r="D64" s="34"/>
      <c r="E64" s="33">
        <v>345955.32000000007</v>
      </c>
      <c r="F64" s="123">
        <v>0.42448505521472402</v>
      </c>
      <c r="G64" s="7"/>
      <c r="H64" s="35">
        <v>815000</v>
      </c>
      <c r="I64" s="35">
        <v>630967.74193548388</v>
      </c>
      <c r="J64" s="35">
        <v>571261.46999997844</v>
      </c>
      <c r="K64" s="70">
        <v>0.90537349539873879</v>
      </c>
      <c r="L64" s="36"/>
      <c r="M64" s="35">
        <v>80685</v>
      </c>
      <c r="N64" s="35">
        <v>62465.806451612894</v>
      </c>
      <c r="O64" s="37">
        <v>0</v>
      </c>
      <c r="P64" s="35">
        <v>72820.32145000009</v>
      </c>
      <c r="Q64" s="115">
        <v>1.1657629283375694</v>
      </c>
      <c r="R64" s="36"/>
      <c r="S64" s="127">
        <v>9.9000000000000005E-2</v>
      </c>
      <c r="T64" s="127">
        <v>0.12747283910116122</v>
      </c>
      <c r="U64" s="36"/>
      <c r="V64" s="35"/>
      <c r="W64" s="38">
        <v>0.80702825099982034</v>
      </c>
      <c r="X64" s="69" t="s">
        <v>69</v>
      </c>
      <c r="Y64" s="36"/>
      <c r="Z64" s="62"/>
      <c r="AA64" s="33">
        <v>26290.322580645163</v>
      </c>
      <c r="AB64" s="33">
        <v>16967.969999999972</v>
      </c>
      <c r="AC64" s="36"/>
      <c r="AD64" s="35">
        <v>2602.7419354838707</v>
      </c>
      <c r="AE64" s="35">
        <v>1932.6626999999992</v>
      </c>
      <c r="AF64" s="115">
        <v>0.74254872281093109</v>
      </c>
      <c r="AG64" s="36"/>
      <c r="AH64" s="35">
        <v>3034.1800604166706</v>
      </c>
      <c r="AI64" s="35">
        <v>94059.581872916795</v>
      </c>
      <c r="AJ64" s="115">
        <v>1.1657629283375694</v>
      </c>
      <c r="AK64" s="36"/>
      <c r="AL64" s="108">
        <v>9.9000000000000005E-2</v>
      </c>
      <c r="AM64" s="108">
        <v>0.11390064338869071</v>
      </c>
      <c r="AN64" s="36"/>
      <c r="AO64" s="38">
        <v>-0.39567078442525694</v>
      </c>
      <c r="AP64" s="70">
        <v>0</v>
      </c>
    </row>
    <row r="65" spans="1:43" ht="12.75" customHeight="1" x14ac:dyDescent="0.3">
      <c r="A65" s="7" t="s">
        <v>22</v>
      </c>
      <c r="B65" s="211"/>
      <c r="C65" s="6" t="s">
        <v>12</v>
      </c>
      <c r="D65" s="34"/>
      <c r="E65" s="33">
        <v>13377.789999999972</v>
      </c>
      <c r="F65" s="123">
        <v>1.6852847064751791E-2</v>
      </c>
      <c r="G65" s="7"/>
      <c r="H65" s="35">
        <v>793800</v>
      </c>
      <c r="I65" s="35">
        <v>610615.38461538462</v>
      </c>
      <c r="J65" s="35">
        <v>521897.09999999934</v>
      </c>
      <c r="K65" s="70">
        <v>0.85470676492819242</v>
      </c>
      <c r="L65" s="36"/>
      <c r="M65" s="35">
        <v>75457.228812394649</v>
      </c>
      <c r="N65" s="35">
        <v>58044.022163380498</v>
      </c>
      <c r="O65" s="37">
        <v>10490.830000000002</v>
      </c>
      <c r="P65" s="35">
        <v>-1095.989999999998</v>
      </c>
      <c r="Q65" s="115">
        <v>-1.8882047782888642E-2</v>
      </c>
      <c r="R65" s="36"/>
      <c r="S65" s="127">
        <v>9.5058237354994524E-2</v>
      </c>
      <c r="T65" s="127">
        <v>-2.1000116689669271E-3</v>
      </c>
      <c r="U65" s="36"/>
      <c r="V65" s="35"/>
      <c r="W65" s="38">
        <v>-16.238785385088395</v>
      </c>
      <c r="X65" s="69" t="s">
        <v>69</v>
      </c>
      <c r="Y65" s="36"/>
      <c r="Z65" s="62"/>
      <c r="AA65" s="33">
        <v>30530.76923076923</v>
      </c>
      <c r="AB65" s="33">
        <v>70801.8</v>
      </c>
      <c r="AC65" s="36"/>
      <c r="AD65" s="35">
        <v>2902.2011081690248</v>
      </c>
      <c r="AE65" s="35">
        <v>9294.4999999999982</v>
      </c>
      <c r="AF65" s="115">
        <v>3.2025692409248037</v>
      </c>
      <c r="AG65" s="36"/>
      <c r="AH65" s="35">
        <v>-54.799499999999895</v>
      </c>
      <c r="AI65" s="35">
        <v>-1424.7869999999973</v>
      </c>
      <c r="AJ65" s="115">
        <v>-1.8882047782888642E-2</v>
      </c>
      <c r="AK65" s="36"/>
      <c r="AL65" s="108">
        <v>9.5058237354994524E-2</v>
      </c>
      <c r="AM65" s="108">
        <v>0.13127491108983103</v>
      </c>
      <c r="AN65" s="36"/>
      <c r="AO65" s="38">
        <v>-0.57090356459862868</v>
      </c>
      <c r="AP65" s="70">
        <v>0</v>
      </c>
    </row>
    <row r="66" spans="1:43" s="15" customFormat="1" ht="14.25" customHeight="1" x14ac:dyDescent="0.3">
      <c r="A66" s="26"/>
      <c r="B66" s="211"/>
      <c r="C66" s="9" t="s">
        <v>56</v>
      </c>
      <c r="D66" s="28"/>
      <c r="E66" s="27">
        <v>750377.19999999984</v>
      </c>
      <c r="F66" s="124">
        <v>0.21508174730566379</v>
      </c>
      <c r="G66" s="26"/>
      <c r="H66" s="29">
        <v>3488800</v>
      </c>
      <c r="I66" s="29">
        <v>2691707.1960297767</v>
      </c>
      <c r="J66" s="29">
        <v>2409556.2499999595</v>
      </c>
      <c r="K66" s="31">
        <v>0.89517769746799158</v>
      </c>
      <c r="L66" s="39"/>
      <c r="M66" s="29">
        <v>271342.22881239466</v>
      </c>
      <c r="N66" s="29">
        <v>209482.53332963356</v>
      </c>
      <c r="O66" s="27">
        <v>10490.830000000002</v>
      </c>
      <c r="P66" s="29">
        <v>140229.52365000022</v>
      </c>
      <c r="Q66" s="31">
        <v>0.66940914557940967</v>
      </c>
      <c r="R66" s="39"/>
      <c r="S66" s="128">
        <v>7.7775231831115191E-2</v>
      </c>
      <c r="T66" s="128">
        <v>5.8197240114233724E-2</v>
      </c>
      <c r="U66" s="39"/>
      <c r="V66" s="29"/>
      <c r="W66" s="32">
        <v>-7.5371573645581273</v>
      </c>
      <c r="X66" s="30" t="s">
        <v>69</v>
      </c>
      <c r="Y66" s="39"/>
      <c r="Z66" s="62"/>
      <c r="AA66" s="27">
        <v>124166.00496277917</v>
      </c>
      <c r="AB66" s="27">
        <v>152696.92999999993</v>
      </c>
      <c r="AC66" s="39"/>
      <c r="AD66" s="29">
        <v>9489.0621503526472</v>
      </c>
      <c r="AE66" s="29">
        <v>13926.615649999996</v>
      </c>
      <c r="AF66" s="31">
        <v>1.4676493239621613</v>
      </c>
      <c r="AG66" s="39"/>
      <c r="AH66" s="29">
        <v>5962.567902916674</v>
      </c>
      <c r="AI66" s="29">
        <v>181249.47246541694</v>
      </c>
      <c r="AJ66" s="31">
        <v>0.66797369970279252</v>
      </c>
      <c r="AK66" s="39"/>
      <c r="AL66" s="80">
        <v>7.7775231831115191E-2</v>
      </c>
      <c r="AM66" s="80">
        <v>9.1204293694706257E-2</v>
      </c>
      <c r="AN66" s="39"/>
      <c r="AO66" s="32">
        <v>0</v>
      </c>
      <c r="AP66" s="31">
        <v>0</v>
      </c>
      <c r="AQ66" s="10"/>
    </row>
    <row r="67" spans="1:43" ht="8" customHeight="1" x14ac:dyDescent="0.3">
      <c r="B67" s="16"/>
      <c r="D67" s="34"/>
      <c r="E67" s="47"/>
      <c r="F67" s="125"/>
      <c r="G67" s="34"/>
      <c r="H67" s="48"/>
      <c r="I67" s="48"/>
      <c r="J67" s="48"/>
      <c r="K67" s="51"/>
      <c r="L67" s="34"/>
      <c r="M67" s="48"/>
      <c r="N67" s="48"/>
      <c r="O67" s="51"/>
      <c r="P67" s="48"/>
      <c r="Q67" s="47"/>
      <c r="R67" s="34"/>
      <c r="S67" s="51"/>
      <c r="T67" s="51"/>
      <c r="U67" s="34"/>
      <c r="V67" s="48"/>
      <c r="W67" s="52"/>
      <c r="X67" s="48"/>
      <c r="Y67" s="34"/>
      <c r="Z67" s="62"/>
      <c r="AA67" s="47"/>
      <c r="AB67" s="47"/>
      <c r="AC67" s="36"/>
      <c r="AD67" s="48"/>
      <c r="AE67" s="48"/>
      <c r="AF67" s="47"/>
      <c r="AG67" s="36"/>
      <c r="AH67" s="48"/>
      <c r="AI67" s="48"/>
      <c r="AJ67" s="47"/>
      <c r="AK67" s="36"/>
      <c r="AL67" s="49"/>
      <c r="AM67" s="53"/>
      <c r="AN67" s="36"/>
      <c r="AO67" s="52"/>
      <c r="AP67" s="47"/>
    </row>
    <row r="68" spans="1:43" ht="12.75" customHeight="1" x14ac:dyDescent="0.3">
      <c r="A68" s="7" t="s">
        <v>23</v>
      </c>
      <c r="B68" s="213" t="s">
        <v>76</v>
      </c>
      <c r="C68" s="6" t="s">
        <v>8</v>
      </c>
      <c r="D68" s="34"/>
      <c r="E68" s="33">
        <v>260985.34999999989</v>
      </c>
      <c r="F68" s="123">
        <v>4.209441129032256</v>
      </c>
      <c r="G68" s="7"/>
      <c r="H68" s="35">
        <v>62000</v>
      </c>
      <c r="I68" s="35">
        <v>47692.307692307695</v>
      </c>
      <c r="J68" s="35">
        <v>51681.080000000409</v>
      </c>
      <c r="K68" s="70">
        <v>1.0836355483871052</v>
      </c>
      <c r="L68" s="36"/>
      <c r="M68" s="35">
        <v>12524</v>
      </c>
      <c r="N68" s="35">
        <v>9633.8461538461543</v>
      </c>
      <c r="O68" s="37">
        <v>81.84</v>
      </c>
      <c r="P68" s="35">
        <v>11020.229999999974</v>
      </c>
      <c r="Q68" s="115">
        <v>1.1439076173746379</v>
      </c>
      <c r="R68" s="36"/>
      <c r="S68" s="127">
        <v>0.20200000000000001</v>
      </c>
      <c r="T68" s="127">
        <v>0.21323528842663286</v>
      </c>
      <c r="U68" s="36"/>
      <c r="V68" s="35"/>
      <c r="W68" s="38">
        <v>9.3474826764463259</v>
      </c>
      <c r="X68" s="69" t="s">
        <v>69</v>
      </c>
      <c r="Y68" s="36"/>
      <c r="Z68" s="62"/>
      <c r="AA68" s="33">
        <v>2384.6153846153848</v>
      </c>
      <c r="AB68" s="33">
        <v>3022.9700000000003</v>
      </c>
      <c r="AC68" s="36"/>
      <c r="AD68" s="35">
        <v>481.69230769230768</v>
      </c>
      <c r="AE68" s="35">
        <v>473.46000000000009</v>
      </c>
      <c r="AF68" s="115">
        <v>0.98290961354199957</v>
      </c>
      <c r="AG68" s="36"/>
      <c r="AH68" s="35">
        <v>551.0114999999987</v>
      </c>
      <c r="AI68" s="35">
        <v>14326.298999999966</v>
      </c>
      <c r="AJ68" s="115">
        <v>1.1439076173746381</v>
      </c>
      <c r="AK68" s="36"/>
      <c r="AL68" s="108">
        <v>0.20200000000000001</v>
      </c>
      <c r="AM68" s="108">
        <v>0.15662080669010942</v>
      </c>
      <c r="AN68" s="36"/>
      <c r="AO68" s="38">
        <v>5.4797103510785776</v>
      </c>
      <c r="AP68" s="70">
        <v>0</v>
      </c>
    </row>
    <row r="69" spans="1:43" ht="12.75" customHeight="1" x14ac:dyDescent="0.3">
      <c r="A69" s="7" t="s">
        <v>23</v>
      </c>
      <c r="B69" s="211"/>
      <c r="C69" s="6" t="s">
        <v>9</v>
      </c>
      <c r="D69" s="34"/>
      <c r="E69" s="33">
        <v>292955.74999999977</v>
      </c>
      <c r="F69" s="123">
        <v>2.0203844827586193</v>
      </c>
      <c r="G69" s="7"/>
      <c r="H69" s="35">
        <v>145000</v>
      </c>
      <c r="I69" s="35">
        <v>112258.06451612903</v>
      </c>
      <c r="J69" s="35">
        <v>99097.620000002891</v>
      </c>
      <c r="K69" s="70">
        <v>0.88276615517243961</v>
      </c>
      <c r="L69" s="36"/>
      <c r="M69" s="35">
        <v>35179.978006339457</v>
      </c>
      <c r="N69" s="35">
        <v>27236.112004907969</v>
      </c>
      <c r="O69" s="37">
        <v>163.68</v>
      </c>
      <c r="P69" s="35">
        <v>21139.749999999887</v>
      </c>
      <c r="Q69" s="115">
        <v>0.77616621624226279</v>
      </c>
      <c r="R69" s="36"/>
      <c r="S69" s="127">
        <v>0.24262053797475489</v>
      </c>
      <c r="T69" s="127">
        <v>0.21332247938950774</v>
      </c>
      <c r="U69" s="36"/>
      <c r="V69" s="35"/>
      <c r="W69" s="38">
        <v>9.289688289186957</v>
      </c>
      <c r="X69" s="69" t="s">
        <v>69</v>
      </c>
      <c r="Y69" s="36"/>
      <c r="Z69" s="62"/>
      <c r="AA69" s="33">
        <v>4677.4193548387093</v>
      </c>
      <c r="AB69" s="33">
        <v>3128.6899999999973</v>
      </c>
      <c r="AC69" s="36"/>
      <c r="AD69" s="35">
        <v>1134.8380002044987</v>
      </c>
      <c r="AE69" s="35">
        <v>607.01999999999953</v>
      </c>
      <c r="AF69" s="115">
        <v>0.53489572951435715</v>
      </c>
      <c r="AG69" s="36"/>
      <c r="AH69" s="35">
        <v>880.82291666666197</v>
      </c>
      <c r="AI69" s="35">
        <v>27305.510416666522</v>
      </c>
      <c r="AJ69" s="115">
        <v>0.7761662162422629</v>
      </c>
      <c r="AK69" s="36"/>
      <c r="AL69" s="108">
        <v>0.24262053797475489</v>
      </c>
      <c r="AM69" s="108">
        <v>0.19401730436700346</v>
      </c>
      <c r="AN69" s="36"/>
      <c r="AO69" s="38">
        <v>7.6066980109886089</v>
      </c>
      <c r="AP69" s="70">
        <v>0</v>
      </c>
    </row>
    <row r="70" spans="1:43" ht="12.75" customHeight="1" x14ac:dyDescent="0.3">
      <c r="A70" s="7" t="s">
        <v>23</v>
      </c>
      <c r="B70" s="211"/>
      <c r="C70" s="6" t="s">
        <v>10</v>
      </c>
      <c r="D70" s="34"/>
      <c r="E70" s="33">
        <v>499106.22000000009</v>
      </c>
      <c r="F70" s="123">
        <v>2.6268748421052637</v>
      </c>
      <c r="G70" s="7"/>
      <c r="H70" s="35">
        <v>190000</v>
      </c>
      <c r="I70" s="35">
        <v>147096.77419354839</v>
      </c>
      <c r="J70" s="35">
        <v>149795.95000000286</v>
      </c>
      <c r="K70" s="70">
        <v>1.0183496600877386</v>
      </c>
      <c r="L70" s="36"/>
      <c r="M70" s="35">
        <v>45410</v>
      </c>
      <c r="N70" s="35">
        <v>35156.129032258061</v>
      </c>
      <c r="O70" s="37">
        <v>2619.25</v>
      </c>
      <c r="P70" s="35">
        <v>33734.829999999973</v>
      </c>
      <c r="Q70" s="115">
        <v>0.95957179953020555</v>
      </c>
      <c r="R70" s="36"/>
      <c r="S70" s="127">
        <v>0.23899999999999999</v>
      </c>
      <c r="T70" s="127">
        <v>0.22520522083540528</v>
      </c>
      <c r="U70" s="36"/>
      <c r="V70" s="35"/>
      <c r="W70" s="38">
        <v>8.9089591541042932</v>
      </c>
      <c r="X70" s="69" t="s">
        <v>69</v>
      </c>
      <c r="Y70" s="36"/>
      <c r="Z70" s="62"/>
      <c r="AA70" s="33">
        <v>6129.0322580645161</v>
      </c>
      <c r="AB70" s="33">
        <v>5250.8399999999901</v>
      </c>
      <c r="AC70" s="36"/>
      <c r="AD70" s="35">
        <v>1464.8387096774193</v>
      </c>
      <c r="AE70" s="35">
        <v>1015.2399999999997</v>
      </c>
      <c r="AF70" s="115">
        <v>0.69307289143360473</v>
      </c>
      <c r="AG70" s="36"/>
      <c r="AH70" s="35">
        <v>1405.6179166666655</v>
      </c>
      <c r="AI70" s="35">
        <v>43574.155416666632</v>
      </c>
      <c r="AJ70" s="115">
        <v>0.95957179953020555</v>
      </c>
      <c r="AK70" s="36"/>
      <c r="AL70" s="108">
        <v>0.23899999999999999</v>
      </c>
      <c r="AM70" s="108">
        <v>0.19334811192114054</v>
      </c>
      <c r="AN70" s="36"/>
      <c r="AO70" s="38">
        <v>7.7115280602720686</v>
      </c>
      <c r="AP70" s="70">
        <v>0</v>
      </c>
    </row>
    <row r="71" spans="1:43" ht="12.75" customHeight="1" x14ac:dyDescent="0.3">
      <c r="A71" s="7" t="s">
        <v>23</v>
      </c>
      <c r="B71" s="211"/>
      <c r="C71" s="6" t="s">
        <v>12</v>
      </c>
      <c r="D71" s="34"/>
      <c r="E71" s="33">
        <v>21231.750000000007</v>
      </c>
      <c r="F71" s="123">
        <v>5.3079375000000022</v>
      </c>
      <c r="G71" s="7"/>
      <c r="H71" s="35">
        <v>4000</v>
      </c>
      <c r="I71" s="35">
        <v>3076.9230769230767</v>
      </c>
      <c r="J71" s="35">
        <v>2024.1800000000023</v>
      </c>
      <c r="K71" s="70">
        <v>0.65785850000000079</v>
      </c>
      <c r="L71" s="36"/>
      <c r="M71" s="35">
        <v>960</v>
      </c>
      <c r="N71" s="35">
        <v>738.46153846153834</v>
      </c>
      <c r="O71" s="37">
        <v>366.45</v>
      </c>
      <c r="P71" s="35">
        <v>858.44000000000028</v>
      </c>
      <c r="Q71" s="115">
        <v>1.162470833333334</v>
      </c>
      <c r="R71" s="36"/>
      <c r="S71" s="127">
        <v>0.24</v>
      </c>
      <c r="T71" s="127">
        <v>0.42409271902696366</v>
      </c>
      <c r="U71" s="36"/>
      <c r="V71" s="35"/>
      <c r="W71" s="38">
        <v>11.928781037259666</v>
      </c>
      <c r="X71" s="69" t="s">
        <v>69</v>
      </c>
      <c r="Y71" s="36"/>
      <c r="Z71" s="62"/>
      <c r="AA71" s="33">
        <v>153.84615384615384</v>
      </c>
      <c r="AB71" s="33">
        <v>101.03999999999999</v>
      </c>
      <c r="AC71" s="36"/>
      <c r="AD71" s="35">
        <v>36.92307692307692</v>
      </c>
      <c r="AE71" s="35">
        <v>31.500000000000004</v>
      </c>
      <c r="AF71" s="115">
        <v>0.85312500000000013</v>
      </c>
      <c r="AG71" s="36"/>
      <c r="AH71" s="35">
        <v>42.922000000000011</v>
      </c>
      <c r="AI71" s="35">
        <v>1115.9720000000002</v>
      </c>
      <c r="AJ71" s="115">
        <v>1.1624708333333336</v>
      </c>
      <c r="AK71" s="36"/>
      <c r="AL71" s="108">
        <v>0.24</v>
      </c>
      <c r="AM71" s="108">
        <v>0.31175771971496441</v>
      </c>
      <c r="AN71" s="36"/>
      <c r="AO71" s="38">
        <v>16.013460015835321</v>
      </c>
      <c r="AP71" s="70">
        <v>0</v>
      </c>
    </row>
    <row r="72" spans="1:43" s="15" customFormat="1" ht="14.25" customHeight="1" x14ac:dyDescent="0.3">
      <c r="A72" s="26"/>
      <c r="B72" s="211"/>
      <c r="C72" s="9" t="s">
        <v>79</v>
      </c>
      <c r="D72" s="28"/>
      <c r="E72" s="27">
        <v>1074279.0699999998</v>
      </c>
      <c r="F72" s="124">
        <v>2.6790001745635905</v>
      </c>
      <c r="G72" s="26"/>
      <c r="H72" s="29">
        <v>401000</v>
      </c>
      <c r="I72" s="29">
        <v>310124.06947890815</v>
      </c>
      <c r="J72" s="29">
        <v>302598.83000000619</v>
      </c>
      <c r="K72" s="31">
        <v>0.97573474547929673</v>
      </c>
      <c r="L72" s="39"/>
      <c r="M72" s="29">
        <v>94073.978006339457</v>
      </c>
      <c r="N72" s="29">
        <v>72764.548729473725</v>
      </c>
      <c r="O72" s="27">
        <v>3231.22</v>
      </c>
      <c r="P72" s="29">
        <v>66753.24999999984</v>
      </c>
      <c r="Q72" s="31">
        <v>0.91738698535982299</v>
      </c>
      <c r="R72" s="39"/>
      <c r="S72" s="128">
        <v>0.23459844889361461</v>
      </c>
      <c r="T72" s="128">
        <v>0.22059982849239199</v>
      </c>
      <c r="U72" s="39"/>
      <c r="V72" s="29"/>
      <c r="W72" s="32">
        <v>9.1287398566629783</v>
      </c>
      <c r="X72" s="30" t="s">
        <v>69</v>
      </c>
      <c r="Y72" s="39"/>
      <c r="Z72" s="62"/>
      <c r="AA72" s="27">
        <v>13344.913151364764</v>
      </c>
      <c r="AB72" s="27">
        <v>11503.53999999999</v>
      </c>
      <c r="AC72" s="39"/>
      <c r="AD72" s="29">
        <v>3118.292094497303</v>
      </c>
      <c r="AE72" s="29">
        <v>2127.2199999999993</v>
      </c>
      <c r="AF72" s="31">
        <v>0.6821747083135028</v>
      </c>
      <c r="AG72" s="39"/>
      <c r="AH72" s="29">
        <v>2880.3743333333264</v>
      </c>
      <c r="AI72" s="29">
        <v>86321.936833333122</v>
      </c>
      <c r="AJ72" s="31">
        <v>0.91759632857787787</v>
      </c>
      <c r="AK72" s="39"/>
      <c r="AL72" s="80">
        <v>0.23459844889361461</v>
      </c>
      <c r="AM72" s="80">
        <v>0.18491872936504775</v>
      </c>
      <c r="AN72" s="39"/>
      <c r="AO72" s="32">
        <v>0</v>
      </c>
      <c r="AP72" s="31">
        <v>0</v>
      </c>
      <c r="AQ72" s="10"/>
    </row>
    <row r="73" spans="1:43" ht="7.75" customHeight="1" x14ac:dyDescent="0.3">
      <c r="B73" s="16"/>
      <c r="D73" s="34"/>
      <c r="E73" s="47"/>
      <c r="F73" s="125"/>
      <c r="G73" s="34"/>
      <c r="H73" s="48"/>
      <c r="I73" s="48"/>
      <c r="J73" s="48"/>
      <c r="K73" s="51"/>
      <c r="L73" s="34"/>
      <c r="M73" s="48"/>
      <c r="N73" s="48"/>
      <c r="O73" s="51"/>
      <c r="P73" s="48"/>
      <c r="Q73" s="47"/>
      <c r="R73" s="34"/>
      <c r="S73" s="51"/>
      <c r="T73" s="51"/>
      <c r="U73" s="34"/>
      <c r="V73" s="48"/>
      <c r="W73" s="52"/>
      <c r="X73" s="48"/>
      <c r="Y73" s="34"/>
      <c r="Z73" s="62"/>
      <c r="AA73" s="47"/>
      <c r="AB73" s="47"/>
      <c r="AC73" s="36"/>
      <c r="AD73" s="48"/>
      <c r="AE73" s="48"/>
      <c r="AF73" s="47"/>
      <c r="AG73" s="36"/>
      <c r="AH73" s="48"/>
      <c r="AI73" s="48"/>
      <c r="AJ73" s="47"/>
      <c r="AK73" s="36"/>
      <c r="AL73" s="49"/>
      <c r="AM73" s="53"/>
      <c r="AN73" s="36"/>
      <c r="AO73" s="52"/>
      <c r="AP73" s="47"/>
    </row>
    <row r="74" spans="1:43" ht="12.75" customHeight="1" x14ac:dyDescent="0.3">
      <c r="A74" s="7" t="s">
        <v>68</v>
      </c>
      <c r="B74" s="211" t="s">
        <v>70</v>
      </c>
      <c r="C74" s="6" t="s">
        <v>8</v>
      </c>
      <c r="D74" s="34"/>
      <c r="E74" s="33">
        <v>32200.550000000021</v>
      </c>
      <c r="F74" s="123">
        <v>0.47353750000000033</v>
      </c>
      <c r="G74" s="7"/>
      <c r="H74" s="35">
        <v>68000</v>
      </c>
      <c r="I74" s="35">
        <v>52307.692307692305</v>
      </c>
      <c r="J74" s="35">
        <v>45886.5800000003</v>
      </c>
      <c r="K74" s="70">
        <v>0.87724344117647635</v>
      </c>
      <c r="L74" s="36"/>
      <c r="M74" s="35">
        <v>11900</v>
      </c>
      <c r="N74" s="35">
        <v>9153.8461538461543</v>
      </c>
      <c r="O74" s="37">
        <v>342.96</v>
      </c>
      <c r="P74" s="35">
        <v>6661.4400000000032</v>
      </c>
      <c r="Q74" s="115">
        <v>0.72772033613445408</v>
      </c>
      <c r="R74" s="36"/>
      <c r="S74" s="127">
        <v>0.17499999999999999</v>
      </c>
      <c r="T74" s="127">
        <v>0.14517185634666954</v>
      </c>
      <c r="U74" s="36"/>
      <c r="V74" s="35"/>
      <c r="W74" s="38">
        <v>2.8794039564515197</v>
      </c>
      <c r="X74" s="69" t="s">
        <v>69</v>
      </c>
      <c r="Y74" s="36"/>
      <c r="Z74" s="62"/>
      <c r="AA74" s="33">
        <v>2615.3846153846152</v>
      </c>
      <c r="AB74" s="33">
        <v>924.84000000000037</v>
      </c>
      <c r="AC74" s="36"/>
      <c r="AD74" s="35">
        <v>457.69230769230768</v>
      </c>
      <c r="AE74" s="35">
        <v>189.43000000000004</v>
      </c>
      <c r="AF74" s="115">
        <v>0.41388067226890768</v>
      </c>
      <c r="AG74" s="36"/>
      <c r="AH74" s="35">
        <v>333.07200000000017</v>
      </c>
      <c r="AI74" s="35">
        <v>8659.8720000000048</v>
      </c>
      <c r="AJ74" s="115">
        <v>0.72772033613445419</v>
      </c>
      <c r="AK74" s="36"/>
      <c r="AL74" s="108">
        <v>0.17499999999999999</v>
      </c>
      <c r="AM74" s="108">
        <v>0.20482461831235668</v>
      </c>
      <c r="AN74" s="36"/>
      <c r="AO74" s="38">
        <v>9.1691535833225615</v>
      </c>
      <c r="AP74" s="70">
        <v>0</v>
      </c>
    </row>
    <row r="75" spans="1:43" ht="12.5" customHeight="1" x14ac:dyDescent="0.3">
      <c r="A75" s="7" t="s">
        <v>68</v>
      </c>
      <c r="B75" s="211"/>
      <c r="C75" s="6" t="s">
        <v>9</v>
      </c>
      <c r="D75" s="34"/>
      <c r="E75" s="33">
        <v>84578.729999999938</v>
      </c>
      <c r="F75" s="123">
        <v>0.5528021568627447</v>
      </c>
      <c r="G75" s="7"/>
      <c r="H75" s="35">
        <v>153000</v>
      </c>
      <c r="I75" s="35">
        <v>118451.61290322579</v>
      </c>
      <c r="J75" s="35">
        <v>119655.87000000602</v>
      </c>
      <c r="K75" s="70">
        <v>1.010166658496783</v>
      </c>
      <c r="L75" s="36"/>
      <c r="M75" s="35">
        <v>30083.290842020251</v>
      </c>
      <c r="N75" s="35">
        <v>23290.289684144711</v>
      </c>
      <c r="O75" s="37">
        <v>936.24</v>
      </c>
      <c r="P75" s="35">
        <v>23022.97000000019</v>
      </c>
      <c r="Q75" s="115">
        <v>0.98852226881804295</v>
      </c>
      <c r="R75" s="36"/>
      <c r="S75" s="127">
        <v>0.19662281596091669</v>
      </c>
      <c r="T75" s="127">
        <v>0.1924098667286363</v>
      </c>
      <c r="U75" s="36"/>
      <c r="V75" s="35"/>
      <c r="W75" s="38">
        <v>7.9305177422602693</v>
      </c>
      <c r="X75" s="69" t="s">
        <v>69</v>
      </c>
      <c r="Y75" s="36"/>
      <c r="Z75" s="62"/>
      <c r="AA75" s="33">
        <v>4935.4838709677415</v>
      </c>
      <c r="AB75" s="33">
        <v>3905.9499999999925</v>
      </c>
      <c r="AC75" s="36"/>
      <c r="AD75" s="35">
        <v>970.42873683936295</v>
      </c>
      <c r="AE75" s="35">
        <v>724.40000000000043</v>
      </c>
      <c r="AF75" s="115">
        <v>0.74647418455407077</v>
      </c>
      <c r="AG75" s="36"/>
      <c r="AH75" s="35">
        <v>959.29041666667456</v>
      </c>
      <c r="AI75" s="35">
        <v>29738.002916666912</v>
      </c>
      <c r="AJ75" s="115">
        <v>0.98852226881804295</v>
      </c>
      <c r="AK75" s="36"/>
      <c r="AL75" s="108">
        <v>0.19662281596091669</v>
      </c>
      <c r="AM75" s="108">
        <v>0.18546064337741186</v>
      </c>
      <c r="AN75" s="36"/>
      <c r="AO75" s="38">
        <v>7.6206812683211851</v>
      </c>
      <c r="AP75" s="70">
        <v>0</v>
      </c>
    </row>
    <row r="76" spans="1:43" ht="12.75" customHeight="1" x14ac:dyDescent="0.3">
      <c r="A76" s="7" t="s">
        <v>68</v>
      </c>
      <c r="B76" s="211"/>
      <c r="C76" s="6" t="s">
        <v>10</v>
      </c>
      <c r="D76" s="34"/>
      <c r="E76" s="33">
        <v>118929.50000000003</v>
      </c>
      <c r="F76" s="123">
        <v>0.52162061403508786</v>
      </c>
      <c r="G76" s="7"/>
      <c r="H76" s="35">
        <v>228000</v>
      </c>
      <c r="I76" s="35">
        <v>176516.12903225806</v>
      </c>
      <c r="J76" s="35">
        <v>200627.77999999764</v>
      </c>
      <c r="K76" s="70">
        <v>1.1365974378654837</v>
      </c>
      <c r="L76" s="36"/>
      <c r="M76" s="35">
        <v>39900</v>
      </c>
      <c r="N76" s="35">
        <v>30890.322580645159</v>
      </c>
      <c r="O76" s="37">
        <v>1534.41</v>
      </c>
      <c r="P76" s="35">
        <v>29287.56000000034</v>
      </c>
      <c r="Q76" s="115">
        <v>0.94811441102757998</v>
      </c>
      <c r="R76" s="36"/>
      <c r="S76" s="127">
        <v>0.17499999999999999</v>
      </c>
      <c r="T76" s="127">
        <v>0.14597958468164621</v>
      </c>
      <c r="U76" s="36"/>
      <c r="V76" s="35"/>
      <c r="W76" s="38">
        <v>3.6332904645596362</v>
      </c>
      <c r="X76" s="69" t="s">
        <v>69</v>
      </c>
      <c r="Y76" s="36"/>
      <c r="Z76" s="62"/>
      <c r="AA76" s="33">
        <v>7354.8387096774195</v>
      </c>
      <c r="AB76" s="33">
        <v>5304.059999999984</v>
      </c>
      <c r="AC76" s="36"/>
      <c r="AD76" s="35">
        <v>1287.0967741935483</v>
      </c>
      <c r="AE76" s="35">
        <v>1106.0899999999999</v>
      </c>
      <c r="AF76" s="115">
        <v>0.85936817042606517</v>
      </c>
      <c r="AG76" s="36"/>
      <c r="AH76" s="35">
        <v>1220.3150000000142</v>
      </c>
      <c r="AI76" s="35">
        <v>37829.765000000436</v>
      </c>
      <c r="AJ76" s="115">
        <v>0.94811441102757987</v>
      </c>
      <c r="AK76" s="36"/>
      <c r="AL76" s="108">
        <v>0.17499999999999999</v>
      </c>
      <c r="AM76" s="108">
        <v>0.20853647960241839</v>
      </c>
      <c r="AN76" s="36"/>
      <c r="AO76" s="38">
        <v>10.432762826966281</v>
      </c>
      <c r="AP76" s="70">
        <v>0</v>
      </c>
    </row>
    <row r="77" spans="1:43" ht="12.75" customHeight="1" x14ac:dyDescent="0.3">
      <c r="A77" s="7" t="s">
        <v>68</v>
      </c>
      <c r="B77" s="211"/>
      <c r="C77" s="6" t="s">
        <v>12</v>
      </c>
      <c r="D77" s="34"/>
      <c r="E77" s="33">
        <v>1864.4299999999998</v>
      </c>
      <c r="F77" s="123">
        <v>0.46610749999999995</v>
      </c>
      <c r="G77" s="7"/>
      <c r="H77" s="35">
        <v>4000</v>
      </c>
      <c r="I77" s="35">
        <v>3076.9230769230767</v>
      </c>
      <c r="J77" s="35">
        <v>4774.6099999999733</v>
      </c>
      <c r="K77" s="70">
        <v>1.5517482499999915</v>
      </c>
      <c r="L77" s="36"/>
      <c r="M77" s="35">
        <v>630.99967958987622</v>
      </c>
      <c r="N77" s="35">
        <v>485.38436891528937</v>
      </c>
      <c r="O77" s="37">
        <v>0</v>
      </c>
      <c r="P77" s="35">
        <v>757.25000000000023</v>
      </c>
      <c r="Q77" s="115">
        <v>1.5601038032853456</v>
      </c>
      <c r="R77" s="36"/>
      <c r="S77" s="127">
        <v>0.15774991989746906</v>
      </c>
      <c r="T77" s="127">
        <v>0.15859934109801732</v>
      </c>
      <c r="U77" s="36"/>
      <c r="V77" s="35"/>
      <c r="W77" s="38">
        <v>4.6167121503111757</v>
      </c>
      <c r="X77" s="69" t="s">
        <v>69</v>
      </c>
      <c r="Y77" s="36"/>
      <c r="Z77" s="62"/>
      <c r="AA77" s="33">
        <v>153.84615384615384</v>
      </c>
      <c r="AB77" s="33">
        <v>113.75999999999999</v>
      </c>
      <c r="AC77" s="36"/>
      <c r="AD77" s="35">
        <v>24.269218445764469</v>
      </c>
      <c r="AE77" s="35">
        <v>26.63</v>
      </c>
      <c r="AF77" s="115">
        <v>1.0972747251631227</v>
      </c>
      <c r="AG77" s="36"/>
      <c r="AH77" s="35">
        <v>37.862500000000011</v>
      </c>
      <c r="AI77" s="35">
        <v>984.4250000000003</v>
      </c>
      <c r="AJ77" s="115">
        <v>1.5601038032853456</v>
      </c>
      <c r="AK77" s="36"/>
      <c r="AL77" s="108">
        <v>0.15774991989746906</v>
      </c>
      <c r="AM77" s="108">
        <v>0.23408931082981718</v>
      </c>
      <c r="AN77" s="36"/>
      <c r="AO77" s="38">
        <v>13.853727144866379</v>
      </c>
      <c r="AP77" s="70">
        <v>0</v>
      </c>
    </row>
    <row r="78" spans="1:43" s="15" customFormat="1" ht="14.25" customHeight="1" x14ac:dyDescent="0.3">
      <c r="A78" s="26"/>
      <c r="B78" s="211"/>
      <c r="C78" s="9" t="s">
        <v>80</v>
      </c>
      <c r="D78" s="28"/>
      <c r="E78" s="27">
        <v>237573.20999999996</v>
      </c>
      <c r="F78" s="124">
        <v>0.52444417218543038</v>
      </c>
      <c r="G78" s="26"/>
      <c r="H78" s="29">
        <v>453000</v>
      </c>
      <c r="I78" s="29">
        <v>350352.3573200992</v>
      </c>
      <c r="J78" s="29">
        <v>370944.84000000393</v>
      </c>
      <c r="K78" s="31">
        <v>1.0587764924358434</v>
      </c>
      <c r="L78" s="39"/>
      <c r="M78" s="29">
        <v>82514.290521610121</v>
      </c>
      <c r="N78" s="29">
        <v>63819.842787551315</v>
      </c>
      <c r="O78" s="27">
        <v>2813.61</v>
      </c>
      <c r="P78" s="29">
        <v>59729.220000000532</v>
      </c>
      <c r="Q78" s="31">
        <v>0.93590359034308523</v>
      </c>
      <c r="R78" s="39"/>
      <c r="S78" s="128">
        <v>0.18215075170333361</v>
      </c>
      <c r="T78" s="128">
        <v>0.16101914236089629</v>
      </c>
      <c r="U78" s="39"/>
      <c r="V78" s="29"/>
      <c r="W78" s="32">
        <v>4.9388502074874632</v>
      </c>
      <c r="X78" s="30" t="s">
        <v>69</v>
      </c>
      <c r="Y78" s="39"/>
      <c r="Z78" s="62"/>
      <c r="AA78" s="27">
        <v>15059.553349875931</v>
      </c>
      <c r="AB78" s="27">
        <v>10248.609999999977</v>
      </c>
      <c r="AC78" s="39"/>
      <c r="AD78" s="29">
        <v>2739.4870371709835</v>
      </c>
      <c r="AE78" s="29">
        <v>2046.5500000000006</v>
      </c>
      <c r="AF78" s="31">
        <v>0.74705591675784466</v>
      </c>
      <c r="AG78" s="39"/>
      <c r="AH78" s="29">
        <v>2550.5399166666894</v>
      </c>
      <c r="AI78" s="29">
        <v>77212.064916667354</v>
      </c>
      <c r="AJ78" s="31">
        <v>0.93574172944559053</v>
      </c>
      <c r="AK78" s="39"/>
      <c r="AL78" s="80">
        <v>0.18215075170333361</v>
      </c>
      <c r="AM78" s="80">
        <v>0.19969049461341637</v>
      </c>
      <c r="AN78" s="39"/>
      <c r="AO78" s="32">
        <v>0</v>
      </c>
      <c r="AP78" s="31">
        <v>0</v>
      </c>
      <c r="AQ78" s="10"/>
    </row>
    <row r="79" spans="1:43" ht="8" customHeight="1" x14ac:dyDescent="0.3">
      <c r="B79" s="16"/>
      <c r="D79" s="34"/>
      <c r="E79" s="47"/>
      <c r="F79" s="125"/>
      <c r="G79" s="34"/>
      <c r="H79" s="48"/>
      <c r="I79" s="48"/>
      <c r="J79" s="48"/>
      <c r="K79" s="51"/>
      <c r="L79" s="34"/>
      <c r="M79" s="48"/>
      <c r="N79" s="48"/>
      <c r="O79" s="51"/>
      <c r="P79" s="48"/>
      <c r="Q79" s="47"/>
      <c r="R79" s="34"/>
      <c r="S79" s="51"/>
      <c r="T79" s="51"/>
      <c r="U79" s="34"/>
      <c r="V79" s="48"/>
      <c r="W79" s="52"/>
      <c r="X79" s="48"/>
      <c r="Y79" s="34"/>
      <c r="Z79" s="62"/>
      <c r="AA79" s="47"/>
      <c r="AB79" s="47"/>
      <c r="AC79" s="36"/>
      <c r="AD79" s="48"/>
      <c r="AE79" s="48"/>
      <c r="AF79" s="47"/>
      <c r="AG79" s="36"/>
      <c r="AH79" s="48"/>
      <c r="AI79" s="48"/>
      <c r="AJ79" s="47"/>
      <c r="AK79" s="36"/>
      <c r="AL79" s="49"/>
      <c r="AM79" s="53"/>
      <c r="AN79" s="36"/>
      <c r="AO79" s="52"/>
      <c r="AP79" s="47"/>
    </row>
    <row r="80" spans="1:43" ht="12.75" customHeight="1" x14ac:dyDescent="0.3">
      <c r="A80" s="7" t="s">
        <v>29</v>
      </c>
      <c r="B80" s="211" t="s">
        <v>66</v>
      </c>
      <c r="C80" s="6" t="s">
        <v>8</v>
      </c>
      <c r="D80" s="34"/>
      <c r="E80" s="33">
        <v>606842.31000000017</v>
      </c>
      <c r="F80" s="123">
        <v>2.6384448260869573</v>
      </c>
      <c r="G80" s="7"/>
      <c r="H80" s="35">
        <v>230000</v>
      </c>
      <c r="I80" s="130">
        <v>176923.07692307691</v>
      </c>
      <c r="J80" s="35">
        <v>198171.50999999698</v>
      </c>
      <c r="K80" s="70">
        <v>1.1200998391304178</v>
      </c>
      <c r="L80" s="36"/>
      <c r="M80" s="35">
        <v>25300</v>
      </c>
      <c r="N80" s="35">
        <v>19461.538461538461</v>
      </c>
      <c r="O80" s="37">
        <v>12646.619999999999</v>
      </c>
      <c r="P80" s="130">
        <v>24444.860000000048</v>
      </c>
      <c r="Q80" s="70">
        <v>1.2560600000000024</v>
      </c>
      <c r="R80" s="36"/>
      <c r="S80" s="127">
        <v>0.11</v>
      </c>
      <c r="T80" s="127">
        <v>0.12335203985679082</v>
      </c>
      <c r="U80" s="36"/>
      <c r="V80" s="35"/>
      <c r="W80" s="38">
        <v>-3.3356611149621305</v>
      </c>
      <c r="X80" s="69" t="s">
        <v>69</v>
      </c>
      <c r="Y80" s="36"/>
      <c r="Z80" s="62"/>
      <c r="AA80" s="33">
        <v>8846.1538461538457</v>
      </c>
      <c r="AB80" s="33">
        <v>13270.429999999973</v>
      </c>
      <c r="AC80" s="36"/>
      <c r="AD80" s="35">
        <v>973.07692307692309</v>
      </c>
      <c r="AE80" s="35">
        <v>499.86999999999949</v>
      </c>
      <c r="AF80" s="115">
        <v>0.51370039525691646</v>
      </c>
      <c r="AG80" s="36"/>
      <c r="AH80" s="35">
        <v>1222.2430000000024</v>
      </c>
      <c r="AI80" s="35">
        <v>31778.318000000065</v>
      </c>
      <c r="AJ80" s="115">
        <v>1.2560600000000026</v>
      </c>
      <c r="AK80" s="36"/>
      <c r="AL80" s="108">
        <v>0.11</v>
      </c>
      <c r="AM80" s="108">
        <v>3.766795800889651E-2</v>
      </c>
      <c r="AN80" s="36"/>
      <c r="AO80" s="38">
        <v>-5.5477478875969473</v>
      </c>
      <c r="AP80" s="70">
        <v>0</v>
      </c>
    </row>
    <row r="81" spans="1:43" ht="12.75" customHeight="1" x14ac:dyDescent="0.3">
      <c r="A81" s="7" t="s">
        <v>29</v>
      </c>
      <c r="B81" s="211"/>
      <c r="C81" s="6" t="s">
        <v>9</v>
      </c>
      <c r="D81" s="34"/>
      <c r="E81" s="33">
        <v>489003.3000000001</v>
      </c>
      <c r="F81" s="123">
        <v>1.4382450000000002</v>
      </c>
      <c r="G81" s="7"/>
      <c r="H81" s="35">
        <v>340000</v>
      </c>
      <c r="I81" s="130">
        <v>263225.80645161291</v>
      </c>
      <c r="J81" s="35">
        <v>255204.24999998033</v>
      </c>
      <c r="K81" s="70">
        <v>0.9695259497548272</v>
      </c>
      <c r="L81" s="36"/>
      <c r="M81" s="35">
        <v>50660</v>
      </c>
      <c r="N81" s="35">
        <v>39220.645161290326</v>
      </c>
      <c r="O81" s="37">
        <v>4499</v>
      </c>
      <c r="P81" s="130">
        <v>34302.12000000065</v>
      </c>
      <c r="Q81" s="70">
        <v>0.8745934662455751</v>
      </c>
      <c r="R81" s="36"/>
      <c r="S81" s="127">
        <v>0.14899999999999999</v>
      </c>
      <c r="T81" s="127">
        <v>0.13441045750610853</v>
      </c>
      <c r="U81" s="36"/>
      <c r="V81" s="35"/>
      <c r="W81" s="38">
        <v>1.7607974788751437</v>
      </c>
      <c r="X81" s="69" t="s">
        <v>69</v>
      </c>
      <c r="Y81" s="36"/>
      <c r="Z81" s="62"/>
      <c r="AA81" s="33">
        <v>10967.741935483871</v>
      </c>
      <c r="AB81" s="33">
        <v>8604.7199999999611</v>
      </c>
      <c r="AC81" s="36"/>
      <c r="AD81" s="35">
        <v>1634.1935483870968</v>
      </c>
      <c r="AE81" s="35">
        <v>996.93000000000063</v>
      </c>
      <c r="AF81" s="115">
        <v>0.61004401894986215</v>
      </c>
      <c r="AG81" s="36"/>
      <c r="AH81" s="35">
        <v>1429.2550000000272</v>
      </c>
      <c r="AI81" s="35">
        <v>44306.905000000843</v>
      </c>
      <c r="AJ81" s="115">
        <v>0.87459346624557521</v>
      </c>
      <c r="AK81" s="36"/>
      <c r="AL81" s="108">
        <v>0.14899999999999999</v>
      </c>
      <c r="AM81" s="108">
        <v>0.11585850556438851</v>
      </c>
      <c r="AN81" s="36"/>
      <c r="AO81" s="38">
        <v>1.6665272083225602</v>
      </c>
      <c r="AP81" s="70">
        <v>0</v>
      </c>
    </row>
    <row r="82" spans="1:43" ht="12.75" customHeight="1" x14ac:dyDescent="0.3">
      <c r="A82" s="7" t="s">
        <v>29</v>
      </c>
      <c r="B82" s="211"/>
      <c r="C82" s="6" t="s">
        <v>10</v>
      </c>
      <c r="D82" s="34"/>
      <c r="E82" s="33">
        <v>865049.60000000172</v>
      </c>
      <c r="F82" s="123">
        <v>2.0117432558139576</v>
      </c>
      <c r="G82" s="7"/>
      <c r="H82" s="35">
        <v>430000</v>
      </c>
      <c r="I82" s="130">
        <v>332903.22580645158</v>
      </c>
      <c r="J82" s="35">
        <v>317554.08999997121</v>
      </c>
      <c r="K82" s="70">
        <v>0.95389309980611514</v>
      </c>
      <c r="L82" s="36"/>
      <c r="M82" s="35">
        <v>59770.000000000007</v>
      </c>
      <c r="N82" s="35">
        <v>46273.54838709678</v>
      </c>
      <c r="O82" s="37">
        <v>5664.0999999999995</v>
      </c>
      <c r="P82" s="130">
        <v>41465.98000000044</v>
      </c>
      <c r="Q82" s="70">
        <v>0.89610547376053584</v>
      </c>
      <c r="R82" s="36"/>
      <c r="S82" s="127">
        <v>0.13900000000000001</v>
      </c>
      <c r="T82" s="127">
        <v>0.13057926603938308</v>
      </c>
      <c r="U82" s="36"/>
      <c r="V82" s="35"/>
      <c r="W82" s="38">
        <v>1.4637978682531023</v>
      </c>
      <c r="X82" s="69" t="s">
        <v>69</v>
      </c>
      <c r="Y82" s="36"/>
      <c r="Z82" s="62"/>
      <c r="AA82" s="33">
        <v>13870.967741935483</v>
      </c>
      <c r="AB82" s="33">
        <v>14055.049999999961</v>
      </c>
      <c r="AC82" s="36"/>
      <c r="AD82" s="35">
        <v>1928.0645161290324</v>
      </c>
      <c r="AE82" s="35">
        <v>1355.8999999999996</v>
      </c>
      <c r="AF82" s="115">
        <v>0.70324410239250434</v>
      </c>
      <c r="AG82" s="36"/>
      <c r="AH82" s="35">
        <v>1727.7491666666849</v>
      </c>
      <c r="AI82" s="35">
        <v>53560.224166667234</v>
      </c>
      <c r="AJ82" s="115">
        <v>0.89610547376053584</v>
      </c>
      <c r="AK82" s="36"/>
      <c r="AL82" s="108">
        <v>0.13900000000000001</v>
      </c>
      <c r="AM82" s="108">
        <v>9.6470663569322296E-2</v>
      </c>
      <c r="AN82" s="36"/>
      <c r="AO82" s="38">
        <v>-7.0437316125052732E-2</v>
      </c>
      <c r="AP82" s="70">
        <v>0</v>
      </c>
    </row>
    <row r="83" spans="1:43" ht="12.75" customHeight="1" x14ac:dyDescent="0.3">
      <c r="A83" s="7" t="s">
        <v>29</v>
      </c>
      <c r="B83" s="211"/>
      <c r="C83" s="6" t="s">
        <v>12</v>
      </c>
      <c r="D83" s="34"/>
      <c r="E83" s="33">
        <v>17914.449999999993</v>
      </c>
      <c r="F83" s="123">
        <v>1.4928708333333327</v>
      </c>
      <c r="G83" s="7"/>
      <c r="H83" s="35">
        <v>12000</v>
      </c>
      <c r="I83" s="130">
        <v>9230.7692307692305</v>
      </c>
      <c r="J83" s="35">
        <v>3768.8199999999888</v>
      </c>
      <c r="K83" s="70">
        <v>0.40828883333333216</v>
      </c>
      <c r="L83" s="36"/>
      <c r="M83" s="35">
        <v>1872</v>
      </c>
      <c r="N83" s="35">
        <v>1440</v>
      </c>
      <c r="O83" s="37">
        <v>3608.01</v>
      </c>
      <c r="P83" s="130">
        <v>4462.17</v>
      </c>
      <c r="Q83" s="70">
        <v>3.0987291666666668</v>
      </c>
      <c r="R83" s="36"/>
      <c r="S83" s="127">
        <v>0.156</v>
      </c>
      <c r="T83" s="127">
        <v>1.1839700489808516</v>
      </c>
      <c r="U83" s="36"/>
      <c r="V83" s="35"/>
      <c r="W83" s="38">
        <v>12.912264316151726</v>
      </c>
      <c r="X83" s="69" t="s">
        <v>69</v>
      </c>
      <c r="Y83" s="36"/>
      <c r="Z83" s="62"/>
      <c r="AA83" s="33">
        <v>461.53846153846155</v>
      </c>
      <c r="AB83" s="33">
        <v>246.75</v>
      </c>
      <c r="AC83" s="36"/>
      <c r="AD83" s="35">
        <v>72</v>
      </c>
      <c r="AE83" s="35">
        <v>48.520000000000017</v>
      </c>
      <c r="AF83" s="115">
        <v>0.67388888888888909</v>
      </c>
      <c r="AG83" s="36"/>
      <c r="AH83" s="35">
        <v>223.10849999999999</v>
      </c>
      <c r="AI83" s="35">
        <v>5800.8209999999999</v>
      </c>
      <c r="AJ83" s="115">
        <v>3.0987291666666668</v>
      </c>
      <c r="AK83" s="36"/>
      <c r="AL83" s="108">
        <v>0.156</v>
      </c>
      <c r="AM83" s="108">
        <v>0.19663627152988863</v>
      </c>
      <c r="AN83" s="36"/>
      <c r="AO83" s="38">
        <v>10.869300911854111</v>
      </c>
      <c r="AP83" s="70">
        <v>0</v>
      </c>
    </row>
    <row r="84" spans="1:43" s="15" customFormat="1" ht="14.25" customHeight="1" x14ac:dyDescent="0.3">
      <c r="A84" s="26"/>
      <c r="B84" s="211"/>
      <c r="C84" s="9" t="s">
        <v>81</v>
      </c>
      <c r="D84" s="28"/>
      <c r="E84" s="27">
        <v>1978809.660000002</v>
      </c>
      <c r="F84" s="124">
        <v>1.9553455138339941</v>
      </c>
      <c r="G84" s="26"/>
      <c r="H84" s="29">
        <v>1012000</v>
      </c>
      <c r="I84" s="29">
        <v>782282.87841191073</v>
      </c>
      <c r="J84" s="29">
        <v>774698.66999994847</v>
      </c>
      <c r="K84" s="31">
        <v>0.99030503079990873</v>
      </c>
      <c r="L84" s="39"/>
      <c r="M84" s="29">
        <v>137602</v>
      </c>
      <c r="N84" s="29">
        <v>106395.73200992556</v>
      </c>
      <c r="O84" s="27">
        <v>26417.729999999996</v>
      </c>
      <c r="P84" s="29">
        <v>104675.13000000113</v>
      </c>
      <c r="Q84" s="31">
        <v>0.98382827978697562</v>
      </c>
      <c r="R84" s="39"/>
      <c r="S84" s="128">
        <v>0.13597035573122529</v>
      </c>
      <c r="T84" s="128">
        <v>0.13511721918924693</v>
      </c>
      <c r="U84" s="39"/>
      <c r="V84" s="29"/>
      <c r="W84" s="32">
        <v>0.38960825890523187</v>
      </c>
      <c r="X84" s="30" t="s">
        <v>69</v>
      </c>
      <c r="Y84" s="39"/>
      <c r="Z84" s="62"/>
      <c r="AA84" s="27">
        <v>34146.401985111661</v>
      </c>
      <c r="AB84" s="27">
        <v>36176.949999999895</v>
      </c>
      <c r="AC84" s="39"/>
      <c r="AD84" s="29">
        <v>4607.3349875930526</v>
      </c>
      <c r="AE84" s="29">
        <v>2901.22</v>
      </c>
      <c r="AF84" s="31">
        <v>0.62969591050197216</v>
      </c>
      <c r="AG84" s="39"/>
      <c r="AH84" s="29">
        <v>4602.3556666667146</v>
      </c>
      <c r="AI84" s="29">
        <v>135446.26816666813</v>
      </c>
      <c r="AJ84" s="31">
        <v>0.98433357194421689</v>
      </c>
      <c r="AK84" s="39"/>
      <c r="AL84" s="80">
        <v>0.13597035573122529</v>
      </c>
      <c r="AM84" s="80">
        <v>8.0195262453026259E-2</v>
      </c>
      <c r="AN84" s="39"/>
      <c r="AO84" s="32">
        <v>0</v>
      </c>
      <c r="AP84" s="31">
        <v>0</v>
      </c>
      <c r="AQ84" s="10"/>
    </row>
    <row r="85" spans="1:43" x14ac:dyDescent="0.3">
      <c r="B85" s="16"/>
      <c r="D85" s="34"/>
      <c r="E85" s="47"/>
      <c r="F85" s="125"/>
      <c r="G85" s="34"/>
      <c r="H85" s="48"/>
      <c r="I85" s="48"/>
      <c r="J85" s="48"/>
      <c r="K85" s="51"/>
      <c r="L85" s="34"/>
      <c r="M85" s="48"/>
      <c r="N85" s="48"/>
      <c r="O85" s="51"/>
      <c r="P85" s="48"/>
      <c r="Q85" s="47"/>
      <c r="R85" s="34"/>
      <c r="S85" s="51"/>
      <c r="T85" s="51"/>
      <c r="U85" s="34"/>
      <c r="V85" s="48"/>
      <c r="W85" s="52"/>
      <c r="X85" s="48"/>
      <c r="Y85" s="34"/>
      <c r="Z85" s="62"/>
      <c r="AA85" s="47"/>
      <c r="AB85" s="47"/>
      <c r="AC85" s="36"/>
      <c r="AD85" s="48"/>
      <c r="AE85" s="48"/>
      <c r="AF85" s="47"/>
      <c r="AG85" s="36"/>
      <c r="AH85" s="48"/>
      <c r="AI85" s="48"/>
      <c r="AJ85" s="47"/>
      <c r="AK85" s="36"/>
      <c r="AL85" s="49"/>
      <c r="AM85" s="53"/>
      <c r="AN85" s="36"/>
      <c r="AO85" s="52"/>
      <c r="AP85" s="47"/>
    </row>
    <row r="86" spans="1:43" x14ac:dyDescent="0.3">
      <c r="A86" s="64" t="s">
        <v>59</v>
      </c>
      <c r="B86" s="211" t="s">
        <v>73</v>
      </c>
      <c r="C86" s="6" t="s">
        <v>8</v>
      </c>
      <c r="D86" s="34"/>
      <c r="E86" s="33">
        <v>521685.78000000032</v>
      </c>
      <c r="F86" s="123">
        <v>2.3712990000000014</v>
      </c>
      <c r="G86" s="7"/>
      <c r="H86" s="35">
        <v>220000</v>
      </c>
      <c r="I86" s="35">
        <v>169230.76923076922</v>
      </c>
      <c r="J86" s="35">
        <v>163148.30000000037</v>
      </c>
      <c r="K86" s="70">
        <v>0.96405813636363857</v>
      </c>
      <c r="L86" s="36"/>
      <c r="M86" s="35">
        <v>28600</v>
      </c>
      <c r="N86" s="35">
        <v>22000</v>
      </c>
      <c r="O86" s="37">
        <v>812.89</v>
      </c>
      <c r="P86" s="35">
        <v>19969.334149999908</v>
      </c>
      <c r="Q86" s="115">
        <v>0.90769700681817767</v>
      </c>
      <c r="R86" s="36"/>
      <c r="S86" s="127">
        <v>0.13</v>
      </c>
      <c r="T86" s="127">
        <v>0.12239989108069077</v>
      </c>
      <c r="U86" s="36"/>
      <c r="V86" s="35"/>
      <c r="W86" s="38">
        <v>3.1328087083963951</v>
      </c>
      <c r="X86" s="69" t="s">
        <v>69</v>
      </c>
      <c r="Y86" s="36"/>
      <c r="Z86" s="62"/>
      <c r="AA86" s="33">
        <v>8461.538461538461</v>
      </c>
      <c r="AB86" s="33">
        <v>6722.9299999999812</v>
      </c>
      <c r="AC86" s="36"/>
      <c r="AD86" s="35">
        <v>1100</v>
      </c>
      <c r="AE86" s="35">
        <v>699.11999999999921</v>
      </c>
      <c r="AF86" s="115">
        <v>0.63556363636363566</v>
      </c>
      <c r="AG86" s="36"/>
      <c r="AH86" s="35">
        <v>998.46670749999544</v>
      </c>
      <c r="AI86" s="35">
        <v>25960.134394999881</v>
      </c>
      <c r="AJ86" s="115">
        <v>0.90769700681817767</v>
      </c>
      <c r="AK86" s="36"/>
      <c r="AL86" s="108">
        <v>0.13</v>
      </c>
      <c r="AM86" s="108">
        <v>0.103990373244999</v>
      </c>
      <c r="AN86" s="36"/>
      <c r="AO86" s="38">
        <v>2.5051577214098697</v>
      </c>
      <c r="AP86" s="70">
        <v>0</v>
      </c>
    </row>
    <row r="87" spans="1:43" x14ac:dyDescent="0.3">
      <c r="A87" s="64" t="s">
        <v>59</v>
      </c>
      <c r="B87" s="211"/>
      <c r="C87" s="6" t="s">
        <v>9</v>
      </c>
      <c r="D87" s="34"/>
      <c r="E87" s="33">
        <v>590785.00999999943</v>
      </c>
      <c r="F87" s="123">
        <v>1.712420318840578</v>
      </c>
      <c r="G87" s="7"/>
      <c r="H87" s="35">
        <v>345000</v>
      </c>
      <c r="I87" s="35">
        <v>267096.77419354842</v>
      </c>
      <c r="J87" s="35">
        <v>265825.23999999225</v>
      </c>
      <c r="K87" s="70">
        <v>0.99523942512074381</v>
      </c>
      <c r="L87" s="36"/>
      <c r="M87" s="35">
        <v>55890</v>
      </c>
      <c r="N87" s="35">
        <v>43269.677419354841</v>
      </c>
      <c r="O87" s="37">
        <v>3173.4</v>
      </c>
      <c r="P87" s="35">
        <v>43324.629999999728</v>
      </c>
      <c r="Q87" s="115">
        <v>1.0012700020874272</v>
      </c>
      <c r="R87" s="36"/>
      <c r="S87" s="127">
        <v>0.16200000000000001</v>
      </c>
      <c r="T87" s="127">
        <v>0.16298162657541845</v>
      </c>
      <c r="U87" s="36"/>
      <c r="V87" s="35"/>
      <c r="W87" s="38">
        <v>6.4613164649048107</v>
      </c>
      <c r="X87" s="69" t="s">
        <v>69</v>
      </c>
      <c r="Y87" s="36"/>
      <c r="Z87" s="62"/>
      <c r="AA87" s="33">
        <v>11129.032258064517</v>
      </c>
      <c r="AB87" s="33">
        <v>7657.7299999999632</v>
      </c>
      <c r="AC87" s="36"/>
      <c r="AD87" s="35">
        <v>1802.9032258064517</v>
      </c>
      <c r="AE87" s="35">
        <v>1016.1200000000007</v>
      </c>
      <c r="AF87" s="115">
        <v>0.56360207550545749</v>
      </c>
      <c r="AG87" s="36"/>
      <c r="AH87" s="35">
        <v>1805.1929166666553</v>
      </c>
      <c r="AI87" s="35">
        <v>55960.980416666316</v>
      </c>
      <c r="AJ87" s="115">
        <v>1.0012700020874274</v>
      </c>
      <c r="AK87" s="36"/>
      <c r="AL87" s="108">
        <v>0.16200000000000001</v>
      </c>
      <c r="AM87" s="108">
        <v>0.13269206409732462</v>
      </c>
      <c r="AN87" s="36"/>
      <c r="AO87" s="38">
        <v>4.5126950153631746</v>
      </c>
      <c r="AP87" s="70">
        <v>0</v>
      </c>
    </row>
    <row r="88" spans="1:43" x14ac:dyDescent="0.3">
      <c r="A88" s="64" t="s">
        <v>59</v>
      </c>
      <c r="B88" s="211"/>
      <c r="C88" s="6" t="s">
        <v>10</v>
      </c>
      <c r="D88" s="34"/>
      <c r="E88" s="33">
        <v>1013995.7499999992</v>
      </c>
      <c r="F88" s="123">
        <v>1.9131995283018852</v>
      </c>
      <c r="G88" s="7"/>
      <c r="H88" s="35">
        <v>530000</v>
      </c>
      <c r="I88" s="35">
        <v>410322.58064516127</v>
      </c>
      <c r="J88" s="35">
        <v>378870.00999997254</v>
      </c>
      <c r="K88" s="70">
        <v>0.92334672248420979</v>
      </c>
      <c r="L88" s="36"/>
      <c r="M88" s="35">
        <v>80560</v>
      </c>
      <c r="N88" s="35">
        <v>62369.032258064515</v>
      </c>
      <c r="O88" s="37">
        <v>3395.2</v>
      </c>
      <c r="P88" s="35">
        <v>58180.965399999761</v>
      </c>
      <c r="Q88" s="115">
        <v>0.93285021898791409</v>
      </c>
      <c r="R88" s="36"/>
      <c r="S88" s="127">
        <v>0.152</v>
      </c>
      <c r="T88" s="127">
        <v>0.1535644518287525</v>
      </c>
      <c r="U88" s="36"/>
      <c r="V88" s="35"/>
      <c r="W88" s="38">
        <v>5.8543022183186837</v>
      </c>
      <c r="X88" s="69" t="s">
        <v>69</v>
      </c>
      <c r="Y88" s="36"/>
      <c r="Z88" s="62"/>
      <c r="AA88" s="33">
        <v>17096.774193548386</v>
      </c>
      <c r="AB88" s="33">
        <v>16874.15999999996</v>
      </c>
      <c r="AC88" s="36"/>
      <c r="AD88" s="35">
        <v>2598.7096774193546</v>
      </c>
      <c r="AE88" s="35">
        <v>2313.1200000000008</v>
      </c>
      <c r="AF88" s="115">
        <v>0.89010327706057635</v>
      </c>
      <c r="AG88" s="36"/>
      <c r="AH88" s="35">
        <v>2424.2068916666567</v>
      </c>
      <c r="AI88" s="35">
        <v>75150.413641666353</v>
      </c>
      <c r="AJ88" s="115">
        <v>0.93285021898791398</v>
      </c>
      <c r="AK88" s="36"/>
      <c r="AL88" s="108">
        <v>0.152</v>
      </c>
      <c r="AM88" s="108">
        <v>0.13708060134548958</v>
      </c>
      <c r="AN88" s="36"/>
      <c r="AO88" s="38">
        <v>5.8076372394238627</v>
      </c>
      <c r="AP88" s="70">
        <v>0</v>
      </c>
    </row>
    <row r="89" spans="1:43" x14ac:dyDescent="0.3">
      <c r="A89" s="64" t="s">
        <v>59</v>
      </c>
      <c r="B89" s="211"/>
      <c r="C89" s="6" t="s">
        <v>12</v>
      </c>
      <c r="D89" s="34"/>
      <c r="E89" s="33">
        <v>15284.010000000004</v>
      </c>
      <c r="F89" s="123">
        <v>2.1834300000000004</v>
      </c>
      <c r="G89" s="7"/>
      <c r="H89" s="35">
        <v>7000</v>
      </c>
      <c r="I89" s="35">
        <v>5384.6153846153848</v>
      </c>
      <c r="J89" s="35">
        <v>5108.9999999999727</v>
      </c>
      <c r="K89" s="70">
        <v>0.94881428571428061</v>
      </c>
      <c r="L89" s="36"/>
      <c r="M89" s="35">
        <v>1680</v>
      </c>
      <c r="N89" s="35">
        <v>1292.3076923076924</v>
      </c>
      <c r="O89" s="37">
        <v>0</v>
      </c>
      <c r="P89" s="35">
        <v>1046.9499999999998</v>
      </c>
      <c r="Q89" s="115">
        <v>0.81013988095238076</v>
      </c>
      <c r="R89" s="36"/>
      <c r="S89" s="127">
        <v>0.24</v>
      </c>
      <c r="T89" s="127">
        <v>0.20492268545703765</v>
      </c>
      <c r="U89" s="36"/>
      <c r="V89" s="35"/>
      <c r="W89" s="38">
        <v>12.793110197689819</v>
      </c>
      <c r="X89" s="69" t="s">
        <v>69</v>
      </c>
      <c r="Y89" s="36"/>
      <c r="Z89" s="62"/>
      <c r="AA89" s="33">
        <v>269.23076923076923</v>
      </c>
      <c r="AB89" s="33">
        <v>403.18999999999994</v>
      </c>
      <c r="AC89" s="36"/>
      <c r="AD89" s="35">
        <v>64.615384615384613</v>
      </c>
      <c r="AE89" s="35">
        <v>113.83</v>
      </c>
      <c r="AF89" s="115">
        <v>1.761654761904762</v>
      </c>
      <c r="AG89" s="36"/>
      <c r="AH89" s="35">
        <v>52.347499999999989</v>
      </c>
      <c r="AI89" s="35">
        <v>1361.0349999999996</v>
      </c>
      <c r="AJ89" s="115">
        <v>0.81013988095238076</v>
      </c>
      <c r="AK89" s="36"/>
      <c r="AL89" s="108">
        <v>0.24</v>
      </c>
      <c r="AM89" s="108">
        <v>0.28232347032416483</v>
      </c>
      <c r="AN89" s="36"/>
      <c r="AO89" s="38">
        <v>20.734641236141748</v>
      </c>
      <c r="AP89" s="70">
        <v>0</v>
      </c>
    </row>
    <row r="90" spans="1:43" s="15" customFormat="1" x14ac:dyDescent="0.3">
      <c r="A90" s="26"/>
      <c r="B90" s="211"/>
      <c r="C90" s="9" t="s">
        <v>74</v>
      </c>
      <c r="D90" s="28"/>
      <c r="E90" s="27">
        <v>2141750.5499999989</v>
      </c>
      <c r="F90" s="124">
        <v>1.9435122958257702</v>
      </c>
      <c r="G90" s="26"/>
      <c r="H90" s="29">
        <v>1102000</v>
      </c>
      <c r="I90" s="29">
        <v>852034.7394540942</v>
      </c>
      <c r="J90" s="29">
        <v>812952.54999996512</v>
      </c>
      <c r="K90" s="31">
        <v>0.95413075589010676</v>
      </c>
      <c r="L90" s="39"/>
      <c r="M90" s="29">
        <v>166730</v>
      </c>
      <c r="N90" s="29">
        <v>128931.01736972705</v>
      </c>
      <c r="O90" s="27">
        <v>7381.49</v>
      </c>
      <c r="P90" s="29">
        <v>122521.87954999939</v>
      </c>
      <c r="Q90" s="31">
        <v>0.9502901788066358</v>
      </c>
      <c r="R90" s="39"/>
      <c r="S90" s="128">
        <v>0.15129764065335752</v>
      </c>
      <c r="T90" s="128">
        <v>0.15071221506102003</v>
      </c>
      <c r="U90" s="39"/>
      <c r="V90" s="29"/>
      <c r="W90" s="32">
        <v>5.5502291677377027</v>
      </c>
      <c r="X90" s="30" t="s">
        <v>69</v>
      </c>
      <c r="Y90" s="39"/>
      <c r="Z90" s="62"/>
      <c r="AA90" s="27">
        <v>36956.575682382128</v>
      </c>
      <c r="AB90" s="27">
        <v>31658.009999999904</v>
      </c>
      <c r="AC90" s="39"/>
      <c r="AD90" s="29">
        <v>5566.2282878411916</v>
      </c>
      <c r="AE90" s="29">
        <v>4142.1900000000005</v>
      </c>
      <c r="AF90" s="31">
        <v>0.74416459149693071</v>
      </c>
      <c r="AG90" s="39"/>
      <c r="AH90" s="29">
        <v>5280.2140158333077</v>
      </c>
      <c r="AI90" s="29">
        <v>158432.56345333255</v>
      </c>
      <c r="AJ90" s="31">
        <v>0.95023429168915341</v>
      </c>
      <c r="AK90" s="39"/>
      <c r="AL90" s="80">
        <v>0.15129764065335752</v>
      </c>
      <c r="AM90" s="80">
        <v>0.13084176800752836</v>
      </c>
      <c r="AN90" s="39"/>
      <c r="AO90" s="32">
        <v>0</v>
      </c>
      <c r="AP90" s="31">
        <v>0</v>
      </c>
      <c r="AQ90" s="10"/>
    </row>
    <row r="91" spans="1:43" x14ac:dyDescent="0.3">
      <c r="B91" s="16"/>
      <c r="D91" s="34"/>
      <c r="E91" s="47"/>
      <c r="F91" s="125"/>
      <c r="G91" s="34"/>
      <c r="H91" s="48"/>
      <c r="I91" s="48"/>
      <c r="J91" s="48"/>
      <c r="K91" s="51"/>
      <c r="L91" s="34"/>
      <c r="M91" s="48"/>
      <c r="N91" s="48"/>
      <c r="O91" s="51"/>
      <c r="P91" s="48"/>
      <c r="Q91" s="47"/>
      <c r="R91" s="34"/>
      <c r="S91" s="51"/>
      <c r="T91" s="51"/>
      <c r="U91" s="34"/>
      <c r="V91" s="50"/>
      <c r="W91" s="52"/>
      <c r="X91" s="48"/>
      <c r="Y91" s="34"/>
      <c r="Z91" s="62"/>
      <c r="AA91" s="47"/>
      <c r="AB91" s="47"/>
      <c r="AC91" s="36"/>
      <c r="AD91" s="48"/>
      <c r="AE91" s="48"/>
      <c r="AF91" s="47"/>
      <c r="AG91" s="36"/>
      <c r="AH91" s="48"/>
      <c r="AI91" s="48"/>
      <c r="AJ91" s="47"/>
      <c r="AK91" s="36"/>
      <c r="AL91" s="49"/>
      <c r="AM91" s="53"/>
      <c r="AN91" s="36"/>
      <c r="AO91" s="52"/>
      <c r="AP91" s="47"/>
    </row>
    <row r="92" spans="1:43" x14ac:dyDescent="0.3">
      <c r="B92" s="210" t="s">
        <v>32</v>
      </c>
      <c r="C92" s="94" t="s">
        <v>8</v>
      </c>
      <c r="D92" s="34"/>
      <c r="E92" s="93">
        <v>4334465.0800000029</v>
      </c>
      <c r="F92" s="126">
        <v>0.81705279547596665</v>
      </c>
      <c r="G92" s="34"/>
      <c r="H92" s="93">
        <v>5305000</v>
      </c>
      <c r="I92" s="93">
        <v>4080769.2307692301</v>
      </c>
      <c r="J92" s="93">
        <v>4303504.4199999804</v>
      </c>
      <c r="K92" s="112">
        <v>1.0545816674835016</v>
      </c>
      <c r="L92" s="36"/>
      <c r="M92" s="93">
        <v>530312.894377677</v>
      </c>
      <c r="N92" s="93">
        <v>407932.9956751361</v>
      </c>
      <c r="O92" s="93">
        <v>13950.109999999997</v>
      </c>
      <c r="P92" s="93">
        <v>430502.06216000032</v>
      </c>
      <c r="Q92" s="112">
        <v>1.0553254253128312</v>
      </c>
      <c r="R92" s="96"/>
      <c r="S92" s="129">
        <v>9.9964730325669562E-2</v>
      </c>
      <c r="T92" s="129">
        <v>0.10003523178907349</v>
      </c>
      <c r="U92" s="98"/>
      <c r="V92" s="99">
        <v>0</v>
      </c>
      <c r="W92" s="103">
        <v>-4.4265958448816853</v>
      </c>
      <c r="X92" s="100" t="s">
        <v>69</v>
      </c>
      <c r="Y92" s="98"/>
      <c r="Z92" s="101"/>
      <c r="AA92" s="93">
        <v>204038.46153846156</v>
      </c>
      <c r="AB92" s="93">
        <v>229573.31999999986</v>
      </c>
      <c r="AC92" s="98"/>
      <c r="AD92" s="93">
        <v>20396.649783756809</v>
      </c>
      <c r="AE92" s="93">
        <v>21674.444349999994</v>
      </c>
      <c r="AF92" s="112">
        <v>1.062647276870968</v>
      </c>
      <c r="AG92" s="98"/>
      <c r="AH92" s="93">
        <v>21525.103108000018</v>
      </c>
      <c r="AI92" s="93">
        <v>559652.68080800027</v>
      </c>
      <c r="AJ92" s="112">
        <v>1.0553254253128308</v>
      </c>
      <c r="AK92" s="98"/>
      <c r="AL92" s="102">
        <v>9.9964730325669562E-2</v>
      </c>
      <c r="AM92" s="97">
        <v>9.4411860881743609E-2</v>
      </c>
      <c r="AN92" s="98"/>
      <c r="AO92" s="103">
        <v>-5.0583994908468348</v>
      </c>
      <c r="AP92" s="95">
        <v>0</v>
      </c>
    </row>
    <row r="93" spans="1:43" ht="12.75" customHeight="1" x14ac:dyDescent="0.3">
      <c r="B93" s="210"/>
      <c r="C93" s="94" t="s">
        <v>9</v>
      </c>
      <c r="D93" s="34"/>
      <c r="E93" s="93">
        <v>5203285.2699999958</v>
      </c>
      <c r="F93" s="126">
        <v>0.97567696793549519</v>
      </c>
      <c r="G93" s="34"/>
      <c r="H93" s="93">
        <v>5333000</v>
      </c>
      <c r="I93" s="93">
        <v>4128774.1935483874</v>
      </c>
      <c r="J93" s="93">
        <v>3875633.8199998378</v>
      </c>
      <c r="K93" s="112">
        <v>0.93868873382707485</v>
      </c>
      <c r="L93" s="36"/>
      <c r="M93" s="93">
        <v>817629.02353412041</v>
      </c>
      <c r="N93" s="93">
        <v>633003.11499415757</v>
      </c>
      <c r="O93" s="93">
        <v>9458.98</v>
      </c>
      <c r="P93" s="93">
        <v>610996.20987000095</v>
      </c>
      <c r="Q93" s="112">
        <v>0.96523412823275012</v>
      </c>
      <c r="R93" s="96"/>
      <c r="S93" s="129">
        <v>0.15331502410165393</v>
      </c>
      <c r="T93" s="129">
        <v>0.15765065489856483</v>
      </c>
      <c r="U93" s="98"/>
      <c r="V93" s="99">
        <v>0</v>
      </c>
      <c r="W93" s="103">
        <v>3.4848155461146355</v>
      </c>
      <c r="X93" s="100" t="s">
        <v>69</v>
      </c>
      <c r="Y93" s="98"/>
      <c r="Z93" s="101"/>
      <c r="AA93" s="93">
        <v>172032.25806451609</v>
      </c>
      <c r="AB93" s="93">
        <v>120531.73999999974</v>
      </c>
      <c r="AC93" s="98"/>
      <c r="AD93" s="93">
        <v>26375.129791423242</v>
      </c>
      <c r="AE93" s="93">
        <v>18452.684450000001</v>
      </c>
      <c r="AF93" s="112">
        <v>0.69962440359252787</v>
      </c>
      <c r="AG93" s="98"/>
      <c r="AH93" s="93">
        <v>25458.175411250035</v>
      </c>
      <c r="AI93" s="93">
        <v>789203.43774875102</v>
      </c>
      <c r="AJ93" s="112">
        <v>0.96523412823274957</v>
      </c>
      <c r="AK93" s="98"/>
      <c r="AL93" s="102">
        <v>0.15331502410165393</v>
      </c>
      <c r="AM93" s="97">
        <v>0.1530939854514673</v>
      </c>
      <c r="AN93" s="98"/>
      <c r="AO93" s="103">
        <v>3.7566656301483459</v>
      </c>
      <c r="AP93" s="95">
        <v>0</v>
      </c>
    </row>
    <row r="94" spans="1:43" ht="12.75" customHeight="1" x14ac:dyDescent="0.3">
      <c r="B94" s="210"/>
      <c r="C94" s="94" t="s">
        <v>10</v>
      </c>
      <c r="D94" s="34"/>
      <c r="E94" s="93">
        <v>8195411.009999997</v>
      </c>
      <c r="F94" s="126">
        <v>0.99603925741370891</v>
      </c>
      <c r="G94" s="34"/>
      <c r="H94" s="93">
        <v>8228000</v>
      </c>
      <c r="I94" s="93">
        <v>6370064.5161290336</v>
      </c>
      <c r="J94" s="93">
        <v>6155575.2299996298</v>
      </c>
      <c r="K94" s="112">
        <v>0.96632855356702962</v>
      </c>
      <c r="L94" s="36"/>
      <c r="M94" s="93">
        <v>1301569.1825819584</v>
      </c>
      <c r="N94" s="93">
        <v>1007666.4639344193</v>
      </c>
      <c r="O94" s="93">
        <v>24778.41</v>
      </c>
      <c r="P94" s="93">
        <v>972216.41678999923</v>
      </c>
      <c r="Q94" s="112">
        <v>0.96481966165073518</v>
      </c>
      <c r="R94" s="96"/>
      <c r="S94" s="129">
        <v>0.15818779564681068</v>
      </c>
      <c r="T94" s="129">
        <v>0.15794079033456271</v>
      </c>
      <c r="U94" s="98"/>
      <c r="V94" s="99">
        <v>0</v>
      </c>
      <c r="W94" s="103">
        <v>2.8830716896240234</v>
      </c>
      <c r="X94" s="100" t="s">
        <v>69</v>
      </c>
      <c r="Y94" s="98"/>
      <c r="Z94" s="101"/>
      <c r="AA94" s="93">
        <v>265419.35483870964</v>
      </c>
      <c r="AB94" s="93">
        <v>199392.78999999975</v>
      </c>
      <c r="AC94" s="98"/>
      <c r="AD94" s="93">
        <v>41986.102663934129</v>
      </c>
      <c r="AE94" s="93">
        <v>28801.83448999999</v>
      </c>
      <c r="AF94" s="112">
        <v>0.6859849488897819</v>
      </c>
      <c r="AG94" s="98"/>
      <c r="AH94" s="93">
        <v>40509.017366249973</v>
      </c>
      <c r="AI94" s="93">
        <v>1255779.5383537491</v>
      </c>
      <c r="AJ94" s="112">
        <v>0.96481966165073518</v>
      </c>
      <c r="AK94" s="98"/>
      <c r="AL94" s="102">
        <v>0.15818779564681068</v>
      </c>
      <c r="AM94" s="97">
        <v>0.14444772295929068</v>
      </c>
      <c r="AN94" s="98"/>
      <c r="AO94" s="103">
        <v>2.7322073631648109</v>
      </c>
      <c r="AP94" s="95">
        <v>0</v>
      </c>
    </row>
    <row r="95" spans="1:43" ht="12.75" customHeight="1" x14ac:dyDescent="0.3">
      <c r="B95" s="210"/>
      <c r="C95" s="94" t="s">
        <v>12</v>
      </c>
      <c r="D95" s="34"/>
      <c r="E95" s="93">
        <v>492862.06999999989</v>
      </c>
      <c r="F95" s="126">
        <v>0.14935214242424238</v>
      </c>
      <c r="G95" s="34"/>
      <c r="H95" s="93">
        <v>3300000</v>
      </c>
      <c r="I95" s="93">
        <v>2538461.5384615385</v>
      </c>
      <c r="J95" s="93">
        <v>2848035.7799999965</v>
      </c>
      <c r="K95" s="112">
        <v>1.1219534890909078</v>
      </c>
      <c r="L95" s="36"/>
      <c r="M95" s="93">
        <v>555198.5430327655</v>
      </c>
      <c r="N95" s="93">
        <v>427075.80233289656</v>
      </c>
      <c r="O95" s="93">
        <v>38335.379999999997</v>
      </c>
      <c r="P95" s="93">
        <v>346744.2199999998</v>
      </c>
      <c r="Q95" s="112">
        <v>0.81190322211165689</v>
      </c>
      <c r="R95" s="96"/>
      <c r="S95" s="129">
        <v>0.16824198273720167</v>
      </c>
      <c r="T95" s="129">
        <v>0.12174854769556309</v>
      </c>
      <c r="U95" s="98"/>
      <c r="V95" s="99">
        <v>0</v>
      </c>
      <c r="W95" s="103">
        <v>-5.1221400034518902</v>
      </c>
      <c r="X95" s="100" t="s">
        <v>69</v>
      </c>
      <c r="Y95" s="98"/>
      <c r="Z95" s="101"/>
      <c r="AA95" s="93">
        <v>126923.07692307692</v>
      </c>
      <c r="AB95" s="93">
        <v>200032.08</v>
      </c>
      <c r="AC95" s="98"/>
      <c r="AD95" s="93">
        <v>21353.790116644828</v>
      </c>
      <c r="AE95" s="93">
        <v>30484.170000000006</v>
      </c>
      <c r="AF95" s="112">
        <v>1.4275765488693382</v>
      </c>
      <c r="AG95" s="98"/>
      <c r="AH95" s="93">
        <v>17337.210999999985</v>
      </c>
      <c r="AI95" s="93">
        <v>450767.48599999974</v>
      </c>
      <c r="AJ95" s="112">
        <v>0.811903222111657</v>
      </c>
      <c r="AK95" s="98"/>
      <c r="AL95" s="102">
        <v>0.16824198273720167</v>
      </c>
      <c r="AM95" s="97">
        <v>0.15239640561653914</v>
      </c>
      <c r="AN95" s="98"/>
      <c r="AO95" s="103">
        <v>0.28454435908480713</v>
      </c>
      <c r="AP95" s="95">
        <v>0</v>
      </c>
    </row>
    <row r="96" spans="1:43" ht="4.25" customHeight="1" x14ac:dyDescent="0.3">
      <c r="B96" s="210"/>
      <c r="D96" s="34"/>
      <c r="E96" s="47"/>
      <c r="F96" s="125"/>
      <c r="G96" s="34"/>
      <c r="H96" s="47"/>
      <c r="I96" s="47"/>
      <c r="J96" s="48"/>
      <c r="K96" s="51"/>
      <c r="L96" s="34"/>
      <c r="M96" s="47"/>
      <c r="N96" s="48"/>
      <c r="O96" s="51"/>
      <c r="P96" s="48"/>
      <c r="Q96" s="47"/>
      <c r="R96" s="34"/>
      <c r="S96" s="51"/>
      <c r="T96" s="51"/>
      <c r="U96" s="34"/>
      <c r="V96" s="50"/>
      <c r="W96" s="52"/>
      <c r="X96" s="48"/>
      <c r="Y96" s="34"/>
      <c r="Z96" s="62"/>
      <c r="AA96" s="47"/>
      <c r="AB96" s="47"/>
      <c r="AC96" s="36"/>
      <c r="AD96" s="48"/>
      <c r="AE96" s="48"/>
      <c r="AF96" s="47"/>
      <c r="AG96" s="36"/>
      <c r="AH96" s="48"/>
      <c r="AI96" s="48"/>
      <c r="AJ96" s="47"/>
      <c r="AK96" s="36"/>
      <c r="AL96" s="49"/>
      <c r="AM96" s="53"/>
      <c r="AN96" s="36"/>
      <c r="AO96" s="52"/>
      <c r="AP96" s="47"/>
    </row>
    <row r="97" spans="1:43" s="15" customFormat="1" ht="14.25" customHeight="1" x14ac:dyDescent="0.3">
      <c r="A97" s="26"/>
      <c r="B97" s="210"/>
      <c r="C97" s="94" t="s">
        <v>7</v>
      </c>
      <c r="D97" s="28"/>
      <c r="E97" s="93">
        <v>18226023.429999996</v>
      </c>
      <c r="F97" s="126">
        <v>0.82225135026617324</v>
      </c>
      <c r="G97" s="28"/>
      <c r="H97" s="93">
        <v>22166000</v>
      </c>
      <c r="I97" s="93">
        <v>17118069.478908189</v>
      </c>
      <c r="J97" s="93">
        <v>17182749.249999445</v>
      </c>
      <c r="K97" s="44">
        <v>1.0037784500857969</v>
      </c>
      <c r="L97" s="39"/>
      <c r="M97" s="93">
        <v>3204709.643526521</v>
      </c>
      <c r="N97" s="93">
        <v>2475678.3769366099</v>
      </c>
      <c r="O97" s="93">
        <v>86522.880000000005</v>
      </c>
      <c r="P97" s="93">
        <v>2360458.9088200005</v>
      </c>
      <c r="Q97" s="44">
        <v>0.95345943593077653</v>
      </c>
      <c r="R97" s="39"/>
      <c r="S97" s="129">
        <v>0.14457771557910859</v>
      </c>
      <c r="T97" s="129">
        <v>0.13737376216556713</v>
      </c>
      <c r="U97" s="45"/>
      <c r="V97" s="43">
        <v>0</v>
      </c>
      <c r="W97" s="46">
        <v>-0.13880660675161391</v>
      </c>
      <c r="X97" s="81" t="s">
        <v>69</v>
      </c>
      <c r="Y97" s="45"/>
      <c r="Z97" s="62"/>
      <c r="AA97" s="93">
        <v>768413.15136476408</v>
      </c>
      <c r="AB97" s="93">
        <v>749529.92999999935</v>
      </c>
      <c r="AC97" s="98"/>
      <c r="AD97" s="93">
        <v>110111.672355759</v>
      </c>
      <c r="AE97" s="93">
        <v>99413.133289999998</v>
      </c>
      <c r="AF97" s="112">
        <v>0.90283919191424888</v>
      </c>
      <c r="AG97" s="98"/>
      <c r="AH97" s="93">
        <v>104829.50688550001</v>
      </c>
      <c r="AI97" s="93">
        <v>3055403.1429105001</v>
      </c>
      <c r="AJ97" s="112">
        <v>0.95341028760043256</v>
      </c>
      <c r="AK97" s="98"/>
      <c r="AL97" s="102">
        <v>0.14457771557910859</v>
      </c>
      <c r="AM97" s="97">
        <v>0.13263397405624627</v>
      </c>
      <c r="AN97" s="98"/>
      <c r="AO97" s="103">
        <v>-0.14245684758721527</v>
      </c>
      <c r="AP97" s="42">
        <v>0</v>
      </c>
      <c r="AQ97" s="10"/>
    </row>
    <row r="98" spans="1:43" ht="14.5" x14ac:dyDescent="0.35">
      <c r="D98" s="55"/>
      <c r="E98" s="54"/>
      <c r="F98" s="118"/>
      <c r="G98" s="55"/>
      <c r="H98" s="56"/>
      <c r="I98" s="48"/>
      <c r="J98" s="56"/>
      <c r="K98" s="51"/>
      <c r="L98" s="34"/>
      <c r="M98" s="56"/>
      <c r="N98" s="48"/>
      <c r="O98" s="48"/>
      <c r="P98" s="48"/>
      <c r="Q98" s="47"/>
      <c r="R98" s="34"/>
      <c r="S98" s="49"/>
      <c r="T98" s="49"/>
      <c r="U98" s="34"/>
      <c r="V98" s="50"/>
      <c r="W98" s="50"/>
      <c r="X98" s="48"/>
      <c r="Y98" s="34"/>
      <c r="Z98" s="63"/>
      <c r="AA98" s="47"/>
      <c r="AB98" s="47"/>
      <c r="AC98" s="36"/>
      <c r="AD98" s="48"/>
      <c r="AE98" s="48"/>
      <c r="AF98" s="47"/>
      <c r="AG98" s="36"/>
      <c r="AH98" s="48"/>
      <c r="AI98" s="48"/>
      <c r="AJ98" s="47"/>
      <c r="AK98" s="36"/>
      <c r="AL98" s="49"/>
      <c r="AM98" s="53"/>
      <c r="AN98" s="36"/>
      <c r="AO98" s="52"/>
      <c r="AP98" s="47"/>
    </row>
    <row r="99" spans="1:43" ht="14.5" x14ac:dyDescent="0.35">
      <c r="D99" s="55"/>
      <c r="E99" s="54"/>
      <c r="F99" s="118"/>
      <c r="G99" s="55"/>
      <c r="H99" s="48"/>
      <c r="I99" s="56"/>
      <c r="J99" s="56"/>
      <c r="K99" s="51"/>
      <c r="L99" s="34"/>
      <c r="M99" s="56"/>
      <c r="N99" s="56"/>
      <c r="O99" s="56"/>
      <c r="P99" s="56"/>
      <c r="Q99" s="47"/>
      <c r="R99" s="34"/>
      <c r="S99" s="49"/>
      <c r="T99" s="49"/>
      <c r="U99" s="34"/>
      <c r="V99" s="50"/>
      <c r="W99" s="50"/>
      <c r="X99" s="48"/>
      <c r="Y99" s="34"/>
      <c r="Z99" s="63"/>
      <c r="AA99" s="59"/>
      <c r="AB99" s="59"/>
      <c r="AC99" s="36"/>
      <c r="AD99" s="56"/>
      <c r="AE99" s="56"/>
      <c r="AF99" s="47"/>
      <c r="AG99" s="36"/>
      <c r="AH99" s="56"/>
      <c r="AI99" s="56"/>
      <c r="AJ99" s="59"/>
      <c r="AK99" s="36"/>
      <c r="AL99" s="49"/>
      <c r="AM99" s="53"/>
      <c r="AN99" s="36"/>
      <c r="AO99" s="52"/>
      <c r="AP99" s="47"/>
    </row>
    <row r="100" spans="1:43" ht="14.5" x14ac:dyDescent="0.35">
      <c r="D100" s="55"/>
      <c r="E100" s="54"/>
      <c r="F100" s="118"/>
      <c r="G100" s="55"/>
      <c r="H100" s="48"/>
      <c r="I100" s="56"/>
      <c r="J100" s="56"/>
      <c r="K100" s="51"/>
      <c r="L100" s="34"/>
      <c r="M100" s="56"/>
      <c r="N100" s="56"/>
      <c r="O100" s="56"/>
      <c r="P100" s="56"/>
      <c r="Q100" s="47"/>
      <c r="R100" s="34"/>
      <c r="S100" s="49"/>
      <c r="T100" s="49"/>
      <c r="U100" s="34"/>
      <c r="V100" s="50"/>
      <c r="W100" s="50"/>
      <c r="X100" s="48"/>
      <c r="Y100" s="34"/>
      <c r="Z100" s="63"/>
      <c r="AA100" s="59"/>
      <c r="AB100" s="59"/>
      <c r="AC100" s="36"/>
      <c r="AD100" s="56"/>
      <c r="AE100" s="56"/>
      <c r="AF100" s="47"/>
      <c r="AG100" s="36"/>
      <c r="AH100" s="56"/>
      <c r="AI100" s="56"/>
      <c r="AJ100" s="59"/>
      <c r="AK100" s="36"/>
      <c r="AL100" s="49"/>
      <c r="AM100" s="53"/>
      <c r="AN100" s="36"/>
      <c r="AO100" s="52"/>
      <c r="AP100" s="47"/>
    </row>
    <row r="101" spans="1:43" ht="14.5" x14ac:dyDescent="0.35">
      <c r="D101" s="55"/>
      <c r="E101" s="54"/>
      <c r="F101" s="118"/>
      <c r="G101" s="55"/>
      <c r="H101" s="48"/>
      <c r="I101" s="48"/>
      <c r="J101" s="56"/>
      <c r="K101" s="51"/>
      <c r="L101" s="34"/>
      <c r="M101" s="56"/>
      <c r="N101" s="56"/>
      <c r="O101" s="56"/>
      <c r="P101" s="56"/>
      <c r="Q101" s="47"/>
      <c r="R101" s="34"/>
      <c r="S101" s="49"/>
      <c r="T101" s="49"/>
      <c r="U101" s="34"/>
      <c r="V101" s="50"/>
      <c r="W101" s="50"/>
      <c r="X101" s="48"/>
      <c r="Y101" s="34"/>
      <c r="Z101" s="63"/>
      <c r="AA101" s="59"/>
      <c r="AB101" s="59"/>
      <c r="AC101" s="36"/>
      <c r="AD101" s="56"/>
      <c r="AE101" s="56"/>
      <c r="AF101" s="47"/>
      <c r="AG101" s="36"/>
      <c r="AH101" s="56"/>
      <c r="AI101" s="56"/>
      <c r="AJ101" s="59"/>
      <c r="AK101" s="36"/>
      <c r="AL101" s="49"/>
      <c r="AM101" s="53"/>
      <c r="AN101" s="36"/>
      <c r="AO101" s="52"/>
      <c r="AP101" s="47"/>
    </row>
    <row r="102" spans="1:43" ht="14.5" x14ac:dyDescent="0.35">
      <c r="D102" s="55"/>
      <c r="E102" s="54"/>
      <c r="F102" s="118"/>
      <c r="G102" s="55"/>
      <c r="H102" s="48"/>
      <c r="I102" s="48"/>
      <c r="J102" s="56"/>
      <c r="K102" s="51"/>
      <c r="L102" s="34"/>
      <c r="M102" s="56"/>
      <c r="N102" s="56"/>
      <c r="O102" s="56"/>
      <c r="P102" s="56"/>
      <c r="Q102" s="47"/>
      <c r="R102" s="34"/>
      <c r="S102" s="49"/>
      <c r="T102" s="49"/>
      <c r="U102" s="34"/>
      <c r="V102" s="50"/>
      <c r="W102" s="50"/>
      <c r="X102" s="48"/>
      <c r="Y102" s="34"/>
      <c r="Z102" s="63"/>
      <c r="AA102" s="59"/>
      <c r="AB102" s="59"/>
      <c r="AC102" s="36"/>
      <c r="AD102" s="56"/>
      <c r="AE102" s="56"/>
      <c r="AF102" s="47"/>
      <c r="AG102" s="36"/>
      <c r="AH102" s="56"/>
      <c r="AI102" s="56"/>
      <c r="AJ102" s="59"/>
      <c r="AK102" s="36"/>
      <c r="AL102" s="49"/>
      <c r="AM102" s="53"/>
      <c r="AN102" s="36"/>
      <c r="AO102" s="52"/>
      <c r="AP102" s="47"/>
    </row>
    <row r="103" spans="1:43" ht="14.5" x14ac:dyDescent="0.35">
      <c r="D103" s="55"/>
      <c r="E103" s="54"/>
      <c r="F103" s="118"/>
      <c r="G103" s="55"/>
      <c r="H103" s="48"/>
      <c r="I103" s="48"/>
      <c r="J103" s="56"/>
      <c r="K103" s="51"/>
      <c r="L103" s="34"/>
      <c r="M103" s="56"/>
      <c r="N103" s="56"/>
      <c r="O103" s="56"/>
      <c r="P103" s="56"/>
      <c r="Q103" s="47"/>
      <c r="R103" s="34"/>
      <c r="S103" s="49"/>
      <c r="T103" s="49"/>
      <c r="U103" s="34"/>
      <c r="V103" s="50"/>
      <c r="W103" s="50"/>
      <c r="X103" s="48"/>
      <c r="Y103" s="34"/>
      <c r="Z103" s="63"/>
      <c r="AA103" s="59"/>
      <c r="AB103" s="59"/>
      <c r="AC103" s="36"/>
      <c r="AD103" s="56"/>
      <c r="AE103" s="56"/>
      <c r="AF103" s="47"/>
      <c r="AG103" s="36"/>
      <c r="AH103" s="56"/>
      <c r="AI103" s="56"/>
      <c r="AJ103" s="59"/>
      <c r="AK103" s="36"/>
      <c r="AL103" s="49"/>
      <c r="AM103" s="53"/>
      <c r="AN103" s="36"/>
      <c r="AO103" s="52"/>
      <c r="AP103" s="47"/>
    </row>
    <row r="104" spans="1:43" ht="14.5" x14ac:dyDescent="0.35">
      <c r="D104" s="55"/>
      <c r="E104" s="54"/>
      <c r="F104" s="118"/>
      <c r="G104" s="55"/>
      <c r="H104" s="48"/>
      <c r="I104" s="48"/>
      <c r="J104" s="56"/>
      <c r="K104" s="51"/>
      <c r="L104" s="34"/>
      <c r="M104" s="56"/>
      <c r="N104" s="56"/>
      <c r="O104" s="56"/>
      <c r="P104" s="56"/>
      <c r="Q104" s="47"/>
      <c r="R104" s="34"/>
      <c r="S104" s="49"/>
      <c r="T104" s="49"/>
      <c r="U104" s="34"/>
      <c r="V104" s="50"/>
      <c r="W104" s="50"/>
      <c r="X104" s="48"/>
      <c r="Y104" s="34"/>
      <c r="Z104" s="63"/>
      <c r="AA104" s="59"/>
      <c r="AB104" s="59"/>
      <c r="AC104" s="36"/>
      <c r="AD104" s="56"/>
      <c r="AE104" s="56"/>
      <c r="AF104" s="47"/>
      <c r="AG104" s="36"/>
      <c r="AH104" s="56"/>
      <c r="AI104" s="56"/>
      <c r="AJ104" s="59"/>
      <c r="AK104" s="36"/>
      <c r="AL104" s="49"/>
      <c r="AM104" s="53"/>
      <c r="AN104" s="36"/>
      <c r="AO104" s="52"/>
      <c r="AP104" s="47"/>
    </row>
    <row r="105" spans="1:43" ht="14.5" x14ac:dyDescent="0.35">
      <c r="D105" s="55"/>
      <c r="E105" s="54"/>
      <c r="F105" s="118"/>
      <c r="G105" s="55"/>
      <c r="H105" s="48"/>
      <c r="I105" s="48"/>
      <c r="J105" s="56"/>
      <c r="K105" s="51"/>
      <c r="L105" s="34"/>
      <c r="M105" s="56"/>
      <c r="N105" s="56"/>
      <c r="O105" s="56"/>
      <c r="P105" s="56"/>
      <c r="Q105" s="47"/>
      <c r="R105" s="34"/>
      <c r="S105" s="49"/>
      <c r="T105" s="49"/>
      <c r="U105" s="34"/>
      <c r="V105" s="50"/>
      <c r="W105" s="50"/>
      <c r="X105" s="48"/>
      <c r="Y105" s="34"/>
      <c r="Z105" s="63"/>
      <c r="AA105" s="59"/>
      <c r="AB105" s="59"/>
      <c r="AC105" s="36"/>
      <c r="AD105" s="56"/>
      <c r="AE105" s="56"/>
      <c r="AF105" s="47"/>
      <c r="AG105" s="36"/>
      <c r="AH105" s="56"/>
      <c r="AI105" s="56"/>
      <c r="AJ105" s="59"/>
      <c r="AK105" s="36"/>
      <c r="AL105" s="49"/>
      <c r="AM105" s="53"/>
      <c r="AN105" s="36"/>
      <c r="AO105" s="52"/>
      <c r="AP105" s="47"/>
    </row>
    <row r="106" spans="1:43" ht="14.5" x14ac:dyDescent="0.35">
      <c r="D106" s="55"/>
      <c r="E106" s="54"/>
      <c r="F106" s="118"/>
      <c r="G106" s="55"/>
      <c r="H106" s="48"/>
      <c r="I106" s="48"/>
      <c r="J106" s="56"/>
      <c r="K106" s="51"/>
      <c r="L106" s="34"/>
      <c r="M106" s="56"/>
      <c r="N106" s="56"/>
      <c r="O106" s="56"/>
      <c r="P106" s="56"/>
      <c r="Q106" s="47"/>
      <c r="R106" s="34"/>
      <c r="S106" s="49"/>
      <c r="T106" s="49"/>
      <c r="U106" s="34"/>
      <c r="V106" s="50"/>
      <c r="W106" s="50"/>
      <c r="X106" s="48"/>
      <c r="Y106" s="34"/>
      <c r="Z106" s="63"/>
      <c r="AA106" s="59"/>
      <c r="AB106" s="59"/>
      <c r="AC106" s="36"/>
      <c r="AD106" s="56"/>
      <c r="AE106" s="56"/>
      <c r="AF106" s="47"/>
      <c r="AG106" s="36"/>
      <c r="AH106" s="56"/>
      <c r="AI106" s="56"/>
      <c r="AJ106" s="59"/>
      <c r="AK106" s="36"/>
      <c r="AL106" s="49"/>
      <c r="AM106" s="53"/>
      <c r="AN106" s="36"/>
      <c r="AO106" s="52"/>
      <c r="AP106" s="47"/>
    </row>
  </sheetData>
  <mergeCells count="29"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2026-08-25T13:47:05Z</cp:lastPrinted>
  <dcterms:created xsi:type="dcterms:W3CDTF">2013-12-24T17:42:15Z</dcterms:created>
  <dcterms:modified xsi:type="dcterms:W3CDTF">2026-08-25T13:50:23Z</dcterms:modified>
</cp:coreProperties>
</file>