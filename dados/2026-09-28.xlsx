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<sst xmlns="http://schemas.openxmlformats.org/spreadsheetml/2006/main" count="333" uniqueCount="92">
  <si>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</si>
  <si>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</si>
  <si>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</si>
  <si>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</si>
  <si>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</si>
  <si>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</si>
  <si>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</si>
  <si>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</si>
  <si>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</si>
  <si>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</si>
  <si>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</si>
  <si>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</si>
  <si>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</si>
  <si>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</si>
  <si>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</si>
  <si>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</si>
  <si>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</si>
  <si>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</si>
  <si>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</si>
  <si>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</si>
  <si>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</si>
  <si>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</si>
  <si>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</si>
  <si>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</si>
  <si>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</si>
  <si>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</si>
  <si>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</si>
  <si>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</si>
  <si>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</si>
  <si>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</si>
  <si>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</si>
  <si>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</si>
  <si>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</si>
  <si>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</si>
  <si>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</si>
  <si>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</si>
  <si>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</si>
  <si>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</si>
  <si>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ceasa</t>
  </si>
  <si>
    <t>casa</t>
  </si>
  <si>
    <t>imb</t>
  </si>
  <si>
    <t>lojão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</si>
  <si>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</si>
  <si>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</si>
  <si>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</si>
  <si>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</si>
  <si>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</si>
  <si>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</si>
  <si>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</si>
  <si>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</si>
  <si>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</si>
  <si>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</si>
  <si>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</si>
  <si>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</si>
  <si>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</si>
  <si>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</si>
  <si>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</si>
  <si>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</si>
  <si>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</si>
  <si>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</si>
  <si>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</si>
  <si>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</si>
  <si>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</si>
  <si>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</si>
  <si>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</si>
  <si>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</si>
  <si>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</si>
  <si>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</si>
  <si>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</si>
  <si>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</si>
  <si>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</si>
  <si>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</si>
  <si>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</si>
  <si>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</si>
  <si>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</si>
  <si>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</si>
  <si>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</si>
  <si>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</si>
  <si>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</si>
  <si>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</si>
  <si>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</si>
  <si>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</si>
  <si>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</si>
  <si>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</si>
  <si>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</si>
  <si>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</si>
  <si>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fim de semana</t>
  </si>
  <si>
    <t>fim de samana</t>
  </si>
  <si>
    <t>ULTIMA SEMANA AJUSTA PARA 21 DIAS</t>
  </si>
  <si>
    <t>CEASA E LOJÃO NÃO CONTA O DOMINGO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</si>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</sst>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8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11"/>
      <color theme="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1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b/>
      <sz val="8"/>
      <color theme="0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4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164" fontId="17" fillId="4" borderId="1" xfId="0" applyNumberFormat="1" applyFont="1" applyFill="1" applyBorder="1" applyAlignment="1">
      <alignment vertical="center"/>
    </xf>
    <xf numFmtId="0" fontId="18" fillId="0" borderId="0" xfId="0" applyFont="1"/>
    <xf numFmtId="164" fontId="18" fillId="4" borderId="1" xfId="0" applyNumberFormat="1" applyFont="1" applyFill="1" applyBorder="1" applyAlignment="1">
      <alignment vertical="center"/>
    </xf>
    <xf numFmtId="165" fontId="18" fillId="4" borderId="1" xfId="2" applyNumberFormat="1" applyFont="1" applyFill="1" applyBorder="1" applyAlignment="1">
      <alignment horizontal="center" vertical="center"/>
    </xf>
    <xf numFmtId="165" fontId="17" fillId="4" borderId="1" xfId="2" applyNumberFormat="1" applyFont="1" applyFill="1" applyBorder="1" applyAlignment="1">
      <alignment horizontal="center" vertical="center"/>
    </xf>
    <xf numFmtId="43" fontId="17" fillId="4" borderId="1" xfId="1" applyFont="1" applyFill="1" applyBorder="1" applyAlignment="1">
      <alignment vertical="center"/>
    </xf>
    <xf numFmtId="164" fontId="20" fillId="2" borderId="1" xfId="1" applyNumberFormat="1" applyFont="1" applyFill="1" applyBorder="1"/>
    <xf numFmtId="0" fontId="21" fillId="0" borderId="0" xfId="0" applyFont="1"/>
    <xf numFmtId="164" fontId="21" fillId="2" borderId="1" xfId="1" applyNumberFormat="1" applyFont="1" applyFill="1" applyBorder="1"/>
    <xf numFmtId="0" fontId="20" fillId="0" borderId="0" xfId="0" applyFont="1"/>
    <xf numFmtId="164" fontId="20" fillId="2" borderId="2" xfId="1" applyNumberFormat="1" applyFont="1" applyFill="1" applyBorder="1" applyAlignment="1">
      <alignment horizontal="center"/>
    </xf>
    <xf numFmtId="43" fontId="20" fillId="2" borderId="1" xfId="1" applyFont="1" applyFill="1" applyBorder="1"/>
    <xf numFmtId="0" fontId="17" fillId="0" borderId="0" xfId="0" applyFont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4" fontId="23" fillId="3" borderId="1" xfId="0" applyNumberFormat="1" applyFont="1" applyFill="1" applyBorder="1" applyAlignment="1">
      <alignment vertical="center"/>
    </xf>
    <xf numFmtId="165" fontId="18" fillId="3" borderId="1" xfId="2" applyNumberFormat="1" applyFont="1" applyFill="1" applyBorder="1" applyAlignment="1">
      <alignment horizontal="center" vertical="center"/>
    </xf>
    <xf numFmtId="43" fontId="23" fillId="3" borderId="1" xfId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43" fontId="22" fillId="3" borderId="1" xfId="1" applyFont="1" applyFill="1" applyBorder="1" applyAlignment="1">
      <alignment vertical="center"/>
    </xf>
    <xf numFmtId="0" fontId="20" fillId="2" borderId="0" xfId="0" applyFont="1" applyFill="1"/>
    <xf numFmtId="0" fontId="21" fillId="2" borderId="0" xfId="0" applyFont="1" applyFill="1"/>
    <xf numFmtId="0" fontId="21" fillId="2" borderId="0" xfId="0" applyFont="1" applyFill="1" applyAlignment="1">
      <alignment horizontal="center"/>
    </xf>
    <xf numFmtId="43" fontId="21" fillId="2" borderId="0" xfId="1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164" fontId="20" fillId="2" borderId="0" xfId="1" applyNumberFormat="1" applyFont="1" applyFill="1"/>
    <xf numFmtId="165" fontId="20" fillId="2" borderId="0" xfId="2" applyNumberFormat="1" applyFont="1" applyFill="1"/>
    <xf numFmtId="0" fontId="24" fillId="0" borderId="0" xfId="0" applyFont="1"/>
    <xf numFmtId="164" fontId="21" fillId="2" borderId="0" xfId="0" applyNumberFormat="1" applyFont="1" applyFill="1"/>
    <xf numFmtId="0" fontId="25" fillId="0" borderId="0" xfId="0" applyFont="1" applyAlignment="1">
      <alignment vertical="center"/>
    </xf>
    <xf numFmtId="0" fontId="26" fillId="0" borderId="0" xfId="0" applyFont="1"/>
    <xf numFmtId="0" fontId="27" fillId="0" borderId="0" xfId="0" applyFont="1"/>
    <xf numFmtId="164" fontId="20" fillId="2" borderId="0" xfId="0" applyNumberFormat="1" applyFont="1" applyFill="1"/>
    <xf numFmtId="164" fontId="8" fillId="2" borderId="0" xfId="0" applyNumberFormat="1" applyFont="1" applyFill="1"/>
    <xf numFmtId="0" fontId="0" fillId="5" borderId="0" xfId="0" applyFill="1"/>
    <xf numFmtId="0" fontId="15" fillId="0" borderId="0" xfId="0" applyFont="1"/>
    <xf numFmtId="9" fontId="19" fillId="0" borderId="0" xfId="2" applyFont="1" applyFill="1"/>
    <xf numFmtId="0" fontId="19" fillId="0" borderId="0" xfId="0" applyFont="1"/>
    <xf numFmtId="0" fontId="16" fillId="0" borderId="0" xfId="0" applyFont="1" applyAlignment="1">
      <alignment horizontal="center"/>
    </xf>
    <xf numFmtId="0" fontId="28" fillId="0" borderId="0" xfId="0" applyFont="1"/>
    <xf numFmtId="43" fontId="7" fillId="0" borderId="0" xfId="1" applyFont="1" applyFill="1"/>
    <xf numFmtId="43" fontId="8" fillId="0" borderId="0" xfId="1" applyFont="1" applyFill="1"/>
    <xf numFmtId="164" fontId="22" fillId="6" borderId="1" xfId="0" applyNumberFormat="1" applyFont="1" applyFill="1" applyBorder="1" applyAlignment="1">
      <alignment vertical="center"/>
    </xf>
    <xf numFmtId="165" fontId="18" fillId="0" borderId="1" xfId="2" applyNumberFormat="1" applyFont="1" applyFill="1" applyBorder="1" applyAlignment="1">
      <alignment horizontal="center" vertical="center"/>
    </xf>
    <xf numFmtId="165" fontId="17" fillId="0" borderId="1" xfId="2" applyNumberFormat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2" fillId="0" borderId="3" xfId="0" applyNumberFormat="1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164" fontId="23" fillId="0" borderId="3" xfId="0" applyNumberFormat="1" applyFont="1" applyBorder="1" applyAlignment="1">
      <alignment vertical="center"/>
    </xf>
    <xf numFmtId="165" fontId="18" fillId="0" borderId="3" xfId="2" applyNumberFormat="1" applyFont="1" applyFill="1" applyBorder="1" applyAlignment="1">
      <alignment horizontal="center" vertical="center"/>
    </xf>
    <xf numFmtId="43" fontId="23" fillId="0" borderId="3" xfId="1" applyFont="1" applyFill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3" fillId="7" borderId="0" xfId="0" applyFont="1" applyFill="1" applyAlignment="1">
      <alignment horizontal="center" vertical="center"/>
    </xf>
    <xf numFmtId="10" fontId="18" fillId="4" borderId="1" xfId="2" applyNumberFormat="1" applyFont="1" applyFill="1" applyBorder="1" applyAlignment="1">
      <alignment horizontal="center" vertical="center"/>
    </xf>
    <xf numFmtId="10" fontId="18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7" fillId="0" borderId="1" xfId="0" applyNumberFormat="1" applyFont="1" applyBorder="1" applyAlignment="1">
      <alignment vertical="center"/>
    </xf>
    <xf numFmtId="164" fontId="18" fillId="0" borderId="1" xfId="0" applyNumberFormat="1" applyFont="1" applyBorder="1" applyAlignment="1">
      <alignment vertical="center"/>
    </xf>
    <xf numFmtId="164" fontId="29" fillId="0" borderId="1" xfId="0" applyNumberFormat="1" applyFont="1" applyBorder="1" applyAlignment="1">
      <alignment horizontal="center" vertical="center"/>
    </xf>
    <xf numFmtId="0" fontId="17" fillId="0" borderId="0" xfId="0" applyFont="1"/>
    <xf numFmtId="43" fontId="18" fillId="0" borderId="1" xfId="0" applyNumberFormat="1" applyFont="1" applyBorder="1" applyAlignment="1">
      <alignment vertical="center"/>
    </xf>
    <xf numFmtId="43" fontId="29" fillId="0" borderId="1" xfId="0" applyNumberFormat="1" applyFont="1" applyBorder="1" applyAlignment="1">
      <alignment horizontal="center" vertical="center"/>
    </xf>
    <xf numFmtId="164" fontId="30" fillId="0" borderId="1" xfId="1" applyNumberFormat="1" applyFont="1" applyFill="1" applyBorder="1" applyAlignment="1">
      <alignment horizontal="center" vertical="center"/>
    </xf>
    <xf numFmtId="43" fontId="30" fillId="0" borderId="1" xfId="1" applyFont="1" applyFill="1" applyBorder="1" applyAlignment="1">
      <alignment horizontal="center" vertical="center"/>
    </xf>
    <xf numFmtId="165" fontId="17" fillId="0" borderId="0" xfId="0" applyNumberFormat="1" applyFont="1"/>
    <xf numFmtId="165" fontId="20" fillId="0" borderId="0" xfId="0" applyNumberFormat="1" applyFont="1"/>
    <xf numFmtId="164" fontId="22" fillId="6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8" fillId="3" borderId="14" xfId="2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vertical="center"/>
    </xf>
    <xf numFmtId="10" fontId="23" fillId="3" borderId="14" xfId="2" applyNumberFormat="1" applyFont="1" applyFill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43" fontId="23" fillId="3" borderId="14" xfId="1" applyFont="1" applyFill="1" applyBorder="1" applyAlignment="1">
      <alignment vertical="center"/>
    </xf>
    <xf numFmtId="10" fontId="18" fillId="3" borderId="14" xfId="2" applyNumberFormat="1" applyFont="1" applyFill="1" applyBorder="1" applyAlignment="1">
      <alignment horizontal="center" vertical="center"/>
    </xf>
    <xf numFmtId="9" fontId="19" fillId="0" borderId="14" xfId="2" applyFont="1" applyFill="1" applyBorder="1"/>
    <xf numFmtId="165" fontId="23" fillId="3" borderId="14" xfId="2" applyNumberFormat="1" applyFont="1" applyFill="1" applyBorder="1" applyAlignment="1">
      <alignment horizontal="center" vertical="center"/>
    </xf>
    <xf numFmtId="43" fontId="22" fillId="3" borderId="14" xfId="1" applyFont="1" applyFill="1" applyBorder="1" applyAlignment="1">
      <alignment vertical="center"/>
    </xf>
    <xf numFmtId="164" fontId="21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37" fillId="7" borderId="0" xfId="0" applyFont="1" applyFill="1" applyAlignment="1">
      <alignment horizontal="center" vertical="center"/>
    </xf>
    <xf numFmtId="0" fontId="44" fillId="0" borderId="5" xfId="0" applyFont="1" applyBorder="1" applyAlignment="1">
      <alignment horizontal="center"/>
    </xf>
    <xf numFmtId="0" fontId="45" fillId="0" borderId="0" xfId="0" applyFont="1"/>
    <xf numFmtId="10" fontId="21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7" fillId="0" borderId="3" xfId="2" applyNumberFormat="1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/>
    </xf>
    <xf numFmtId="165" fontId="17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6" fillId="2" borderId="0" xfId="0" applyFont="1" applyFill="1"/>
    <xf numFmtId="165" fontId="17" fillId="2" borderId="1" xfId="2" applyNumberFormat="1" applyFont="1" applyFill="1" applyBorder="1" applyAlignment="1">
      <alignment horizontal="center" vertical="center"/>
    </xf>
    <xf numFmtId="0" fontId="46" fillId="0" borderId="0" xfId="0" applyFont="1"/>
    <xf numFmtId="165" fontId="43" fillId="2" borderId="0" xfId="2" applyNumberFormat="1" applyFont="1" applyFill="1" applyAlignment="1">
      <alignment horizontal="center"/>
    </xf>
    <xf numFmtId="165" fontId="17" fillId="2" borderId="0" xfId="2" applyNumberFormat="1" applyFont="1" applyFill="1"/>
    <xf numFmtId="165" fontId="48" fillId="2" borderId="0" xfId="2" applyNumberFormat="1" applyFont="1" applyFill="1"/>
    <xf numFmtId="165" fontId="49" fillId="0" borderId="1" xfId="2" applyNumberFormat="1" applyFont="1" applyFill="1" applyBorder="1" applyAlignment="1">
      <alignment horizontal="center" vertical="center"/>
    </xf>
    <xf numFmtId="165" fontId="49" fillId="0" borderId="3" xfId="2" applyNumberFormat="1" applyFont="1" applyFill="1" applyBorder="1" applyAlignment="1">
      <alignment horizontal="center" vertical="center"/>
    </xf>
    <xf numFmtId="165" fontId="49" fillId="6" borderId="1" xfId="2" applyNumberFormat="1" applyFont="1" applyFill="1" applyBorder="1" applyAlignment="1">
      <alignment horizontal="center" vertical="center"/>
    </xf>
    <xf numFmtId="165" fontId="50" fillId="2" borderId="1" xfId="2" applyNumberFormat="1" applyFont="1" applyFill="1" applyBorder="1" applyAlignment="1">
      <alignment horizontal="center" vertical="center"/>
    </xf>
    <xf numFmtId="165" fontId="50" fillId="4" borderId="1" xfId="2" applyNumberFormat="1" applyFont="1" applyFill="1" applyBorder="1" applyAlignment="1">
      <alignment horizontal="center" vertical="center"/>
    </xf>
    <xf numFmtId="165" fontId="51" fillId="2" borderId="0" xfId="2" applyNumberFormat="1" applyFont="1" applyFill="1" applyAlignment="1">
      <alignment horizontal="center"/>
    </xf>
    <xf numFmtId="165" fontId="50" fillId="6" borderId="14" xfId="2" applyNumberFormat="1" applyFont="1" applyFill="1" applyBorder="1" applyAlignment="1">
      <alignment horizontal="center" vertical="center"/>
    </xf>
    <xf numFmtId="10" fontId="20" fillId="0" borderId="1" xfId="2" applyNumberFormat="1" applyFont="1" applyFill="1" applyBorder="1" applyAlignment="1">
      <alignment horizontal="center"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22" fillId="3" borderId="14" xfId="2" applyNumberFormat="1" applyFont="1" applyFill="1" applyBorder="1" applyAlignment="1">
      <alignment horizontal="center" vertical="center"/>
    </xf>
    <xf numFmtId="1" fontId="13" fillId="5" borderId="0" xfId="0" applyNumberFormat="1" applyFont="1" applyFill="1" applyAlignment="1">
      <alignment horizontal="center" vertical="center"/>
    </xf>
    <xf numFmtId="164" fontId="21" fillId="0" borderId="1" xfId="1" applyNumberFormat="1" applyFont="1" applyFill="1" applyBorder="1"/>
    <xf numFmtId="165" fontId="57" fillId="2" borderId="1" xfId="2" applyNumberFormat="1" applyFont="1" applyFill="1" applyBorder="1" applyAlignment="1">
      <alignment horizontal="center" vertical="center"/>
    </xf>
    <xf numFmtId="0" fontId="31" fillId="9" borderId="0" xfId="0" applyFont="1" applyFill="1"/>
    <xf numFmtId="0" fontId="12" fillId="9" borderId="0" xfId="0" applyFont="1" applyFill="1" applyAlignment="1">
      <alignment horizontal="center"/>
    </xf>
    <xf numFmtId="0" fontId="33" fillId="9" borderId="0" xfId="0" applyFont="1" applyFill="1" applyAlignment="1">
      <alignment vertical="center"/>
    </xf>
    <xf numFmtId="0" fontId="61" fillId="9" borderId="0" xfId="0" applyFont="1" applyFill="1" applyAlignment="1">
      <alignment vertical="center"/>
    </xf>
    <xf numFmtId="0" fontId="40" fillId="9" borderId="6" xfId="0" applyFont="1" applyFill="1" applyBorder="1"/>
    <xf numFmtId="43" fontId="43" fillId="9" borderId="6" xfId="1" applyFont="1" applyFill="1" applyBorder="1" applyAlignment="1">
      <alignment horizontal="center" vertical="center" wrapText="1"/>
    </xf>
    <xf numFmtId="0" fontId="40" fillId="9" borderId="0" xfId="0" applyFont="1" applyFill="1"/>
    <xf numFmtId="43" fontId="50" fillId="9" borderId="6" xfId="1" applyFont="1" applyFill="1" applyBorder="1" applyAlignment="1">
      <alignment horizontal="center" vertical="center" wrapText="1"/>
    </xf>
    <xf numFmtId="43" fontId="59" fillId="9" borderId="6" xfId="1" applyFont="1" applyFill="1" applyBorder="1" applyAlignment="1">
      <alignment horizontal="center" vertical="center" wrapText="1"/>
    </xf>
    <xf numFmtId="43" fontId="43" fillId="9" borderId="7" xfId="1" applyFont="1" applyFill="1" applyBorder="1" applyAlignment="1">
      <alignment horizontal="center" vertical="center" wrapText="1"/>
    </xf>
    <xf numFmtId="0" fontId="55" fillId="9" borderId="0" xfId="0" applyFont="1" applyFill="1"/>
    <xf numFmtId="165" fontId="55" fillId="9" borderId="0" xfId="2" applyNumberFormat="1" applyFont="1" applyFill="1"/>
    <xf numFmtId="0" fontId="56" fillId="9" borderId="0" xfId="0" applyFont="1" applyFill="1"/>
    <xf numFmtId="0" fontId="55" fillId="9" borderId="0" xfId="0" applyFont="1" applyFill="1" applyAlignment="1">
      <alignment horizontal="center"/>
    </xf>
    <xf numFmtId="43" fontId="55" fillId="9" borderId="0" xfId="1" applyFont="1" applyFill="1"/>
    <xf numFmtId="0" fontId="52" fillId="9" borderId="0" xfId="0" applyFont="1" applyFill="1" applyAlignment="1">
      <alignment horizontal="center"/>
    </xf>
    <xf numFmtId="0" fontId="53" fillId="9" borderId="0" xfId="0" applyFont="1" applyFill="1"/>
    <xf numFmtId="43" fontId="40" fillId="9" borderId="0" xfId="1" applyFont="1" applyFill="1"/>
    <xf numFmtId="0" fontId="54" fillId="9" borderId="0" xfId="0" applyFont="1" applyFill="1"/>
    <xf numFmtId="0" fontId="39" fillId="9" borderId="0" xfId="0" applyFont="1" applyFill="1"/>
    <xf numFmtId="43" fontId="62" fillId="9" borderId="6" xfId="1" applyFont="1" applyFill="1" applyBorder="1" applyAlignment="1">
      <alignment horizontal="center" vertical="center" wrapText="1"/>
    </xf>
    <xf numFmtId="0" fontId="61" fillId="9" borderId="0" xfId="0" applyFont="1" applyFill="1"/>
    <xf numFmtId="43" fontId="4" fillId="9" borderId="7" xfId="1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166" fontId="60" fillId="9" borderId="10" xfId="0" applyNumberFormat="1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42" fillId="0" borderId="0" xfId="0" applyFont="1" applyAlignment="1">
      <alignment horizontal="center" vertical="center"/>
    </xf>
    <xf numFmtId="0" fontId="38" fillId="0" borderId="5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" fillId="0" borderId="0" xfId="0" applyFont="1"/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0" fillId="3" borderId="0" xfId="0" applyFill="1"/>
    <xf numFmtId="0" fontId="37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33" fillId="4" borderId="8" xfId="0" applyFont="1" applyFill="1" applyBorder="1" applyAlignment="1">
      <alignment vertical="center"/>
    </xf>
    <xf numFmtId="0" fontId="31" fillId="4" borderId="16" xfId="0" applyFont="1" applyFill="1" applyBorder="1"/>
    <xf numFmtId="0" fontId="32" fillId="4" borderId="16" xfId="0" applyFont="1" applyFill="1" applyBorder="1"/>
    <xf numFmtId="165" fontId="47" fillId="4" borderId="16" xfId="2" applyNumberFormat="1" applyFont="1" applyFill="1" applyBorder="1"/>
    <xf numFmtId="0" fontId="15" fillId="4" borderId="16" xfId="0" applyFont="1" applyFill="1" applyBorder="1" applyAlignment="1">
      <alignment horizontal="center"/>
    </xf>
    <xf numFmtId="0" fontId="15" fillId="4" borderId="16" xfId="0" applyFont="1" applyFill="1" applyBorder="1"/>
    <xf numFmtId="0" fontId="32" fillId="4" borderId="16" xfId="0" applyFont="1" applyFill="1" applyBorder="1" applyAlignment="1">
      <alignment horizontal="center"/>
    </xf>
    <xf numFmtId="43" fontId="32" fillId="4" borderId="16" xfId="1" applyFont="1" applyFill="1" applyBorder="1"/>
    <xf numFmtId="164" fontId="15" fillId="4" borderId="16" xfId="1" applyNumberFormat="1" applyFont="1" applyFill="1" applyBorder="1"/>
    <xf numFmtId="43" fontId="15" fillId="4" borderId="16" xfId="1" applyFont="1" applyFill="1" applyBorder="1"/>
    <xf numFmtId="0" fontId="15" fillId="4" borderId="19" xfId="0" applyFont="1" applyFill="1" applyBorder="1"/>
    <xf numFmtId="0" fontId="32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166" fontId="41" fillId="4" borderId="0" xfId="0" applyNumberFormat="1" applyFont="1" applyFill="1" applyAlignment="1">
      <alignment horizontal="center" vertical="center"/>
    </xf>
    <xf numFmtId="0" fontId="40" fillId="4" borderId="0" xfId="0" applyFont="1" applyFill="1" applyAlignment="1">
      <alignment horizontal="center"/>
    </xf>
    <xf numFmtId="0" fontId="33" fillId="4" borderId="0" xfId="0" applyFont="1" applyFill="1" applyAlignment="1">
      <alignment vertical="center"/>
    </xf>
    <xf numFmtId="0" fontId="61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0" fontId="40" fillId="9" borderId="17" xfId="0" applyFont="1" applyFill="1" applyBorder="1"/>
    <xf numFmtId="0" fontId="46" fillId="9" borderId="17" xfId="0" applyFont="1" applyFill="1" applyBorder="1"/>
    <xf numFmtId="0" fontId="40" fillId="9" borderId="12" xfId="0" applyFont="1" applyFill="1" applyBorder="1"/>
    <xf numFmtId="0" fontId="64" fillId="0" borderId="0" xfId="0" applyFont="1" applyAlignment="1">
      <alignment horizontal="center"/>
    </xf>
    <xf numFmtId="0" fontId="64" fillId="9" borderId="0" xfId="0" applyFont="1" applyFill="1" applyAlignment="1">
      <alignment horizontal="center"/>
    </xf>
    <xf numFmtId="0" fontId="64" fillId="8" borderId="0" xfId="0" applyFont="1" applyFill="1" applyAlignment="1">
      <alignment horizontal="center"/>
    </xf>
    <xf numFmtId="0" fontId="64" fillId="4" borderId="0" xfId="0" applyFont="1" applyFill="1" applyAlignment="1">
      <alignment horizontal="center"/>
    </xf>
    <xf numFmtId="0" fontId="65" fillId="4" borderId="20" xfId="0" applyFont="1" applyFill="1" applyBorder="1" applyAlignment="1">
      <alignment horizontal="center"/>
    </xf>
    <xf numFmtId="0" fontId="64" fillId="3" borderId="0" xfId="0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0" fontId="67" fillId="9" borderId="0" xfId="0" applyFont="1" applyFill="1" applyAlignment="1">
      <alignment horizontal="center"/>
    </xf>
    <xf numFmtId="0" fontId="66" fillId="9" borderId="0" xfId="0" applyFont="1" applyFill="1" applyAlignment="1">
      <alignment horizontal="center"/>
    </xf>
    <xf numFmtId="164" fontId="66" fillId="9" borderId="0" xfId="1" applyNumberFormat="1" applyFont="1" applyFill="1" applyAlignment="1">
      <alignment horizontal="center"/>
    </xf>
    <xf numFmtId="0" fontId="32" fillId="9" borderId="16" xfId="0" applyFont="1" applyFill="1" applyBorder="1" applyAlignment="1">
      <alignment horizontal="center" vertical="center"/>
    </xf>
    <xf numFmtId="0" fontId="32" fillId="9" borderId="17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0" fontId="58" fillId="9" borderId="9" xfId="0" applyFont="1" applyFill="1" applyBorder="1" applyAlignment="1">
      <alignment horizontal="center" vertical="center" wrapText="1"/>
    </xf>
    <xf numFmtId="0" fontId="58" fillId="9" borderId="10" xfId="0" applyFont="1" applyFill="1" applyBorder="1" applyAlignment="1">
      <alignment horizontal="center" vertical="center" wrapText="1"/>
    </xf>
    <xf numFmtId="0" fontId="58" fillId="9" borderId="11" xfId="0" applyFont="1" applyFill="1" applyBorder="1" applyAlignment="1">
      <alignment horizontal="center" vertical="center" wrapText="1"/>
    </xf>
    <xf numFmtId="166" fontId="60" fillId="9" borderId="9" xfId="0" applyNumberFormat="1" applyFont="1" applyFill="1" applyBorder="1" applyAlignment="1">
      <alignment horizontal="center" vertical="center"/>
    </xf>
    <xf numFmtId="166" fontId="60" fillId="9" borderId="10" xfId="0" applyNumberFormat="1" applyFont="1" applyFill="1" applyBorder="1" applyAlignment="1">
      <alignment horizontal="center" vertical="center"/>
    </xf>
    <xf numFmtId="166" fontId="60" fillId="9" borderId="11" xfId="0" applyNumberFormat="1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43" fillId="9" borderId="9" xfId="0" applyFont="1" applyFill="1" applyBorder="1" applyAlignment="1">
      <alignment horizontal="center" vertical="center"/>
    </xf>
    <xf numFmtId="0" fontId="43" fillId="9" borderId="1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textRotation="255"/>
    </xf>
    <xf numFmtId="0" fontId="13" fillId="3" borderId="4" xfId="0" applyFont="1" applyFill="1" applyBorder="1" applyAlignment="1">
      <alignment horizontal="center" vertical="top" textRotation="255"/>
    </xf>
    <xf numFmtId="0" fontId="5" fillId="4" borderId="7" xfId="0" applyFont="1" applyFill="1" applyBorder="1" applyAlignment="1">
      <alignment horizontal="center" vertical="center"/>
    </xf>
    <xf numFmtId="0" fontId="50" fillId="4" borderId="7" xfId="0" applyFont="1" applyFill="1" applyBorder="1" applyAlignment="1">
      <alignment horizontal="center" vertical="center" wrapText="1"/>
    </xf>
    <xf numFmtId="0" fontId="32" fillId="4" borderId="18" xfId="0" applyFont="1" applyFill="1" applyBorder="1" applyAlignment="1">
      <alignment horizontal="center" vertical="center"/>
    </xf>
    <xf numFmtId="0" fontId="32" fillId="4" borderId="16" xfId="0" applyFont="1" applyFill="1" applyBorder="1" applyAlignment="1">
      <alignment horizontal="center" vertical="center"/>
    </xf>
    <xf numFmtId="0" fontId="32" fillId="4" borderId="8" xfId="0" applyFont="1" applyFill="1" applyBorder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3" fillId="4" borderId="7" xfId="0" applyFont="1" applyFill="1" applyBorder="1" applyAlignment="1">
      <alignment horizontal="center" vertical="center"/>
    </xf>
    <xf numFmtId="0" fontId="58" fillId="4" borderId="9" xfId="0" applyFont="1" applyFill="1" applyBorder="1" applyAlignment="1">
      <alignment horizontal="center" vertical="center" wrapText="1"/>
    </xf>
    <xf numFmtId="0" fontId="58" fillId="4" borderId="10" xfId="0" applyFont="1" applyFill="1" applyBorder="1" applyAlignment="1">
      <alignment horizontal="center" vertical="center" wrapText="1"/>
    </xf>
    <xf numFmtId="0" fontId="58" fillId="4" borderId="11" xfId="0" applyFont="1" applyFill="1" applyBorder="1" applyAlignment="1">
      <alignment horizontal="center" vertical="center" wrapText="1"/>
    </xf>
    <xf numFmtId="166" fontId="60" fillId="4" borderId="9" xfId="0" applyNumberFormat="1" applyFont="1" applyFill="1" applyBorder="1" applyAlignment="1">
      <alignment horizontal="center" vertical="center"/>
    </xf>
    <xf numFmtId="166" fontId="60" fillId="4" borderId="10" xfId="0" applyNumberFormat="1" applyFont="1" applyFill="1" applyBorder="1" applyAlignment="1">
      <alignment horizontal="center" vertical="center"/>
    </xf>
    <xf numFmtId="166" fontId="60" fillId="4" borderId="11" xfId="0" applyNumberFormat="1" applyFont="1" applyFill="1" applyBorder="1" applyAlignment="1">
      <alignment horizontal="center" vertical="center"/>
    </xf>
    <xf numFmtId="0" fontId="63" fillId="4" borderId="12" xfId="0" applyFont="1" applyFill="1" applyBorder="1" applyAlignment="1">
      <alignment horizontal="center" vertical="center"/>
    </xf>
    <xf numFmtId="0" fontId="63" fillId="4" borderId="13" xfId="0" applyFont="1" applyFill="1" applyBorder="1" applyAlignment="1">
      <alignment horizontal="center" vertical="center"/>
    </xf>
    <xf numFmtId="0" fontId="63" fillId="4" borderId="7" xfId="0" applyFont="1" applyFill="1" applyBorder="1" applyAlignment="1">
      <alignment horizontal="center" vertical="center" wrapText="1"/>
    </xf>
    <xf numFmtId="0" fontId="43" fillId="4" borderId="12" xfId="0" applyFont="1" applyFill="1" applyBorder="1" applyAlignment="1">
      <alignment horizontal="center" vertical="center"/>
    </xf>
    <xf numFmtId="0" fontId="43" fillId="4" borderId="13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 textRotation="255" wrapText="1"/>
    </xf>
    <xf numFmtId="0" fontId="13" fillId="3" borderId="4" xfId="0" applyFont="1" applyFill="1" applyBorder="1" applyAlignment="1">
      <alignment horizontal="center" vertical="center" textRotation="255"/>
    </xf>
    <xf numFmtId="0" fontId="13" fillId="3" borderId="4" xfId="0" quotePrefix="1" applyFont="1" applyFill="1" applyBorder="1" applyAlignment="1">
      <alignment horizontal="center" vertical="top" textRotation="255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 val="0"/>
        <i val="0"/>
        <color rgb="FFFF66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 val="0"/>
        <i val="0"/>
        <color rgb="FF008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AE12" sqref="AE12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2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2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9" bestFit="1" customWidth="1"/>
    <col min="23" max="23" width="7.83203125" style="19" bestFit="1" customWidth="1"/>
    <col min="24" max="24" width="6.5" style="20" customWidth="1"/>
    <col min="25" max="25" width="6.6640625" style="19" customWidth="1"/>
    <col min="26" max="26" width="0.58203125" style="14" customWidth="1"/>
    <col min="27" max="27" width="7.83203125" style="1" bestFit="1" customWidth="1"/>
    <col min="28" max="28" width="7.6640625" style="1" customWidth="1"/>
    <col min="29" max="29" width="7.1640625" style="1" customWidth="1"/>
    <col min="30" max="30" width="3.1640625" customWidth="1"/>
    <col min="31" max="31" width="5.6640625" customWidth="1"/>
    <col min="32" max="16384" width="9" style="12"/>
  </cols>
  <sheetData>
    <row r="1" spans="1:32" s="1" customFormat="1" ht="14.5" thickBot="1" x14ac:dyDescent="0.35">
      <c r="A1" s="165"/>
      <c r="B1" s="211"/>
      <c r="C1" s="139"/>
      <c r="D1" s="149"/>
      <c r="E1" s="150"/>
      <c r="F1" s="151"/>
      <c r="G1" s="149"/>
      <c r="H1" s="149"/>
      <c r="I1" s="149"/>
      <c r="J1" s="152"/>
      <c r="K1" s="149"/>
      <c r="L1" s="153"/>
      <c r="M1" s="153"/>
      <c r="N1" s="149"/>
      <c r="O1" s="149"/>
      <c r="P1" s="149"/>
      <c r="Q1" s="149"/>
      <c r="R1" s="149"/>
      <c r="S1" s="149"/>
      <c r="T1" s="149"/>
      <c r="U1" s="149"/>
      <c r="V1" s="154"/>
      <c r="W1" s="155"/>
      <c r="X1" s="156"/>
      <c r="Y1" s="145"/>
      <c r="Z1" s="145"/>
      <c r="AA1" s="157"/>
      <c r="AB1" s="157"/>
      <c r="AC1" s="157"/>
      <c r="AD1" s="63"/>
      <c r="AE1" s="136">
        <v>21</v>
      </c>
      <c r="AF1" s="136">
        <v>2</v>
      </c>
    </row>
    <row r="2" spans="1:32" s="2" customFormat="1" ht="33.75" customHeight="1" thickBot="1" x14ac:dyDescent="0.4">
      <c r="A2" s="165"/>
      <c r="B2" s="211"/>
      <c r="C2" s="158"/>
      <c r="D2" s="212" t="s">
        <v>90</v>
      </c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4"/>
      <c r="AD2" s="63"/>
      <c r="AE2" s="84">
        <v>19</v>
      </c>
    </row>
    <row r="3" spans="1:32" s="196" customFormat="1" ht="12.75" customHeight="1" thickBot="1" x14ac:dyDescent="0.3">
      <c r="B3" s="211"/>
      <c r="C3" s="197"/>
      <c r="D3" s="206"/>
      <c r="E3" s="206"/>
      <c r="F3" s="197"/>
      <c r="G3" s="197">
        <v>11</v>
      </c>
      <c r="H3" s="197"/>
      <c r="I3" s="197"/>
      <c r="J3" s="197"/>
      <c r="K3" s="197"/>
      <c r="L3" s="197">
        <v>34</v>
      </c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4"/>
      <c r="X3" s="205"/>
      <c r="Y3" s="204"/>
      <c r="Z3" s="204"/>
      <c r="AA3" s="203"/>
      <c r="AB3" s="203"/>
      <c r="AC3" s="203"/>
      <c r="AD3" s="198"/>
      <c r="AE3" s="198"/>
    </row>
    <row r="4" spans="1:32" s="8" customFormat="1" ht="20.25" customHeight="1" thickBot="1" x14ac:dyDescent="0.35">
      <c r="A4" s="164"/>
      <c r="B4" s="211"/>
      <c r="C4" s="140"/>
      <c r="D4" s="207"/>
      <c r="E4" s="207"/>
      <c r="F4" s="140"/>
      <c r="G4" s="215" t="s">
        <v>35</v>
      </c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163"/>
      <c r="V4" s="216" t="s">
        <v>6</v>
      </c>
      <c r="W4" s="216"/>
      <c r="X4" s="216"/>
      <c r="Y4" s="216"/>
      <c r="Z4" s="216"/>
      <c r="AA4" s="216"/>
      <c r="AB4" s="216"/>
      <c r="AC4" s="217"/>
      <c r="AD4" s="59"/>
      <c r="AE4" s="59">
        <v>1</v>
      </c>
      <c r="AF4" s="202" t="s">
        <v>87</v>
      </c>
    </row>
    <row r="5" spans="1:32" s="58" customFormat="1" ht="25.5" customHeight="1" thickBot="1" x14ac:dyDescent="0.35">
      <c r="A5" s="166"/>
      <c r="B5" s="207"/>
      <c r="C5" s="141"/>
      <c r="D5" s="218" t="s">
        <v>5</v>
      </c>
      <c r="E5" s="219"/>
      <c r="F5" s="142"/>
      <c r="G5" s="218" t="s">
        <v>36</v>
      </c>
      <c r="H5" s="220"/>
      <c r="I5" s="220"/>
      <c r="J5" s="219"/>
      <c r="K5" s="142"/>
      <c r="L5" s="218" t="s">
        <v>51</v>
      </c>
      <c r="M5" s="220"/>
      <c r="N5" s="219"/>
      <c r="O5" s="142"/>
      <c r="P5" s="218" t="s">
        <v>49</v>
      </c>
      <c r="Q5" s="220"/>
      <c r="R5" s="220"/>
      <c r="S5" s="220"/>
      <c r="T5" s="219"/>
      <c r="U5" s="162"/>
      <c r="V5" s="221" t="s">
        <v>36</v>
      </c>
      <c r="W5" s="222"/>
      <c r="X5" s="208" t="s">
        <v>51</v>
      </c>
      <c r="Y5" s="209"/>
      <c r="Z5" s="142"/>
      <c r="AA5" s="208" t="s">
        <v>49</v>
      </c>
      <c r="AB5" s="210"/>
      <c r="AC5" s="209"/>
      <c r="AD5" s="59"/>
      <c r="AE5" s="59" t="s">
        <v>88</v>
      </c>
    </row>
    <row r="6" spans="1:32" s="60" customFormat="1" ht="33" customHeight="1" thickBot="1" x14ac:dyDescent="0.35">
      <c r="A6" s="167"/>
      <c r="B6" s="159" t="s">
        <v>0</v>
      </c>
      <c r="C6" s="160"/>
      <c r="D6" s="144" t="s">
        <v>2</v>
      </c>
      <c r="E6" s="144" t="s">
        <v>13</v>
      </c>
      <c r="F6" s="160"/>
      <c r="G6" s="144" t="s">
        <v>1</v>
      </c>
      <c r="H6" s="147" t="s">
        <v>37</v>
      </c>
      <c r="I6" s="144" t="s">
        <v>2</v>
      </c>
      <c r="J6" s="144" t="s">
        <v>3</v>
      </c>
      <c r="K6" s="160"/>
      <c r="L6" s="144" t="s">
        <v>1</v>
      </c>
      <c r="M6" s="144" t="s">
        <v>2</v>
      </c>
      <c r="N6" s="144" t="s">
        <v>3</v>
      </c>
      <c r="O6" s="160"/>
      <c r="P6" s="144" t="s">
        <v>1</v>
      </c>
      <c r="Q6" s="144" t="s">
        <v>2</v>
      </c>
      <c r="R6" s="144" t="s">
        <v>11</v>
      </c>
      <c r="S6" s="144" t="s">
        <v>47</v>
      </c>
      <c r="T6" s="144" t="s">
        <v>3</v>
      </c>
      <c r="U6" s="144"/>
      <c r="V6" s="144" t="s">
        <v>50</v>
      </c>
      <c r="W6" s="144" t="s">
        <v>2</v>
      </c>
      <c r="X6" s="144" t="s">
        <v>2</v>
      </c>
      <c r="Y6" s="161" t="s">
        <v>3</v>
      </c>
      <c r="Z6" s="160"/>
      <c r="AA6" s="144" t="s">
        <v>1</v>
      </c>
      <c r="AB6" s="144" t="s">
        <v>2</v>
      </c>
      <c r="AC6" s="144" t="s">
        <v>3</v>
      </c>
      <c r="AD6" s="59"/>
      <c r="AE6" s="59"/>
    </row>
    <row r="7" spans="1:32" ht="6" customHeight="1" x14ac:dyDescent="0.3">
      <c r="C7" s="23"/>
      <c r="D7" s="13"/>
      <c r="E7" s="24"/>
      <c r="F7" s="13"/>
      <c r="G7" s="23"/>
      <c r="H7" s="62"/>
      <c r="I7" s="13"/>
      <c r="J7" s="22"/>
      <c r="L7" s="25"/>
      <c r="M7" s="70"/>
      <c r="N7" s="23"/>
      <c r="P7" s="13"/>
      <c r="Q7" s="13"/>
      <c r="R7" s="13"/>
      <c r="S7" s="13"/>
      <c r="T7" s="23"/>
      <c r="U7" s="23"/>
      <c r="X7" s="69"/>
      <c r="AA7" s="13"/>
      <c r="AB7" s="13"/>
      <c r="AC7" s="23"/>
    </row>
    <row r="8" spans="1:32" s="15" customFormat="1" ht="14.25" customHeight="1" x14ac:dyDescent="0.3">
      <c r="A8" s="67" t="s">
        <v>4</v>
      </c>
      <c r="B8" s="110" t="s">
        <v>64</v>
      </c>
      <c r="C8" s="67"/>
      <c r="D8" s="88">
        <v>27936740.439999998</v>
      </c>
      <c r="E8" s="126">
        <v>3.5750239573560667</v>
      </c>
      <c r="F8" s="67"/>
      <c r="G8" s="89">
        <v>7814420.4831177704</v>
      </c>
      <c r="H8" s="89">
        <v>7070189.9609160786</v>
      </c>
      <c r="I8" s="90">
        <v>8067934.7800000049</v>
      </c>
      <c r="J8" s="73">
        <v>1.1411199450933351</v>
      </c>
      <c r="K8" s="91"/>
      <c r="L8" s="92">
        <v>2.9</v>
      </c>
      <c r="M8" s="93">
        <v>-3.9358244589081361</v>
      </c>
      <c r="N8" s="73">
        <v>-1.3571808478993572</v>
      </c>
      <c r="O8" s="91"/>
      <c r="P8" s="89">
        <v>205035.50886656626</v>
      </c>
      <c r="Q8" s="89">
        <v>-317539.75039999653</v>
      </c>
      <c r="R8" s="88">
        <v>15198.8</v>
      </c>
      <c r="S8" s="90">
        <v>-302340.95039999654</v>
      </c>
      <c r="T8" s="73">
        <v>-1.4745784867769176</v>
      </c>
      <c r="U8" s="72"/>
      <c r="V8" s="88">
        <v>372115.26110084623</v>
      </c>
      <c r="W8" s="94">
        <v>302891.18000000005</v>
      </c>
      <c r="X8" s="95">
        <v>-3.1240194580773308</v>
      </c>
      <c r="Y8" s="73">
        <v>-1.0772480889921832</v>
      </c>
      <c r="Z8" s="96"/>
      <c r="AA8" s="90">
        <v>10791.342571924541</v>
      </c>
      <c r="AB8" s="90">
        <v>-9462.3794000000344</v>
      </c>
      <c r="AC8" s="73">
        <v>-0.87684913502959094</v>
      </c>
      <c r="AD8" s="10"/>
      <c r="AE8" s="10"/>
    </row>
    <row r="9" spans="1:32" s="15" customFormat="1" ht="14.25" customHeight="1" x14ac:dyDescent="0.3">
      <c r="A9" s="67" t="s">
        <v>24</v>
      </c>
      <c r="B9" s="87" t="s">
        <v>52</v>
      </c>
      <c r="C9" s="29"/>
      <c r="D9" s="88">
        <v>1299588.32</v>
      </c>
      <c r="E9" s="126">
        <v>0.770099926135136</v>
      </c>
      <c r="F9" s="29"/>
      <c r="G9" s="89">
        <v>1687558.0374642839</v>
      </c>
      <c r="H9" s="89">
        <v>1526838.2243724472</v>
      </c>
      <c r="I9" s="90">
        <v>1643438.4899999986</v>
      </c>
      <c r="J9" s="73">
        <v>1.0763671381593003</v>
      </c>
      <c r="K9" s="91"/>
      <c r="L9" s="92">
        <v>3.55</v>
      </c>
      <c r="M9" s="93">
        <v>-2.8563390163756224</v>
      </c>
      <c r="N9" s="73">
        <v>-0.804602539824119</v>
      </c>
      <c r="O9" s="91"/>
      <c r="P9" s="89">
        <v>54202.756965221874</v>
      </c>
      <c r="Q9" s="89">
        <v>-46942.174800004344</v>
      </c>
      <c r="R9" s="88">
        <v>683</v>
      </c>
      <c r="S9" s="90">
        <v>-46259.174800004344</v>
      </c>
      <c r="T9" s="73">
        <v>-0.8534468980920219</v>
      </c>
      <c r="U9" s="72"/>
      <c r="V9" s="88">
        <v>80359.906545918275</v>
      </c>
      <c r="W9" s="94">
        <v>82103.110000000015</v>
      </c>
      <c r="X9" s="95">
        <v>-4.9769978262699048</v>
      </c>
      <c r="Y9" s="73">
        <v>-1.4019712186675788</v>
      </c>
      <c r="Z9" s="96"/>
      <c r="AA9" s="90">
        <v>2852.7766823800985</v>
      </c>
      <c r="AB9" s="90">
        <v>-4086.2699999999895</v>
      </c>
      <c r="AC9" s="73">
        <v>-1.4323834127075015</v>
      </c>
      <c r="AD9" s="10"/>
      <c r="AE9" s="10"/>
    </row>
    <row r="10" spans="1:32" s="15" customFormat="1" ht="14.25" customHeight="1" x14ac:dyDescent="0.3">
      <c r="A10" s="67" t="s">
        <v>14</v>
      </c>
      <c r="B10" s="87" t="s">
        <v>65</v>
      </c>
      <c r="C10" s="29"/>
      <c r="D10" s="88">
        <v>13355148.730000004</v>
      </c>
      <c r="E10" s="126">
        <v>0.74268323205530862</v>
      </c>
      <c r="F10" s="29"/>
      <c r="G10" s="89">
        <v>17982294.676346522</v>
      </c>
      <c r="H10" s="89">
        <v>16269695.183361139</v>
      </c>
      <c r="I10" s="90">
        <v>16463265.850000836</v>
      </c>
      <c r="J10" s="73">
        <v>1.0118976209731121</v>
      </c>
      <c r="K10" s="91"/>
      <c r="L10" s="92">
        <v>3.7</v>
      </c>
      <c r="M10" s="93">
        <v>0.61494448009578173</v>
      </c>
      <c r="N10" s="73">
        <v>0.16620121083669775</v>
      </c>
      <c r="O10" s="91"/>
      <c r="P10" s="89">
        <v>601978.72178436222</v>
      </c>
      <c r="Q10" s="89">
        <v>101239.94458807401</v>
      </c>
      <c r="R10" s="88">
        <v>0</v>
      </c>
      <c r="S10" s="90">
        <v>101239.94458807401</v>
      </c>
      <c r="T10" s="73">
        <v>0.16817860984850502</v>
      </c>
      <c r="U10" s="72"/>
      <c r="V10" s="88">
        <v>856299.74649269157</v>
      </c>
      <c r="W10" s="94">
        <v>753232.51999999944</v>
      </c>
      <c r="X10" s="95">
        <v>-1.769825352203696</v>
      </c>
      <c r="Y10" s="73">
        <v>-0.47833117627126914</v>
      </c>
      <c r="Z10" s="96"/>
      <c r="AA10" s="90">
        <v>31683.090620229588</v>
      </c>
      <c r="AB10" s="90">
        <v>-13330.900100002764</v>
      </c>
      <c r="AC10" s="73">
        <v>-0.42075756622969768</v>
      </c>
      <c r="AD10" s="10"/>
      <c r="AE10" s="10"/>
    </row>
    <row r="11" spans="1:32" s="15" customFormat="1" ht="14.25" customHeight="1" x14ac:dyDescent="0.3">
      <c r="A11" s="67" t="s">
        <v>18</v>
      </c>
      <c r="B11" s="87" t="s">
        <v>68</v>
      </c>
      <c r="C11" s="29"/>
      <c r="D11" s="88">
        <v>5288472.9799999977</v>
      </c>
      <c r="E11" s="126">
        <v>0.6018680684639206</v>
      </c>
      <c r="F11" s="29"/>
      <c r="G11" s="89">
        <v>8786764.5038839914</v>
      </c>
      <c r="H11" s="89">
        <v>7949929.7892283723</v>
      </c>
      <c r="I11" s="90">
        <v>6905925.1800002018</v>
      </c>
      <c r="J11" s="73">
        <v>0.86867750572555658</v>
      </c>
      <c r="K11" s="91"/>
      <c r="L11" s="92">
        <v>3.7</v>
      </c>
      <c r="M11" s="93">
        <v>-1.4793375331612835</v>
      </c>
      <c r="N11" s="73">
        <v>-0.39982095490845498</v>
      </c>
      <c r="O11" s="91"/>
      <c r="P11" s="89">
        <v>294147.40220144979</v>
      </c>
      <c r="Q11" s="89">
        <v>-102161.94319977891</v>
      </c>
      <c r="R11" s="88">
        <v>0</v>
      </c>
      <c r="S11" s="90">
        <v>-102161.94319977891</v>
      </c>
      <c r="T11" s="73">
        <v>-0.34731546984668688</v>
      </c>
      <c r="U11" s="72"/>
      <c r="V11" s="88">
        <v>418417.35732780909</v>
      </c>
      <c r="W11" s="94">
        <v>289725.75</v>
      </c>
      <c r="X11" s="95">
        <v>-3.4475761992161846</v>
      </c>
      <c r="Y11" s="73">
        <v>-0.93177735113950932</v>
      </c>
      <c r="Z11" s="96"/>
      <c r="AA11" s="90">
        <v>15481.442221128938</v>
      </c>
      <c r="AB11" s="90">
        <v>-9988.5160000005853</v>
      </c>
      <c r="AC11" s="73">
        <v>-0.64519286106098983</v>
      </c>
      <c r="AD11" s="10"/>
      <c r="AE11" s="10"/>
    </row>
    <row r="12" spans="1:32" s="15" customFormat="1" ht="14.25" customHeight="1" x14ac:dyDescent="0.3">
      <c r="A12" s="67" t="s">
        <v>16</v>
      </c>
      <c r="B12" s="87" t="s">
        <v>66</v>
      </c>
      <c r="C12" s="29"/>
      <c r="D12" s="88">
        <v>37124839.080000006</v>
      </c>
      <c r="E12" s="126">
        <v>1.386281019084862</v>
      </c>
      <c r="F12" s="29"/>
      <c r="G12" s="89">
        <v>26780168.356129956</v>
      </c>
      <c r="H12" s="89">
        <v>24229676.131736625</v>
      </c>
      <c r="I12" s="90">
        <v>21489740.260000061</v>
      </c>
      <c r="J12" s="73">
        <v>0.88691818013416501</v>
      </c>
      <c r="K12" s="91"/>
      <c r="L12" s="92">
        <v>2.95</v>
      </c>
      <c r="M12" s="93">
        <v>-5.2438054381581516</v>
      </c>
      <c r="N12" s="73">
        <v>-1.7775611654773393</v>
      </c>
      <c r="O12" s="91"/>
      <c r="P12" s="89">
        <v>714775.44588623045</v>
      </c>
      <c r="Q12" s="89">
        <v>-1126880.1683999449</v>
      </c>
      <c r="R12" s="88">
        <v>1929.1</v>
      </c>
      <c r="S12" s="90">
        <v>-1124951.0683999448</v>
      </c>
      <c r="T12" s="73">
        <v>-1.5738524243864433</v>
      </c>
      <c r="U12" s="72"/>
      <c r="V12" s="88">
        <v>1275246.1121966646</v>
      </c>
      <c r="W12" s="94">
        <v>1033448.4900000008</v>
      </c>
      <c r="X12" s="95">
        <v>-5.5508757383735858</v>
      </c>
      <c r="Y12" s="73">
        <v>-1.8816527926690121</v>
      </c>
      <c r="Z12" s="96"/>
      <c r="AA12" s="90">
        <v>37619.760309801604</v>
      </c>
      <c r="AB12" s="90">
        <v>-57365.441499998218</v>
      </c>
      <c r="AC12" s="73">
        <v>-1.524875252462786</v>
      </c>
      <c r="AD12" s="10"/>
      <c r="AE12" s="10"/>
    </row>
    <row r="13" spans="1:32" s="15" customFormat="1" ht="14.25" customHeight="1" x14ac:dyDescent="0.3">
      <c r="A13" s="67" t="s">
        <v>19</v>
      </c>
      <c r="B13" s="87" t="s">
        <v>67</v>
      </c>
      <c r="C13" s="29"/>
      <c r="D13" s="88">
        <v>2647934.4300000002</v>
      </c>
      <c r="E13" s="126">
        <v>0.99038959324606568</v>
      </c>
      <c r="F13" s="29"/>
      <c r="G13" s="89">
        <v>2673629.0930937841</v>
      </c>
      <c r="H13" s="89">
        <v>2418997.7508943761</v>
      </c>
      <c r="I13" s="90">
        <v>2378910.5699999928</v>
      </c>
      <c r="J13" s="73">
        <v>0.98342818595860138</v>
      </c>
      <c r="K13" s="91"/>
      <c r="L13" s="92">
        <v>4.05</v>
      </c>
      <c r="M13" s="93">
        <v>-4.2457892269572746</v>
      </c>
      <c r="N13" s="73">
        <v>-1.0483430190017962</v>
      </c>
      <c r="O13" s="91"/>
      <c r="P13" s="89">
        <v>97969.408911222214</v>
      </c>
      <c r="Q13" s="89">
        <v>-101003.52870000759</v>
      </c>
      <c r="R13" s="88">
        <v>674.57</v>
      </c>
      <c r="S13" s="90">
        <v>-100328.95870000758</v>
      </c>
      <c r="T13" s="73">
        <v>-1.0240845567510113</v>
      </c>
      <c r="U13" s="72"/>
      <c r="V13" s="88">
        <v>127315.67109970401</v>
      </c>
      <c r="W13" s="94">
        <v>142589.81000000003</v>
      </c>
      <c r="X13" s="95">
        <v>-6.9985550860893007</v>
      </c>
      <c r="Y13" s="73">
        <v>-1.7280382928615559</v>
      </c>
      <c r="Z13" s="97"/>
      <c r="AA13" s="90">
        <v>5156.2846795380119</v>
      </c>
      <c r="AB13" s="90">
        <v>-9979.2264000000723</v>
      </c>
      <c r="AC13" s="73">
        <v>-1.9353521033470522</v>
      </c>
      <c r="AD13" s="10"/>
      <c r="AE13" s="10"/>
    </row>
    <row r="14" spans="1:32" s="15" customFormat="1" ht="14.25" customHeight="1" x14ac:dyDescent="0.3">
      <c r="A14" s="67" t="s">
        <v>20</v>
      </c>
      <c r="B14" s="87" t="s">
        <v>56</v>
      </c>
      <c r="C14" s="29"/>
      <c r="D14" s="88">
        <v>1975916.570000001</v>
      </c>
      <c r="E14" s="126">
        <v>0.99537506729914982</v>
      </c>
      <c r="F14" s="29"/>
      <c r="G14" s="89">
        <v>1985097.5123994737</v>
      </c>
      <c r="H14" s="89">
        <v>1796040.6064566667</v>
      </c>
      <c r="I14" s="90">
        <v>1684419.3399999903</v>
      </c>
      <c r="J14" s="73">
        <v>0.9378514794958398</v>
      </c>
      <c r="K14" s="91"/>
      <c r="L14" s="92">
        <v>4.05</v>
      </c>
      <c r="M14" s="93">
        <v>-0.57060597511352917</v>
      </c>
      <c r="N14" s="73">
        <v>-0.14089036422556275</v>
      </c>
      <c r="O14" s="91"/>
      <c r="P14" s="89">
        <v>72739.644561494992</v>
      </c>
      <c r="Q14" s="89">
        <v>-9611.3974000078179</v>
      </c>
      <c r="R14" s="88">
        <v>2021.6</v>
      </c>
      <c r="S14" s="90">
        <v>-7589.7974000078175</v>
      </c>
      <c r="T14" s="73">
        <v>-0.10434196435468295</v>
      </c>
      <c r="U14" s="72"/>
      <c r="V14" s="88">
        <v>94528.452971403516</v>
      </c>
      <c r="W14" s="94">
        <v>71463.760000000068</v>
      </c>
      <c r="X14" s="95">
        <v>-1.6659772729560758</v>
      </c>
      <c r="Y14" s="73">
        <v>-0.4113524130755743</v>
      </c>
      <c r="Z14" s="96"/>
      <c r="AA14" s="90">
        <v>3828.4023453418422</v>
      </c>
      <c r="AB14" s="90">
        <v>-1190.569999999876</v>
      </c>
      <c r="AC14" s="73">
        <v>-0.31098351024899101</v>
      </c>
      <c r="AD14" s="10"/>
      <c r="AE14" s="10"/>
    </row>
    <row r="15" spans="1:32" s="15" customFormat="1" ht="14.25" customHeight="1" x14ac:dyDescent="0.3">
      <c r="A15" s="67" t="s">
        <v>17</v>
      </c>
      <c r="B15" s="87" t="s">
        <v>76</v>
      </c>
      <c r="C15" s="29"/>
      <c r="D15" s="88">
        <v>11336930.34</v>
      </c>
      <c r="E15" s="126">
        <v>0.70914159115645881</v>
      </c>
      <c r="F15" s="29"/>
      <c r="G15" s="89">
        <v>15986836.030181058</v>
      </c>
      <c r="H15" s="89">
        <v>14464280.217782862</v>
      </c>
      <c r="I15" s="90">
        <v>17994371.670000274</v>
      </c>
      <c r="J15" s="73">
        <v>1.2440557980809444</v>
      </c>
      <c r="K15" s="91"/>
      <c r="L15" s="92">
        <v>2.9</v>
      </c>
      <c r="M15" s="93">
        <v>-8.0164436144476685</v>
      </c>
      <c r="N15" s="73">
        <v>-2.7642909015336787</v>
      </c>
      <c r="O15" s="91"/>
      <c r="P15" s="89">
        <v>419464.12631570303</v>
      </c>
      <c r="Q15" s="89">
        <v>-1442508.6586997171</v>
      </c>
      <c r="R15" s="88">
        <v>0</v>
      </c>
      <c r="S15" s="90">
        <v>-1442508.6586997171</v>
      </c>
      <c r="T15" s="73">
        <v>-3.4389321236353734</v>
      </c>
      <c r="U15" s="72"/>
      <c r="V15" s="88">
        <v>761277.90619909798</v>
      </c>
      <c r="W15" s="94">
        <v>1071637.0399999996</v>
      </c>
      <c r="X15" s="95">
        <v>-19.56401867184443</v>
      </c>
      <c r="Y15" s="73">
        <v>-6.7462133351187692</v>
      </c>
      <c r="Z15" s="96"/>
      <c r="AA15" s="90">
        <v>22077.059279773839</v>
      </c>
      <c r="AB15" s="90">
        <v>-209655.27060000089</v>
      </c>
      <c r="AC15" s="73">
        <v>-9.496521612916041</v>
      </c>
      <c r="AD15" s="10"/>
      <c r="AE15" s="10"/>
    </row>
    <row r="16" spans="1:32" s="15" customFormat="1" x14ac:dyDescent="0.3">
      <c r="A16" s="67" t="s">
        <v>22</v>
      </c>
      <c r="B16" s="87" t="s">
        <v>55</v>
      </c>
      <c r="C16" s="29"/>
      <c r="D16" s="88">
        <v>13768696.040000005</v>
      </c>
      <c r="E16" s="126">
        <v>0.74942971290929727</v>
      </c>
      <c r="F16" s="29"/>
      <c r="G16" s="89">
        <v>18372231.315128569</v>
      </c>
      <c r="H16" s="89">
        <v>16622494.999402037</v>
      </c>
      <c r="I16" s="90">
        <v>15545029.030000418</v>
      </c>
      <c r="J16" s="73">
        <v>0.9351802500502856</v>
      </c>
      <c r="K16" s="91"/>
      <c r="L16" s="92">
        <v>2.5499999999999998</v>
      </c>
      <c r="M16" s="93">
        <v>-4.5696367129885473</v>
      </c>
      <c r="N16" s="73">
        <v>-1.7920143972504108</v>
      </c>
      <c r="O16" s="91"/>
      <c r="P16" s="89">
        <v>423873.62248475192</v>
      </c>
      <c r="Q16" s="89">
        <v>-710351.35359962657</v>
      </c>
      <c r="R16" s="88">
        <v>1109.24</v>
      </c>
      <c r="S16" s="90">
        <v>-709242.11359962658</v>
      </c>
      <c r="T16" s="73">
        <v>-1.6732395600416023</v>
      </c>
      <c r="U16" s="72"/>
      <c r="V16" s="88">
        <v>874868.15786326514</v>
      </c>
      <c r="W16" s="94">
        <v>879143.61000000045</v>
      </c>
      <c r="X16" s="95">
        <v>-8.1912826506239487</v>
      </c>
      <c r="Y16" s="73">
        <v>-3.2122677061270388</v>
      </c>
      <c r="Z16" s="96"/>
      <c r="AA16" s="90">
        <v>22309.138025513257</v>
      </c>
      <c r="AB16" s="90">
        <v>-72013.137999999104</v>
      </c>
      <c r="AC16" s="73">
        <v>-3.2279659535766543</v>
      </c>
      <c r="AD16" s="10"/>
      <c r="AE16" s="10"/>
    </row>
    <row r="17" spans="1:31" s="15" customFormat="1" x14ac:dyDescent="0.3">
      <c r="A17" s="67" t="s">
        <v>72</v>
      </c>
      <c r="B17" s="87" t="s">
        <v>81</v>
      </c>
      <c r="C17" s="29"/>
      <c r="D17" s="88">
        <v>175.09</v>
      </c>
      <c r="E17" s="126"/>
      <c r="F17" s="29"/>
      <c r="G17" s="89"/>
      <c r="H17" s="89"/>
      <c r="I17" s="90">
        <v>0</v>
      </c>
      <c r="J17" s="73" t="s">
        <v>73</v>
      </c>
      <c r="K17" s="91"/>
      <c r="L17" s="92"/>
      <c r="M17" s="93">
        <v>0</v>
      </c>
      <c r="N17" s="73" t="s">
        <v>73</v>
      </c>
      <c r="O17" s="91"/>
      <c r="P17" s="89">
        <v>0</v>
      </c>
      <c r="Q17" s="89">
        <v>0</v>
      </c>
      <c r="R17" s="88">
        <v>0</v>
      </c>
      <c r="S17" s="90">
        <v>0</v>
      </c>
      <c r="T17" s="73" t="s">
        <v>73</v>
      </c>
      <c r="U17" s="72"/>
      <c r="V17" s="88">
        <v>0</v>
      </c>
      <c r="W17" s="94">
        <v>0</v>
      </c>
      <c r="X17" s="95">
        <v>0</v>
      </c>
      <c r="Y17" s="73">
        <v>0</v>
      </c>
      <c r="Z17" s="96"/>
      <c r="AA17" s="90">
        <v>0</v>
      </c>
      <c r="AB17" s="90">
        <v>0</v>
      </c>
      <c r="AC17" s="73" t="s">
        <v>73</v>
      </c>
      <c r="AD17" s="10"/>
      <c r="AE17" s="10"/>
    </row>
    <row r="18" spans="1:31" s="15" customFormat="1" x14ac:dyDescent="0.3">
      <c r="A18" s="67" t="s">
        <v>63</v>
      </c>
      <c r="B18" s="87" t="s">
        <v>77</v>
      </c>
      <c r="C18" s="29"/>
      <c r="D18" s="88">
        <v>3114.67</v>
      </c>
      <c r="E18" s="126"/>
      <c r="F18" s="29"/>
      <c r="G18" s="89"/>
      <c r="H18" s="89"/>
      <c r="I18" s="90">
        <v>3621.37</v>
      </c>
      <c r="J18" s="73" t="s">
        <v>73</v>
      </c>
      <c r="K18" s="91"/>
      <c r="L18" s="92"/>
      <c r="M18" s="93">
        <v>1.8468148794517021</v>
      </c>
      <c r="N18" s="73" t="s">
        <v>73</v>
      </c>
      <c r="O18" s="91"/>
      <c r="P18" s="89">
        <v>0</v>
      </c>
      <c r="Q18" s="89">
        <v>66.880000000000095</v>
      </c>
      <c r="R18" s="88">
        <v>0</v>
      </c>
      <c r="S18" s="90">
        <v>66.880000000000095</v>
      </c>
      <c r="T18" s="73" t="s">
        <v>73</v>
      </c>
      <c r="U18" s="72"/>
      <c r="V18" s="88">
        <v>0</v>
      </c>
      <c r="W18" s="94">
        <v>0</v>
      </c>
      <c r="X18" s="95">
        <v>0</v>
      </c>
      <c r="Y18" s="73">
        <v>0</v>
      </c>
      <c r="Z18" s="96"/>
      <c r="AA18" s="90">
        <v>0</v>
      </c>
      <c r="AB18" s="90">
        <v>0</v>
      </c>
      <c r="AC18" s="73" t="s">
        <v>73</v>
      </c>
      <c r="AD18" s="10"/>
      <c r="AE18" s="10"/>
    </row>
    <row r="19" spans="1:31" s="15" customFormat="1" ht="14" hidden="1" customHeight="1" x14ac:dyDescent="0.3">
      <c r="A19" s="67"/>
      <c r="B19" s="87"/>
      <c r="C19" s="29"/>
      <c r="D19" s="88"/>
      <c r="E19" s="126"/>
      <c r="F19" s="29"/>
      <c r="G19" s="89"/>
      <c r="H19" s="89"/>
      <c r="I19" s="90"/>
      <c r="J19" s="73"/>
      <c r="K19" s="91"/>
      <c r="L19" s="92"/>
      <c r="M19" s="93"/>
      <c r="N19" s="73"/>
      <c r="O19" s="91"/>
      <c r="P19" s="89"/>
      <c r="Q19" s="89"/>
      <c r="R19" s="88"/>
      <c r="S19" s="90"/>
      <c r="T19" s="73"/>
      <c r="U19" s="72"/>
      <c r="V19" s="88"/>
      <c r="W19" s="94"/>
      <c r="X19" s="95"/>
      <c r="Y19" s="73"/>
      <c r="Z19" s="91"/>
      <c r="AA19" s="90"/>
      <c r="AB19" s="90"/>
      <c r="AC19" s="73"/>
      <c r="AD19" s="10"/>
      <c r="AE19" s="10"/>
    </row>
    <row r="20" spans="1:31" s="15" customFormat="1" ht="14" hidden="1" customHeight="1" x14ac:dyDescent="0.3">
      <c r="A20" s="67"/>
      <c r="B20" s="87"/>
      <c r="C20" s="29"/>
      <c r="D20" s="88"/>
      <c r="E20" s="126"/>
      <c r="F20" s="29"/>
      <c r="G20" s="89"/>
      <c r="H20" s="89"/>
      <c r="I20" s="90"/>
      <c r="J20" s="73"/>
      <c r="K20" s="91"/>
      <c r="L20" s="92"/>
      <c r="M20" s="93"/>
      <c r="N20" s="73"/>
      <c r="O20" s="91"/>
      <c r="P20" s="89"/>
      <c r="Q20" s="89"/>
      <c r="R20" s="88"/>
      <c r="S20" s="90"/>
      <c r="T20" s="73"/>
      <c r="U20" s="72"/>
      <c r="V20" s="88"/>
      <c r="W20" s="94"/>
      <c r="X20" s="95"/>
      <c r="Y20" s="73"/>
      <c r="Z20" s="91"/>
      <c r="AA20" s="90"/>
      <c r="AB20" s="90"/>
      <c r="AC20" s="73"/>
      <c r="AD20" s="10"/>
      <c r="AE20" s="10"/>
    </row>
    <row r="21" spans="1:31" s="83" customFormat="1" ht="14" hidden="1" customHeight="1" x14ac:dyDescent="0.3">
      <c r="A21" s="74"/>
      <c r="B21" s="75"/>
      <c r="C21" s="77"/>
      <c r="D21" s="76"/>
      <c r="E21" s="127"/>
      <c r="F21" s="77"/>
      <c r="G21" s="78"/>
      <c r="H21" s="78"/>
      <c r="I21" s="78"/>
      <c r="J21" s="116"/>
      <c r="K21" s="81"/>
      <c r="L21" s="80"/>
      <c r="M21" s="80"/>
      <c r="N21" s="116"/>
      <c r="O21" s="81"/>
      <c r="P21" s="78"/>
      <c r="Q21" s="78"/>
      <c r="R21" s="76"/>
      <c r="S21" s="78"/>
      <c r="T21" s="116"/>
      <c r="U21" s="79"/>
      <c r="V21" s="76"/>
      <c r="W21" s="79"/>
      <c r="X21" s="79"/>
      <c r="Y21" s="79"/>
      <c r="Z21" s="81"/>
      <c r="AA21" s="78"/>
      <c r="AB21" s="78"/>
      <c r="AC21" s="116"/>
      <c r="AD21" s="82"/>
      <c r="AE21" s="82"/>
    </row>
    <row r="22" spans="1:31" s="15" customFormat="1" x14ac:dyDescent="0.3">
      <c r="A22" s="27"/>
      <c r="B22" s="26" t="s">
        <v>53</v>
      </c>
      <c r="C22" s="29"/>
      <c r="D22" s="71">
        <v>114737556.69000004</v>
      </c>
      <c r="E22" s="128">
        <v>1.1241175742026794</v>
      </c>
      <c r="F22" s="29"/>
      <c r="G22" s="42">
        <v>102069000.00774541</v>
      </c>
      <c r="H22" s="42">
        <v>92348142.864150599</v>
      </c>
      <c r="I22" s="42">
        <v>92176656.54000178</v>
      </c>
      <c r="J22" s="45">
        <v>0.99814304523263575</v>
      </c>
      <c r="K22" s="46"/>
      <c r="L22" s="44">
        <v>3.1231669078822795</v>
      </c>
      <c r="M22" s="44">
        <v>-4.0744503994687165</v>
      </c>
      <c r="N22" s="45">
        <v>-1.3045893862366365</v>
      </c>
      <c r="O22" s="46"/>
      <c r="P22" s="42">
        <v>2884186.6379770027</v>
      </c>
      <c r="Q22" s="42">
        <v>-3755692.1506110099</v>
      </c>
      <c r="R22" s="41">
        <v>21616.309999999998</v>
      </c>
      <c r="S22" s="42">
        <v>-3734075.8406110099</v>
      </c>
      <c r="T22" s="45">
        <v>-1.2946720546594475</v>
      </c>
      <c r="U22" s="43"/>
      <c r="V22" s="41">
        <v>4860428.5717974007</v>
      </c>
      <c r="W22" s="41">
        <v>4626235.2700000005</v>
      </c>
      <c r="X22" s="47">
        <v>-8.3668834248458239</v>
      </c>
      <c r="Y22" s="45">
        <v>-2.6789741540003518</v>
      </c>
      <c r="Z22" s="46"/>
      <c r="AA22" s="42">
        <v>151799.29673563174</v>
      </c>
      <c r="AB22" s="42">
        <v>-387071.71200000151</v>
      </c>
      <c r="AC22" s="45">
        <v>-2.5498913389178073</v>
      </c>
      <c r="AD22" s="10"/>
      <c r="AE22" s="10"/>
    </row>
    <row r="23" spans="1:31" ht="14.5" x14ac:dyDescent="0.35">
      <c r="C23" s="56"/>
      <c r="D23" s="61"/>
      <c r="E23" s="55"/>
      <c r="F23" s="56"/>
      <c r="G23" s="109"/>
      <c r="H23" s="49"/>
      <c r="I23" s="49"/>
      <c r="J23" s="50"/>
      <c r="K23" s="35"/>
      <c r="L23" s="51"/>
      <c r="M23" s="51"/>
      <c r="N23" s="49"/>
      <c r="O23" s="35"/>
      <c r="P23" s="49"/>
      <c r="Q23" s="49"/>
      <c r="R23" s="49"/>
      <c r="S23" s="49"/>
      <c r="T23" s="49"/>
      <c r="U23" s="49"/>
      <c r="V23" s="48"/>
      <c r="W23" s="48"/>
      <c r="X23" s="53"/>
      <c r="Y23" s="48"/>
      <c r="Z23" s="37"/>
      <c r="AA23" s="49"/>
      <c r="AB23" s="49"/>
      <c r="AC23" s="49"/>
    </row>
    <row r="24" spans="1:31" ht="14.5" x14ac:dyDescent="0.35">
      <c r="C24" s="56"/>
      <c r="D24" s="61"/>
      <c r="E24" s="55"/>
      <c r="F24" s="56"/>
      <c r="G24" s="57"/>
      <c r="H24" s="49"/>
      <c r="I24" s="57"/>
      <c r="J24" s="50"/>
      <c r="K24" s="35"/>
      <c r="L24" s="51"/>
      <c r="M24" s="51"/>
      <c r="N24" s="49"/>
      <c r="O24" s="35"/>
      <c r="P24" s="57"/>
      <c r="Q24" s="57"/>
      <c r="R24" s="57"/>
      <c r="S24" s="57"/>
      <c r="T24" s="49"/>
      <c r="U24" s="49"/>
      <c r="V24" s="48"/>
      <c r="W24" s="61"/>
      <c r="X24" s="53"/>
      <c r="Y24" s="48"/>
      <c r="Z24" s="37"/>
      <c r="AA24" s="57"/>
      <c r="AB24" s="57"/>
      <c r="AC24" s="49"/>
      <c r="AD24" s="12"/>
    </row>
    <row r="25" spans="1:31" ht="14.5" x14ac:dyDescent="0.35">
      <c r="A25" s="68"/>
      <c r="B25" s="12"/>
      <c r="C25" s="56"/>
      <c r="D25" s="61"/>
      <c r="E25" s="55"/>
      <c r="F25" s="56"/>
      <c r="G25" s="57"/>
      <c r="H25" s="49"/>
      <c r="I25" s="49"/>
      <c r="J25" s="50"/>
      <c r="K25" s="35"/>
      <c r="L25" s="51"/>
      <c r="M25" s="51"/>
      <c r="N25" s="49"/>
      <c r="O25" s="35"/>
      <c r="P25" s="49"/>
      <c r="Q25" s="49"/>
      <c r="R25" s="49"/>
      <c r="S25" s="49"/>
      <c r="T25" s="49"/>
      <c r="U25" s="49"/>
      <c r="V25" s="48"/>
      <c r="W25" s="48"/>
      <c r="X25" s="53"/>
      <c r="Y25" s="48"/>
      <c r="Z25" s="37"/>
      <c r="AA25" s="49"/>
      <c r="AB25" s="49"/>
      <c r="AC25" s="49"/>
      <c r="AE25" s="12"/>
    </row>
    <row r="26" spans="1:31" x14ac:dyDescent="0.3">
      <c r="A26" s="68"/>
      <c r="B26" s="12"/>
      <c r="AD26" s="12"/>
      <c r="AE26" s="12"/>
    </row>
    <row r="27" spans="1:31" x14ac:dyDescent="0.3">
      <c r="A27" s="68"/>
      <c r="B27" s="12"/>
      <c r="AD27" s="12"/>
      <c r="AE27" s="12"/>
    </row>
    <row r="28" spans="1:31" x14ac:dyDescent="0.3">
      <c r="A28" s="68"/>
      <c r="B28" s="12"/>
      <c r="AD28" s="12"/>
      <c r="AE28" s="12"/>
    </row>
    <row r="29" spans="1:31" x14ac:dyDescent="0.3">
      <c r="I29" s="115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7" operator="between">
      <formula>0.1</formula>
      <formula>0.79</formula>
    </cfRule>
    <cfRule type="cellIs" dxfId="182" priority="686" operator="between">
      <formula>0.71</formula>
      <formula>0.9</formula>
    </cfRule>
    <cfRule type="cellIs" dxfId="181" priority="685" operator="greaterThanOrEqual">
      <formula>0.91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8" operator="between">
      <formula>0.0001</formula>
      <formula>0.79</formula>
    </cfRule>
    <cfRule type="cellIs" dxfId="176" priority="377" operator="between">
      <formula>0.79</formula>
      <formula>0.9</formula>
    </cfRule>
    <cfRule type="cellIs" dxfId="175" priority="376" operator="greaterThanOrEqual">
      <formula>0.9</formula>
    </cfRule>
    <cfRule type="cellIs" dxfId="174" priority="374" operator="between">
      <formula>0.71</formula>
      <formula>0.9</formula>
    </cfRule>
    <cfRule type="cellIs" dxfId="173" priority="375" operator="between">
      <formula>0.1</formula>
      <formula>0.79</formula>
    </cfRule>
    <cfRule type="cellIs" dxfId="172" priority="373" operator="greaterThanOrEqual">
      <formula>0.91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9" operator="between">
      <formula>0.9001</formula>
      <formula>0.9999</formula>
    </cfRule>
    <cfRule type="cellIs" dxfId="164" priority="688" operator="greaterThanOrEqual">
      <formula>1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7" operator="lessThan">
      <formula>0.9</formula>
    </cfRule>
    <cfRule type="cellIs" dxfId="156" priority="695" operator="greaterThanOrEqual">
      <formula>1</formula>
    </cfRule>
    <cfRule type="cellIs" dxfId="155" priority="696" operator="between">
      <formula>0.9001</formula>
      <formula>0.9999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84" operator="between">
      <formula>0.86</formula>
      <formula>0.9999</formula>
    </cfRule>
    <cfRule type="cellIs" dxfId="148" priority="83" operator="lessThanOrEqual">
      <formula>0.86</formula>
    </cfRule>
    <cfRule type="cellIs" dxfId="147" priority="79" operator="greaterThanOrEqual">
      <formula>1</formula>
    </cfRule>
  </conditionalFormatting>
  <conditionalFormatting sqref="T22:U22">
    <cfRule type="cellIs" dxfId="146" priority="78" operator="between">
      <formula>0.86</formula>
      <formula>0.9999</formula>
    </cfRule>
    <cfRule type="cellIs" dxfId="145" priority="77" operator="lessThanOrEqual">
      <formula>0.86</formula>
    </cfRule>
    <cfRule type="cellIs" dxfId="144" priority="76" operator="greaterThanOrEqual">
      <formula>1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2" operator="between">
      <formula>0.86</formula>
      <formula>0.9999</formula>
    </cfRule>
    <cfRule type="cellIs" dxfId="138" priority="11" operator="lessThanOrEqual">
      <formula>0.86</formula>
    </cfRule>
  </conditionalFormatting>
  <conditionalFormatting sqref="AC22">
    <cfRule type="cellIs" dxfId="137" priority="51" operator="between">
      <formula>0.86</formula>
      <formula>0.9999</formula>
    </cfRule>
    <cfRule type="cellIs" dxfId="136" priority="50" operator="lessThanOrEqual">
      <formula>0.86</formula>
    </cfRule>
    <cfRule type="cellIs" dxfId="135" priority="49" operator="greaterThanOrEqual">
      <formula>1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K14" sqref="K14"/>
    </sheetView>
  </sheetViews>
  <sheetFormatPr defaultColWidth="9" defaultRowHeight="14" x14ac:dyDescent="0.3"/>
  <cols>
    <col min="1" max="1" width="10.08203125" style="7" hidden="1" customWidth="1"/>
    <col min="2" max="2" width="7.1640625" style="18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25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9" customWidth="1"/>
    <col min="12" max="12" width="0.6640625" style="12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9" bestFit="1" customWidth="1"/>
    <col min="18" max="18" width="0.6640625" style="12" customWidth="1"/>
    <col min="19" max="19" width="9.9140625" style="3" customWidth="1"/>
    <col min="20" max="20" width="8.33203125" style="3" customWidth="1"/>
    <col min="21" max="21" width="0.6640625" style="12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2" customWidth="1"/>
    <col min="26" max="26" width="2.08203125" style="64" customWidth="1"/>
    <col min="27" max="27" width="7.08203125" style="19" bestFit="1" customWidth="1"/>
    <col min="28" max="28" width="8.5" style="19" customWidth="1"/>
    <col min="29" max="29" width="0.58203125" style="14" customWidth="1"/>
    <col min="30" max="31" width="7.83203125" style="1" bestFit="1" customWidth="1"/>
    <col min="32" max="32" width="8.5" style="19" bestFit="1" customWidth="1"/>
    <col min="33" max="33" width="0.58203125" style="14" customWidth="1"/>
    <col min="34" max="34" width="7.58203125" style="1" customWidth="1"/>
    <col min="35" max="35" width="9.1640625" style="1" customWidth="1"/>
    <col min="36" max="36" width="9.1640625" style="19" customWidth="1"/>
    <col min="37" max="37" width="0.58203125" style="14" customWidth="1"/>
    <col min="38" max="38" width="8.83203125" style="3" bestFit="1" customWidth="1"/>
    <col min="39" max="39" width="8.5" style="21" customWidth="1"/>
    <col min="40" max="40" width="0.58203125" style="14" customWidth="1"/>
    <col min="41" max="41" width="9.4140625" style="20" customWidth="1"/>
    <col min="42" max="42" width="6.6640625" style="19" hidden="1" customWidth="1"/>
    <col min="43" max="43" width="3.1640625" customWidth="1"/>
    <col min="44" max="46" width="5.6640625" customWidth="1"/>
    <col min="47" max="47" width="6.33203125" bestFit="1" customWidth="1"/>
    <col min="48" max="49" width="8.6640625" customWidth="1"/>
    <col min="50" max="16384" width="9" style="12"/>
  </cols>
  <sheetData>
    <row r="1" spans="1:49" ht="14.5" thickBot="1" x14ac:dyDescent="0.35">
      <c r="A1" s="168"/>
      <c r="B1" s="227"/>
      <c r="C1" s="228"/>
      <c r="D1" s="176"/>
      <c r="E1" s="177"/>
      <c r="F1" s="178"/>
      <c r="G1" s="176"/>
      <c r="H1" s="177"/>
      <c r="I1" s="177"/>
      <c r="J1" s="177"/>
      <c r="K1" s="179"/>
      <c r="L1" s="177"/>
      <c r="M1" s="177"/>
      <c r="N1" s="177"/>
      <c r="O1" s="177"/>
      <c r="P1" s="177"/>
      <c r="Q1" s="180"/>
      <c r="R1" s="177"/>
      <c r="S1" s="181"/>
      <c r="T1" s="181"/>
      <c r="U1" s="177"/>
      <c r="V1" s="182"/>
      <c r="W1" s="182"/>
      <c r="X1" s="177"/>
      <c r="Y1" s="177"/>
      <c r="Z1" s="180"/>
      <c r="AA1" s="180"/>
      <c r="AB1" s="180"/>
      <c r="AC1" s="180"/>
      <c r="AD1" s="177"/>
      <c r="AE1" s="177"/>
      <c r="AF1" s="180"/>
      <c r="AG1" s="180"/>
      <c r="AH1" s="177"/>
      <c r="AI1" s="177"/>
      <c r="AJ1" s="180"/>
      <c r="AK1" s="180"/>
      <c r="AL1" s="181"/>
      <c r="AM1" s="183"/>
      <c r="AN1" s="180"/>
      <c r="AO1" s="184"/>
      <c r="AP1" s="185"/>
      <c r="AQ1" s="172"/>
      <c r="AR1" s="173">
        <v>26</v>
      </c>
      <c r="AS1" s="173">
        <v>30</v>
      </c>
      <c r="AT1" s="173">
        <v>30</v>
      </c>
      <c r="AU1" s="173">
        <v>26</v>
      </c>
    </row>
    <row r="2" spans="1:49" s="169" customFormat="1" ht="30.65" customHeight="1" thickBot="1" x14ac:dyDescent="0.4">
      <c r="A2" s="168"/>
      <c r="B2" s="229"/>
      <c r="C2" s="230"/>
      <c r="D2" s="186"/>
      <c r="E2" s="233" t="s">
        <v>91</v>
      </c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5"/>
      <c r="AQ2" s="172"/>
      <c r="AR2" s="111">
        <v>23</v>
      </c>
      <c r="AS2" s="111">
        <v>27</v>
      </c>
      <c r="AT2" s="111">
        <v>27</v>
      </c>
      <c r="AU2" s="111">
        <v>23</v>
      </c>
      <c r="AV2"/>
      <c r="AW2"/>
    </row>
    <row r="3" spans="1:49" s="196" customFormat="1" ht="12" thickBot="1" x14ac:dyDescent="0.3">
      <c r="B3" s="229"/>
      <c r="C3" s="230"/>
      <c r="D3" s="199"/>
      <c r="E3" s="244"/>
      <c r="F3" s="244"/>
      <c r="G3" s="199"/>
      <c r="H3" s="199">
        <v>11</v>
      </c>
      <c r="I3" s="199"/>
      <c r="J3" s="199">
        <v>3</v>
      </c>
      <c r="K3" s="199"/>
      <c r="L3" s="199"/>
      <c r="M3" s="199">
        <v>72</v>
      </c>
      <c r="N3" s="199"/>
      <c r="O3" s="199"/>
      <c r="P3" s="199">
        <v>6</v>
      </c>
      <c r="Q3" s="199"/>
      <c r="R3" s="199"/>
      <c r="S3" s="199"/>
      <c r="T3" s="199"/>
      <c r="U3" s="199"/>
      <c r="V3" s="199">
        <v>30</v>
      </c>
      <c r="W3" s="199">
        <v>5</v>
      </c>
      <c r="X3" s="199"/>
      <c r="Y3" s="199"/>
      <c r="Z3" s="199"/>
      <c r="AA3" s="199">
        <v>9</v>
      </c>
      <c r="AB3" s="199">
        <v>8</v>
      </c>
      <c r="AC3" s="199"/>
      <c r="AD3" s="199">
        <v>6</v>
      </c>
      <c r="AE3" s="199">
        <v>11</v>
      </c>
      <c r="AF3" s="199"/>
      <c r="AG3" s="199"/>
      <c r="AH3" s="199">
        <v>6</v>
      </c>
      <c r="AI3" s="199">
        <v>6</v>
      </c>
      <c r="AJ3" s="199">
        <v>6</v>
      </c>
      <c r="AK3" s="199"/>
      <c r="AL3" s="199"/>
      <c r="AM3" s="199"/>
      <c r="AN3" s="199"/>
      <c r="AO3" s="199">
        <v>10</v>
      </c>
      <c r="AP3" s="200"/>
      <c r="AQ3" s="201"/>
      <c r="AR3" s="201" t="s">
        <v>38</v>
      </c>
      <c r="AS3" s="201" t="s">
        <v>39</v>
      </c>
      <c r="AT3" s="201" t="s">
        <v>40</v>
      </c>
      <c r="AU3" s="201" t="s">
        <v>41</v>
      </c>
    </row>
    <row r="4" spans="1:49" s="164" customFormat="1" ht="21.75" customHeight="1" thickBot="1" x14ac:dyDescent="0.3">
      <c r="A4" s="170"/>
      <c r="B4" s="229"/>
      <c r="C4" s="230"/>
      <c r="D4" s="187"/>
      <c r="E4" s="245"/>
      <c r="F4" s="245"/>
      <c r="G4" s="187"/>
      <c r="H4" s="236" t="s">
        <v>35</v>
      </c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8"/>
      <c r="Y4" s="188"/>
      <c r="Z4" s="189"/>
      <c r="AA4" s="236" t="s">
        <v>6</v>
      </c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8"/>
      <c r="AQ4" s="174"/>
      <c r="AR4" s="174"/>
      <c r="AS4" s="174"/>
      <c r="AT4" s="174"/>
      <c r="AU4" s="174"/>
    </row>
    <row r="5" spans="1:49" s="58" customFormat="1" ht="23.5" customHeight="1" thickBot="1" x14ac:dyDescent="0.35">
      <c r="A5" s="171"/>
      <c r="B5" s="229"/>
      <c r="C5" s="230"/>
      <c r="D5" s="190"/>
      <c r="E5" s="231" t="s">
        <v>5</v>
      </c>
      <c r="F5" s="231"/>
      <c r="G5" s="190"/>
      <c r="H5" s="225" t="s">
        <v>36</v>
      </c>
      <c r="I5" s="225"/>
      <c r="J5" s="225"/>
      <c r="K5" s="225"/>
      <c r="L5" s="190"/>
      <c r="M5" s="225" t="s">
        <v>45</v>
      </c>
      <c r="N5" s="225"/>
      <c r="O5" s="225"/>
      <c r="P5" s="225"/>
      <c r="Q5" s="225"/>
      <c r="R5" s="190"/>
      <c r="S5" s="232" t="s">
        <v>44</v>
      </c>
      <c r="T5" s="232"/>
      <c r="U5" s="191"/>
      <c r="V5" s="226" t="s">
        <v>46</v>
      </c>
      <c r="W5" s="226"/>
      <c r="X5" s="226"/>
      <c r="Y5" s="190"/>
      <c r="Z5" s="192"/>
      <c r="AA5" s="242" t="s">
        <v>36</v>
      </c>
      <c r="AB5" s="243"/>
      <c r="AC5" s="191"/>
      <c r="AD5" s="225" t="s">
        <v>45</v>
      </c>
      <c r="AE5" s="225"/>
      <c r="AF5" s="225"/>
      <c r="AG5" s="225"/>
      <c r="AH5" s="225"/>
      <c r="AI5" s="225"/>
      <c r="AJ5" s="225"/>
      <c r="AK5" s="175"/>
      <c r="AL5" s="239" t="s">
        <v>44</v>
      </c>
      <c r="AM5" s="240"/>
      <c r="AN5" s="191"/>
      <c r="AO5" s="241" t="s">
        <v>46</v>
      </c>
      <c r="AP5" s="241"/>
      <c r="AQ5" s="172"/>
      <c r="AR5" s="173">
        <v>3</v>
      </c>
      <c r="AS5" s="173">
        <v>3</v>
      </c>
      <c r="AT5" s="173">
        <v>3</v>
      </c>
      <c r="AU5" s="173">
        <v>3</v>
      </c>
      <c r="AV5"/>
      <c r="AW5"/>
    </row>
    <row r="6" spans="1:49" s="113" customFormat="1" ht="27" customHeight="1" thickBot="1" x14ac:dyDescent="0.35">
      <c r="A6" s="112"/>
      <c r="B6" s="143"/>
      <c r="C6" s="144" t="s">
        <v>0</v>
      </c>
      <c r="D6" s="193"/>
      <c r="E6" s="144" t="s">
        <v>2</v>
      </c>
      <c r="F6" s="146" t="s">
        <v>13</v>
      </c>
      <c r="G6" s="193"/>
      <c r="H6" s="144" t="s">
        <v>1</v>
      </c>
      <c r="I6" s="147" t="s">
        <v>37</v>
      </c>
      <c r="J6" s="144" t="s">
        <v>2</v>
      </c>
      <c r="K6" s="144" t="s">
        <v>3</v>
      </c>
      <c r="L6" s="193"/>
      <c r="M6" s="144" t="s">
        <v>1</v>
      </c>
      <c r="N6" s="147" t="s">
        <v>37</v>
      </c>
      <c r="O6" s="144" t="s">
        <v>11</v>
      </c>
      <c r="P6" s="144" t="s">
        <v>47</v>
      </c>
      <c r="Q6" s="144" t="s">
        <v>3</v>
      </c>
      <c r="R6" s="193"/>
      <c r="S6" s="144" t="s">
        <v>48</v>
      </c>
      <c r="T6" s="144" t="s">
        <v>2</v>
      </c>
      <c r="U6" s="194"/>
      <c r="V6" s="144" t="s">
        <v>1</v>
      </c>
      <c r="W6" s="144" t="s">
        <v>2</v>
      </c>
      <c r="X6" s="144" t="s">
        <v>3</v>
      </c>
      <c r="Y6" s="193"/>
      <c r="Z6" s="193"/>
      <c r="AA6" s="144" t="s">
        <v>1</v>
      </c>
      <c r="AB6" s="144" t="s">
        <v>2</v>
      </c>
      <c r="AC6" s="194"/>
      <c r="AD6" s="144" t="s">
        <v>1</v>
      </c>
      <c r="AE6" s="144" t="s">
        <v>2</v>
      </c>
      <c r="AF6" s="144" t="s">
        <v>3</v>
      </c>
      <c r="AG6" s="194"/>
      <c r="AH6" s="144" t="s">
        <v>69</v>
      </c>
      <c r="AI6" s="144" t="s">
        <v>43</v>
      </c>
      <c r="AJ6" s="144" t="s">
        <v>42</v>
      </c>
      <c r="AK6" s="195"/>
      <c r="AL6" s="144" t="s">
        <v>48</v>
      </c>
      <c r="AM6" s="148" t="s">
        <v>2</v>
      </c>
      <c r="AN6" s="194"/>
      <c r="AO6" s="148" t="s">
        <v>2</v>
      </c>
      <c r="AP6" s="148" t="s">
        <v>3</v>
      </c>
      <c r="AQ6"/>
      <c r="AR6">
        <v>2</v>
      </c>
      <c r="AS6">
        <v>3</v>
      </c>
      <c r="AT6">
        <v>3</v>
      </c>
      <c r="AU6">
        <v>2</v>
      </c>
      <c r="AV6" s="113" t="s">
        <v>86</v>
      </c>
    </row>
    <row r="7" spans="1:49" ht="6.5" customHeight="1" x14ac:dyDescent="0.3">
      <c r="B7" s="17"/>
      <c r="D7" s="13"/>
      <c r="E7" s="13"/>
      <c r="F7" s="123"/>
      <c r="G7" s="13"/>
      <c r="H7" s="23"/>
      <c r="I7" s="62"/>
      <c r="J7" s="13"/>
      <c r="K7" s="117"/>
      <c r="M7" s="13"/>
      <c r="N7" s="13"/>
      <c r="O7" s="13"/>
      <c r="P7" s="13"/>
      <c r="Q7" s="120"/>
      <c r="S7" s="22"/>
      <c r="T7" s="22"/>
      <c r="V7" s="25"/>
      <c r="W7" s="70"/>
      <c r="X7" s="23"/>
      <c r="AD7" s="13"/>
      <c r="AE7" s="13"/>
      <c r="AF7" s="120"/>
      <c r="AH7" s="13"/>
      <c r="AI7" s="13"/>
      <c r="AJ7" s="122"/>
      <c r="AL7" s="22"/>
      <c r="AO7" s="69"/>
    </row>
    <row r="8" spans="1:49" ht="12.75" customHeight="1" x14ac:dyDescent="0.3">
      <c r="A8" s="7" t="s">
        <v>4</v>
      </c>
      <c r="B8" s="223" t="s">
        <v>15</v>
      </c>
      <c r="C8" s="6" t="s">
        <v>8</v>
      </c>
      <c r="D8" s="7"/>
      <c r="E8" s="34">
        <v>35981.169999999984</v>
      </c>
      <c r="F8" s="129">
        <v>0.46129705128205106</v>
      </c>
      <c r="G8" s="7"/>
      <c r="H8" s="36">
        <v>78000</v>
      </c>
      <c r="I8" s="36">
        <v>69000</v>
      </c>
      <c r="J8" s="36">
        <v>68438.050000000221</v>
      </c>
      <c r="K8" s="73">
        <v>0.99185579710145244</v>
      </c>
      <c r="L8" s="37"/>
      <c r="M8" s="36">
        <v>15522</v>
      </c>
      <c r="N8" s="36">
        <v>13731</v>
      </c>
      <c r="O8" s="38">
        <v>0</v>
      </c>
      <c r="P8" s="36">
        <v>14562.139999999983</v>
      </c>
      <c r="Q8" s="121">
        <v>1.0605301871677215</v>
      </c>
      <c r="R8" s="37"/>
      <c r="S8" s="133">
        <v>0.19900000000000001</v>
      </c>
      <c r="T8" s="133">
        <v>0.21277841785380991</v>
      </c>
      <c r="U8" s="37"/>
      <c r="V8" s="36"/>
      <c r="W8" s="39">
        <v>4.8479756509720824</v>
      </c>
      <c r="X8" s="72" t="s">
        <v>73</v>
      </c>
      <c r="Y8" s="37"/>
      <c r="Z8" s="65"/>
      <c r="AA8" s="34">
        <v>3000</v>
      </c>
      <c r="AB8" s="34">
        <v>4988.83</v>
      </c>
      <c r="AC8" s="37"/>
      <c r="AD8" s="36">
        <v>597</v>
      </c>
      <c r="AE8" s="36">
        <v>1198.0599999999997</v>
      </c>
      <c r="AF8" s="121">
        <v>2.0068006700167498</v>
      </c>
      <c r="AG8" s="37"/>
      <c r="AH8" s="36">
        <v>633.13652173912965</v>
      </c>
      <c r="AI8" s="36">
        <v>16461.54956521737</v>
      </c>
      <c r="AJ8" s="121">
        <v>1.0605301871677213</v>
      </c>
      <c r="AK8" s="37"/>
      <c r="AL8" s="114">
        <v>0.19900000000000001</v>
      </c>
      <c r="AM8" s="114">
        <v>0.24014849173052594</v>
      </c>
      <c r="AN8" s="37"/>
      <c r="AO8" s="39">
        <v>6.636425775181773</v>
      </c>
      <c r="AP8" s="73">
        <v>0</v>
      </c>
    </row>
    <row r="9" spans="1:49" ht="12.75" customHeight="1" x14ac:dyDescent="0.3">
      <c r="A9" s="7" t="s">
        <v>4</v>
      </c>
      <c r="B9" s="223"/>
      <c r="C9" s="6" t="s">
        <v>9</v>
      </c>
      <c r="D9" s="7"/>
      <c r="E9" s="34">
        <v>85332.499999999971</v>
      </c>
      <c r="F9" s="129">
        <v>0.74202173913043457</v>
      </c>
      <c r="G9" s="7"/>
      <c r="H9" s="36">
        <v>115000</v>
      </c>
      <c r="I9" s="36">
        <v>103500</v>
      </c>
      <c r="J9" s="36">
        <v>113255.86999999943</v>
      </c>
      <c r="K9" s="73">
        <v>1.0942596135265645</v>
      </c>
      <c r="L9" s="37"/>
      <c r="M9" s="36">
        <v>23000</v>
      </c>
      <c r="N9" s="36">
        <v>20700</v>
      </c>
      <c r="O9" s="38">
        <v>0</v>
      </c>
      <c r="P9" s="36">
        <v>24564.98000000004</v>
      </c>
      <c r="Q9" s="121">
        <v>1.1867140096618376</v>
      </c>
      <c r="R9" s="37"/>
      <c r="S9" s="133">
        <v>0.2</v>
      </c>
      <c r="T9" s="133">
        <v>0.21689807336255651</v>
      </c>
      <c r="U9" s="37"/>
      <c r="V9" s="36"/>
      <c r="W9" s="39">
        <v>6.2845925778495699</v>
      </c>
      <c r="X9" s="72" t="s">
        <v>73</v>
      </c>
      <c r="Y9" s="37"/>
      <c r="Z9" s="65"/>
      <c r="AA9" s="34">
        <v>3833.3333333333335</v>
      </c>
      <c r="AB9" s="34">
        <v>9308.6799999999785</v>
      </c>
      <c r="AC9" s="37"/>
      <c r="AD9" s="36">
        <v>766.66666666666663</v>
      </c>
      <c r="AE9" s="36">
        <v>2158.0600000000004</v>
      </c>
      <c r="AF9" s="121">
        <v>2.814860869565218</v>
      </c>
      <c r="AG9" s="37"/>
      <c r="AH9" s="36">
        <v>909.81407407407551</v>
      </c>
      <c r="AI9" s="36">
        <v>27294.422222222267</v>
      </c>
      <c r="AJ9" s="121">
        <v>1.1867140096618376</v>
      </c>
      <c r="AK9" s="37"/>
      <c r="AL9" s="114">
        <v>0.2</v>
      </c>
      <c r="AM9" s="114">
        <v>0.2318330848197602</v>
      </c>
      <c r="AN9" s="37"/>
      <c r="AO9" s="39">
        <v>7.9256135134087984</v>
      </c>
      <c r="AP9" s="73">
        <v>0</v>
      </c>
      <c r="AT9" t="s">
        <v>89</v>
      </c>
    </row>
    <row r="10" spans="1:49" ht="12.75" customHeight="1" x14ac:dyDescent="0.3">
      <c r="A10" s="7" t="s">
        <v>4</v>
      </c>
      <c r="B10" s="223"/>
      <c r="C10" s="6" t="s">
        <v>10</v>
      </c>
      <c r="D10" s="7"/>
      <c r="E10" s="34">
        <v>143083.3300000001</v>
      </c>
      <c r="F10" s="129">
        <v>0.71541665000000054</v>
      </c>
      <c r="G10" s="7"/>
      <c r="H10" s="36">
        <v>200000</v>
      </c>
      <c r="I10" s="36">
        <v>180000</v>
      </c>
      <c r="J10" s="36">
        <v>197818.08999999656</v>
      </c>
      <c r="K10" s="73">
        <v>1.0989893888888698</v>
      </c>
      <c r="L10" s="37"/>
      <c r="M10" s="36">
        <v>38400</v>
      </c>
      <c r="N10" s="36">
        <v>34560</v>
      </c>
      <c r="O10" s="38">
        <v>0</v>
      </c>
      <c r="P10" s="36">
        <v>37806.800000000156</v>
      </c>
      <c r="Q10" s="121">
        <v>1.0939467592592638</v>
      </c>
      <c r="R10" s="37"/>
      <c r="S10" s="133">
        <v>0.192</v>
      </c>
      <c r="T10" s="133">
        <v>0.191119022532271</v>
      </c>
      <c r="U10" s="37"/>
      <c r="V10" s="36"/>
      <c r="W10" s="39">
        <v>3.8502444341652029</v>
      </c>
      <c r="X10" s="72" t="s">
        <v>73</v>
      </c>
      <c r="Y10" s="37"/>
      <c r="Z10" s="65"/>
      <c r="AA10" s="34">
        <v>6666.666666666667</v>
      </c>
      <c r="AB10" s="34">
        <v>14194.659999999963</v>
      </c>
      <c r="AC10" s="37"/>
      <c r="AD10" s="36">
        <v>1280</v>
      </c>
      <c r="AE10" s="36">
        <v>3130.8</v>
      </c>
      <c r="AF10" s="121">
        <v>2.4459375000000003</v>
      </c>
      <c r="AG10" s="37"/>
      <c r="AH10" s="36">
        <v>1400.2518518518575</v>
      </c>
      <c r="AI10" s="36">
        <v>42007.555555555722</v>
      </c>
      <c r="AJ10" s="121">
        <v>1.0939467592592635</v>
      </c>
      <c r="AK10" s="37"/>
      <c r="AL10" s="114">
        <v>0.192</v>
      </c>
      <c r="AM10" s="114">
        <v>0.22056181690861268</v>
      </c>
      <c r="AN10" s="37"/>
      <c r="AO10" s="39">
        <v>7.0606129347231619</v>
      </c>
      <c r="AP10" s="73">
        <v>0</v>
      </c>
    </row>
    <row r="11" spans="1:49" ht="12.75" customHeight="1" x14ac:dyDescent="0.3">
      <c r="A11" s="7" t="s">
        <v>4</v>
      </c>
      <c r="B11" s="223"/>
      <c r="C11" s="6" t="s">
        <v>12</v>
      </c>
      <c r="D11" s="7"/>
      <c r="E11" s="34">
        <v>27414.980000000003</v>
      </c>
      <c r="F11" s="129">
        <v>0.45691633333333337</v>
      </c>
      <c r="G11" s="7"/>
      <c r="H11" s="36">
        <v>60000</v>
      </c>
      <c r="I11" s="36">
        <v>53076.923076923078</v>
      </c>
      <c r="J11" s="36">
        <v>120807.21999999997</v>
      </c>
      <c r="K11" s="73">
        <v>2.2760780579710138</v>
      </c>
      <c r="L11" s="37"/>
      <c r="M11" s="36">
        <v>8400</v>
      </c>
      <c r="N11" s="36">
        <v>7430.7692307692314</v>
      </c>
      <c r="O11" s="38">
        <v>0</v>
      </c>
      <c r="P11" s="36">
        <v>25287.829999999973</v>
      </c>
      <c r="Q11" s="121">
        <v>3.4031241200828117</v>
      </c>
      <c r="R11" s="37"/>
      <c r="S11" s="133">
        <v>0.14000000000000001</v>
      </c>
      <c r="T11" s="133">
        <v>0.20932383014856212</v>
      </c>
      <c r="U11" s="37"/>
      <c r="V11" s="36"/>
      <c r="W11" s="39">
        <v>3.2453192781027638</v>
      </c>
      <c r="X11" s="72" t="s">
        <v>73</v>
      </c>
      <c r="Y11" s="37"/>
      <c r="Z11" s="65"/>
      <c r="AA11" s="34">
        <v>2307.6923076923076</v>
      </c>
      <c r="AB11" s="34">
        <v>484.62</v>
      </c>
      <c r="AC11" s="37"/>
      <c r="AD11" s="36">
        <v>323.07692307692309</v>
      </c>
      <c r="AE11" s="36">
        <v>79.660000000000025</v>
      </c>
      <c r="AF11" s="121">
        <v>0.24656666666666674</v>
      </c>
      <c r="AG11" s="37"/>
      <c r="AH11" s="36">
        <v>1099.4708695652162</v>
      </c>
      <c r="AI11" s="36">
        <v>28586.242608695618</v>
      </c>
      <c r="AJ11" s="121">
        <v>3.4031241200828117</v>
      </c>
      <c r="AK11" s="37"/>
      <c r="AL11" s="114">
        <v>0.14000000000000001</v>
      </c>
      <c r="AM11" s="114">
        <v>0.16437621229004173</v>
      </c>
      <c r="AN11" s="37"/>
      <c r="AO11" s="39">
        <v>0.68507284057613183</v>
      </c>
      <c r="AP11" s="73">
        <v>0</v>
      </c>
    </row>
    <row r="12" spans="1:49" s="16" customFormat="1" ht="14.25" customHeight="1" x14ac:dyDescent="0.3">
      <c r="A12" s="27"/>
      <c r="B12" s="223"/>
      <c r="C12" s="9" t="s">
        <v>54</v>
      </c>
      <c r="D12" s="27"/>
      <c r="E12" s="28">
        <v>291811.98000000004</v>
      </c>
      <c r="F12" s="130">
        <v>0.64417655629139081</v>
      </c>
      <c r="G12" s="27"/>
      <c r="H12" s="30">
        <v>453000</v>
      </c>
      <c r="I12" s="30">
        <v>405576.92307692306</v>
      </c>
      <c r="J12" s="30">
        <v>500319.22999999614</v>
      </c>
      <c r="K12" s="32">
        <v>1.2335988601232717</v>
      </c>
      <c r="L12" s="40"/>
      <c r="M12" s="30">
        <v>85322</v>
      </c>
      <c r="N12" s="30">
        <v>76421.769230769234</v>
      </c>
      <c r="O12" s="28">
        <v>0</v>
      </c>
      <c r="P12" s="30">
        <v>102221.75000000016</v>
      </c>
      <c r="Q12" s="32">
        <v>1.3375998884731817</v>
      </c>
      <c r="R12" s="40"/>
      <c r="S12" s="134">
        <v>0.18834878587196469</v>
      </c>
      <c r="T12" s="134">
        <v>0.2043130542873616</v>
      </c>
      <c r="U12" s="40"/>
      <c r="V12" s="30"/>
      <c r="W12" s="33">
        <v>4.39171406623647</v>
      </c>
      <c r="X12" s="31" t="s">
        <v>73</v>
      </c>
      <c r="Y12" s="40"/>
      <c r="Z12" s="65"/>
      <c r="AA12" s="28">
        <v>15807.692307692309</v>
      </c>
      <c r="AB12" s="28">
        <v>28976.789999999939</v>
      </c>
      <c r="AC12" s="40"/>
      <c r="AD12" s="30">
        <v>2966.7435897435898</v>
      </c>
      <c r="AE12" s="30">
        <v>6566.58</v>
      </c>
      <c r="AF12" s="32">
        <v>2.2133965411441361</v>
      </c>
      <c r="AG12" s="40"/>
      <c r="AH12" s="30">
        <v>4042.6733172302788</v>
      </c>
      <c r="AI12" s="30">
        <v>114349.76995169098</v>
      </c>
      <c r="AJ12" s="32">
        <v>1.3402143638415764</v>
      </c>
      <c r="AK12" s="40"/>
      <c r="AL12" s="85">
        <v>0.18834878587196469</v>
      </c>
      <c r="AM12" s="85">
        <v>0.22661516337731039</v>
      </c>
      <c r="AN12" s="40"/>
      <c r="AO12" s="33">
        <v>0</v>
      </c>
      <c r="AP12" s="32">
        <v>0</v>
      </c>
      <c r="AQ12" s="11"/>
      <c r="AR12" s="11"/>
      <c r="AS12" s="11"/>
      <c r="AT12" s="11"/>
      <c r="AU12" s="11"/>
      <c r="AV12" s="11"/>
      <c r="AW12" s="11"/>
    </row>
    <row r="13" spans="1:49" ht="8" customHeight="1" x14ac:dyDescent="0.3">
      <c r="B13" s="17"/>
      <c r="D13" s="35"/>
      <c r="E13" s="48"/>
      <c r="F13" s="131"/>
      <c r="G13" s="35"/>
      <c r="H13" s="49"/>
      <c r="I13" s="49"/>
      <c r="J13" s="49"/>
      <c r="K13" s="52"/>
      <c r="L13" s="35"/>
      <c r="M13" s="49"/>
      <c r="N13" s="49"/>
      <c r="O13" s="52"/>
      <c r="P13" s="49"/>
      <c r="Q13" s="48"/>
      <c r="R13" s="35"/>
      <c r="S13" s="52"/>
      <c r="T13" s="52"/>
      <c r="U13" s="35"/>
      <c r="V13" s="49"/>
      <c r="W13" s="53"/>
      <c r="X13" s="49"/>
      <c r="Y13" s="35"/>
      <c r="Z13" s="65"/>
      <c r="AA13" s="48"/>
      <c r="AB13" s="48"/>
      <c r="AC13" s="37"/>
      <c r="AD13" s="49"/>
      <c r="AE13" s="49"/>
      <c r="AF13" s="48"/>
      <c r="AG13" s="37"/>
      <c r="AH13" s="49"/>
      <c r="AI13" s="49"/>
      <c r="AJ13" s="48"/>
      <c r="AK13" s="37"/>
      <c r="AL13" s="50"/>
      <c r="AM13" s="54"/>
      <c r="AN13" s="37"/>
      <c r="AO13" s="53"/>
      <c r="AP13" s="48"/>
    </row>
    <row r="14" spans="1:49" ht="12" customHeight="1" x14ac:dyDescent="0.3">
      <c r="A14" s="7" t="s">
        <v>24</v>
      </c>
      <c r="B14" s="224" t="s">
        <v>25</v>
      </c>
      <c r="C14" s="6" t="s">
        <v>8</v>
      </c>
      <c r="D14" s="35"/>
      <c r="E14" s="34">
        <v>842074.02999999991</v>
      </c>
      <c r="F14" s="138">
        <v>1.5888189245283018</v>
      </c>
      <c r="G14" s="7"/>
      <c r="H14" s="36">
        <v>530000</v>
      </c>
      <c r="I14" s="36">
        <v>468846.15384615381</v>
      </c>
      <c r="J14" s="36">
        <v>472828.62999998161</v>
      </c>
      <c r="K14" s="73">
        <v>1.0084942067267861</v>
      </c>
      <c r="L14" s="37"/>
      <c r="M14" s="36">
        <v>54060</v>
      </c>
      <c r="N14" s="36">
        <v>47822.307692307688</v>
      </c>
      <c r="O14" s="38">
        <v>615.75</v>
      </c>
      <c r="P14" s="36">
        <v>51857.948200000326</v>
      </c>
      <c r="Q14" s="121">
        <v>1.0843882426933107</v>
      </c>
      <c r="R14" s="37"/>
      <c r="S14" s="133">
        <v>0.10199999999999999</v>
      </c>
      <c r="T14" s="133">
        <v>0.10967599022081709</v>
      </c>
      <c r="U14" s="37"/>
      <c r="V14" s="36"/>
      <c r="W14" s="39">
        <v>0.34298857917861408</v>
      </c>
      <c r="X14" s="72" t="s">
        <v>73</v>
      </c>
      <c r="Y14" s="37"/>
      <c r="Z14" s="65"/>
      <c r="AA14" s="34">
        <v>20384.615384615383</v>
      </c>
      <c r="AB14" s="34">
        <v>38533.570000000167</v>
      </c>
      <c r="AC14" s="37"/>
      <c r="AD14" s="36">
        <v>2079.2307692307691</v>
      </c>
      <c r="AE14" s="36">
        <v>3902.3568500000038</v>
      </c>
      <c r="AF14" s="121">
        <v>1.8768271938586776</v>
      </c>
      <c r="AG14" s="37"/>
      <c r="AH14" s="36">
        <v>2254.6934000000142</v>
      </c>
      <c r="AI14" s="36">
        <v>58622.028400000367</v>
      </c>
      <c r="AJ14" s="121">
        <v>1.0843882426933105</v>
      </c>
      <c r="AK14" s="37"/>
      <c r="AL14" s="114">
        <v>0.10199999999999999</v>
      </c>
      <c r="AM14" s="114">
        <v>0.10127161459475431</v>
      </c>
      <c r="AN14" s="37"/>
      <c r="AO14" s="39">
        <v>-0.49656221834599074</v>
      </c>
      <c r="AP14" s="73">
        <v>0</v>
      </c>
    </row>
    <row r="15" spans="1:49" ht="12.75" customHeight="1" x14ac:dyDescent="0.3">
      <c r="A15" s="7" t="s">
        <v>24</v>
      </c>
      <c r="B15" s="224"/>
      <c r="C15" s="6" t="s">
        <v>9</v>
      </c>
      <c r="D15" s="35"/>
      <c r="E15" s="34">
        <v>1071441.1700000002</v>
      </c>
      <c r="F15" s="138">
        <v>1.2755252023809525</v>
      </c>
      <c r="G15" s="7"/>
      <c r="H15" s="36">
        <v>840000</v>
      </c>
      <c r="I15" s="36">
        <v>756000</v>
      </c>
      <c r="J15" s="36">
        <v>875656.63999990618</v>
      </c>
      <c r="K15" s="73">
        <v>1.1582759788358548</v>
      </c>
      <c r="L15" s="37"/>
      <c r="M15" s="36">
        <v>104160</v>
      </c>
      <c r="N15" s="36">
        <v>93744</v>
      </c>
      <c r="O15" s="38">
        <v>917.04</v>
      </c>
      <c r="P15" s="36">
        <v>114039.22000000176</v>
      </c>
      <c r="Q15" s="121">
        <v>1.2164962024236405</v>
      </c>
      <c r="R15" s="37"/>
      <c r="S15" s="133">
        <v>0.124</v>
      </c>
      <c r="T15" s="133">
        <v>0.13023280449288202</v>
      </c>
      <c r="U15" s="37"/>
      <c r="V15" s="36"/>
      <c r="W15" s="39">
        <v>3.0920350241294479</v>
      </c>
      <c r="X15" s="72" t="s">
        <v>73</v>
      </c>
      <c r="Y15" s="37"/>
      <c r="Z15" s="65"/>
      <c r="AA15" s="34">
        <v>28000</v>
      </c>
      <c r="AB15" s="34">
        <v>86997.710000000487</v>
      </c>
      <c r="AC15" s="37"/>
      <c r="AD15" s="36">
        <v>3472</v>
      </c>
      <c r="AE15" s="36">
        <v>11520.199999999957</v>
      </c>
      <c r="AF15" s="121">
        <v>3.3180299539170384</v>
      </c>
      <c r="AG15" s="37"/>
      <c r="AH15" s="36">
        <v>4223.6748148148799</v>
      </c>
      <c r="AI15" s="36">
        <v>126710.24444444641</v>
      </c>
      <c r="AJ15" s="121">
        <v>1.2164962024236405</v>
      </c>
      <c r="AK15" s="37"/>
      <c r="AL15" s="114">
        <v>0.124</v>
      </c>
      <c r="AM15" s="114">
        <v>0.1324195774808313</v>
      </c>
      <c r="AN15" s="37"/>
      <c r="AO15" s="39">
        <v>3.0342752700048692</v>
      </c>
      <c r="AP15" s="73">
        <v>0</v>
      </c>
    </row>
    <row r="16" spans="1:49" ht="12.75" customHeight="1" x14ac:dyDescent="0.3">
      <c r="A16" s="7" t="s">
        <v>24</v>
      </c>
      <c r="B16" s="224"/>
      <c r="C16" s="6" t="s">
        <v>10</v>
      </c>
      <c r="D16" s="35"/>
      <c r="E16" s="34">
        <v>1762031.7699999996</v>
      </c>
      <c r="F16" s="138">
        <v>1.4325461544715443</v>
      </c>
      <c r="G16" s="7"/>
      <c r="H16" s="36">
        <v>1230000</v>
      </c>
      <c r="I16" s="36">
        <v>1107000</v>
      </c>
      <c r="J16" s="36">
        <v>1204890.9299998519</v>
      </c>
      <c r="K16" s="73">
        <v>1.08842902439011</v>
      </c>
      <c r="L16" s="37"/>
      <c r="M16" s="36">
        <v>170891.33832238274</v>
      </c>
      <c r="N16" s="36">
        <v>153802.20449014448</v>
      </c>
      <c r="O16" s="38">
        <v>3101.3</v>
      </c>
      <c r="P16" s="36">
        <v>158379.79557000179</v>
      </c>
      <c r="Q16" s="121">
        <v>1.0297628443950597</v>
      </c>
      <c r="R16" s="37"/>
      <c r="S16" s="133">
        <v>0.13893604741657134</v>
      </c>
      <c r="T16" s="133">
        <v>0.13144741289572265</v>
      </c>
      <c r="U16" s="37"/>
      <c r="V16" s="36"/>
      <c r="W16" s="39">
        <v>3.037919421456952</v>
      </c>
      <c r="X16" s="72" t="s">
        <v>73</v>
      </c>
      <c r="Y16" s="37"/>
      <c r="Z16" s="65"/>
      <c r="AA16" s="34">
        <v>41000</v>
      </c>
      <c r="AB16" s="34">
        <v>123243.43000000058</v>
      </c>
      <c r="AC16" s="37"/>
      <c r="AD16" s="36">
        <v>5696.3779440794251</v>
      </c>
      <c r="AE16" s="36">
        <v>15357.09734999996</v>
      </c>
      <c r="AF16" s="121">
        <v>2.6959407365098516</v>
      </c>
      <c r="AG16" s="37"/>
      <c r="AH16" s="36">
        <v>5865.9183544445104</v>
      </c>
      <c r="AI16" s="36">
        <v>175977.55063333531</v>
      </c>
      <c r="AJ16" s="121">
        <v>1.0297628443950597</v>
      </c>
      <c r="AK16" s="37"/>
      <c r="AL16" s="114">
        <v>0.13893604741657134</v>
      </c>
      <c r="AM16" s="114">
        <v>0.12460783791882366</v>
      </c>
      <c r="AN16" s="37"/>
      <c r="AO16" s="39">
        <v>2.4488586125852931</v>
      </c>
      <c r="AP16" s="73">
        <v>0</v>
      </c>
    </row>
    <row r="17" spans="1:49" ht="12.75" customHeight="1" x14ac:dyDescent="0.3">
      <c r="A17" s="7" t="s">
        <v>24</v>
      </c>
      <c r="B17" s="224"/>
      <c r="C17" s="6" t="s">
        <v>12</v>
      </c>
      <c r="D17" s="35"/>
      <c r="E17" s="34">
        <v>53331.349999999977</v>
      </c>
      <c r="F17" s="138">
        <v>1.269794047619047</v>
      </c>
      <c r="G17" s="7"/>
      <c r="H17" s="36">
        <v>42000</v>
      </c>
      <c r="I17" s="36">
        <v>37153.846153846156</v>
      </c>
      <c r="J17" s="36">
        <v>36565.100000000282</v>
      </c>
      <c r="K17" s="73">
        <v>0.98415383022775083</v>
      </c>
      <c r="L17" s="37"/>
      <c r="M17" s="36">
        <v>5995.3598738795354</v>
      </c>
      <c r="N17" s="36">
        <v>5303.5875807395887</v>
      </c>
      <c r="O17" s="38">
        <v>500</v>
      </c>
      <c r="P17" s="36">
        <v>6434.8199999999943</v>
      </c>
      <c r="Q17" s="121">
        <v>1.2132956988149999</v>
      </c>
      <c r="R17" s="37"/>
      <c r="S17" s="133">
        <v>0.14274666366379846</v>
      </c>
      <c r="T17" s="133">
        <v>0.17598256260751222</v>
      </c>
      <c r="U17" s="37"/>
      <c r="V17" s="36"/>
      <c r="W17" s="39">
        <v>5.4913565120843577</v>
      </c>
      <c r="X17" s="72" t="s">
        <v>73</v>
      </c>
      <c r="Y17" s="37"/>
      <c r="Z17" s="65"/>
      <c r="AA17" s="34">
        <v>1615.3846153846155</v>
      </c>
      <c r="AB17" s="34">
        <v>2131.2600000000002</v>
      </c>
      <c r="AC17" s="37"/>
      <c r="AD17" s="36">
        <v>230.59076437998212</v>
      </c>
      <c r="AE17" s="36">
        <v>343.93000000000012</v>
      </c>
      <c r="AF17" s="121">
        <v>1.4915168043471612</v>
      </c>
      <c r="AG17" s="37"/>
      <c r="AH17" s="36">
        <v>279.77478260869538</v>
      </c>
      <c r="AI17" s="36">
        <v>7274.1443478260799</v>
      </c>
      <c r="AJ17" s="121">
        <v>1.2132956988149999</v>
      </c>
      <c r="AK17" s="37"/>
      <c r="AL17" s="114">
        <v>0.14274666366379846</v>
      </c>
      <c r="AM17" s="114">
        <v>0.16137402287848507</v>
      </c>
      <c r="AN17" s="37"/>
      <c r="AO17" s="39">
        <v>6.7528128900274877</v>
      </c>
      <c r="AP17" s="73">
        <v>0</v>
      </c>
    </row>
    <row r="18" spans="1:49" s="16" customFormat="1" ht="14.25" customHeight="1" x14ac:dyDescent="0.3">
      <c r="A18" s="27"/>
      <c r="B18" s="224"/>
      <c r="C18" s="9" t="s">
        <v>26</v>
      </c>
      <c r="D18" s="29"/>
      <c r="E18" s="28">
        <v>3728878.32</v>
      </c>
      <c r="F18" s="130">
        <v>1.4113846782740347</v>
      </c>
      <c r="G18" s="27"/>
      <c r="H18" s="30">
        <v>2642000</v>
      </c>
      <c r="I18" s="30">
        <v>2369000</v>
      </c>
      <c r="J18" s="30">
        <v>2589941.2999997395</v>
      </c>
      <c r="K18" s="32">
        <v>1.0932635289150441</v>
      </c>
      <c r="L18" s="40"/>
      <c r="M18" s="30">
        <v>335106.6981962623</v>
      </c>
      <c r="N18" s="30">
        <v>300672.09976319171</v>
      </c>
      <c r="O18" s="28">
        <v>5134.09</v>
      </c>
      <c r="P18" s="30">
        <v>330711.78377000388</v>
      </c>
      <c r="Q18" s="32">
        <v>1.0999084518665727</v>
      </c>
      <c r="R18" s="40"/>
      <c r="S18" s="134">
        <v>0.12683826578208263</v>
      </c>
      <c r="T18" s="134">
        <v>0.12769084139862055</v>
      </c>
      <c r="U18" s="40"/>
      <c r="V18" s="30"/>
      <c r="W18" s="33">
        <v>2.5988578880048205</v>
      </c>
      <c r="X18" s="31" t="s">
        <v>73</v>
      </c>
      <c r="Y18" s="40"/>
      <c r="Z18" s="65"/>
      <c r="AA18" s="28">
        <v>90999.999999999985</v>
      </c>
      <c r="AB18" s="28">
        <v>250905.97000000125</v>
      </c>
      <c r="AC18" s="40"/>
      <c r="AD18" s="30">
        <v>11478.199477690176</v>
      </c>
      <c r="AE18" s="30">
        <v>31123.584199999921</v>
      </c>
      <c r="AF18" s="32">
        <v>2.7115388838200518</v>
      </c>
      <c r="AG18" s="40"/>
      <c r="AH18" s="30">
        <v>12624.061351868102</v>
      </c>
      <c r="AI18" s="30">
        <v>368583.96782560815</v>
      </c>
      <c r="AJ18" s="32">
        <v>1.0999003296846641</v>
      </c>
      <c r="AK18" s="40"/>
      <c r="AL18" s="85">
        <v>0.12683826578208263</v>
      </c>
      <c r="AM18" s="85">
        <v>0.12404481328204253</v>
      </c>
      <c r="AN18" s="40"/>
      <c r="AO18" s="33">
        <v>0</v>
      </c>
      <c r="AP18" s="32">
        <v>0</v>
      </c>
      <c r="AQ18" s="11"/>
      <c r="AR18" s="11"/>
      <c r="AS18" s="11"/>
      <c r="AT18" s="11"/>
      <c r="AU18" s="11"/>
      <c r="AV18" s="11"/>
      <c r="AW18" s="11"/>
    </row>
    <row r="19" spans="1:49" ht="8" customHeight="1" x14ac:dyDescent="0.3">
      <c r="B19" s="17"/>
      <c r="D19" s="35"/>
      <c r="E19" s="48"/>
      <c r="F19" s="131"/>
      <c r="G19" s="35"/>
      <c r="H19" s="49"/>
      <c r="I19" s="49"/>
      <c r="J19" s="49"/>
      <c r="K19" s="52"/>
      <c r="L19" s="35"/>
      <c r="M19" s="49"/>
      <c r="N19" s="49"/>
      <c r="O19" s="52"/>
      <c r="P19" s="49"/>
      <c r="Q19" s="48"/>
      <c r="R19" s="35"/>
      <c r="S19" s="52"/>
      <c r="T19" s="52"/>
      <c r="U19" s="35"/>
      <c r="V19" s="49"/>
      <c r="W19" s="53"/>
      <c r="X19" s="49"/>
      <c r="Y19" s="35"/>
      <c r="Z19" s="65"/>
      <c r="AA19" s="48"/>
      <c r="AB19" s="48"/>
      <c r="AC19" s="37"/>
      <c r="AD19" s="49"/>
      <c r="AE19" s="49"/>
      <c r="AF19" s="48"/>
      <c r="AG19" s="37"/>
      <c r="AH19" s="49"/>
      <c r="AI19" s="49"/>
      <c r="AJ19" s="48"/>
      <c r="AK19" s="37"/>
      <c r="AL19" s="50"/>
      <c r="AM19" s="54"/>
      <c r="AN19" s="37"/>
      <c r="AO19" s="53"/>
      <c r="AP19" s="48"/>
    </row>
    <row r="20" spans="1:49" ht="12" customHeight="1" x14ac:dyDescent="0.3">
      <c r="A20" s="7" t="s">
        <v>14</v>
      </c>
      <c r="B20" s="224" t="s">
        <v>33</v>
      </c>
      <c r="C20" s="6" t="s">
        <v>8</v>
      </c>
      <c r="D20" s="35"/>
      <c r="E20" s="34">
        <v>75007.459999999992</v>
      </c>
      <c r="F20" s="129">
        <v>0.42861405714285711</v>
      </c>
      <c r="G20" s="7"/>
      <c r="H20" s="36">
        <v>175000</v>
      </c>
      <c r="I20" s="36">
        <v>154807.69230769231</v>
      </c>
      <c r="J20" s="36">
        <v>174183.50999999887</v>
      </c>
      <c r="K20" s="73">
        <v>1.1251605614906759</v>
      </c>
      <c r="L20" s="37"/>
      <c r="M20" s="36">
        <v>31586.694747374659</v>
      </c>
      <c r="N20" s="36">
        <v>27942.076122677583</v>
      </c>
      <c r="O20" s="38">
        <v>0</v>
      </c>
      <c r="P20" s="36">
        <v>24921.72612999997</v>
      </c>
      <c r="Q20" s="121">
        <v>0.89190674381470458</v>
      </c>
      <c r="R20" s="37"/>
      <c r="S20" s="133">
        <v>0.18049539855642663</v>
      </c>
      <c r="T20" s="133">
        <v>0.14307741375747987</v>
      </c>
      <c r="U20" s="37"/>
      <c r="V20" s="36"/>
      <c r="W20" s="39">
        <v>-1.9102174884413545</v>
      </c>
      <c r="X20" s="72" t="s">
        <v>73</v>
      </c>
      <c r="Y20" s="37"/>
      <c r="Z20" s="65"/>
      <c r="AA20" s="34">
        <v>6730.7692307692305</v>
      </c>
      <c r="AB20" s="34">
        <v>17642.409999999989</v>
      </c>
      <c r="AC20" s="37"/>
      <c r="AD20" s="36">
        <v>1214.8728748990254</v>
      </c>
      <c r="AE20" s="36">
        <v>2922.9538499999999</v>
      </c>
      <c r="AF20" s="121">
        <v>2.4059750698137385</v>
      </c>
      <c r="AG20" s="37"/>
      <c r="AH20" s="36">
        <v>1083.5533099999986</v>
      </c>
      <c r="AI20" s="36">
        <v>28172.386059999964</v>
      </c>
      <c r="AJ20" s="121">
        <v>0.89190674381470458</v>
      </c>
      <c r="AK20" s="37"/>
      <c r="AL20" s="114">
        <v>0.18049539855642663</v>
      </c>
      <c r="AM20" s="114">
        <v>0.16567769652785541</v>
      </c>
      <c r="AN20" s="37"/>
      <c r="AO20" s="39">
        <v>0.49626921718742878</v>
      </c>
      <c r="AP20" s="73">
        <v>0</v>
      </c>
    </row>
    <row r="21" spans="1:49" ht="12.75" customHeight="1" x14ac:dyDescent="0.3">
      <c r="A21" s="7" t="s">
        <v>14</v>
      </c>
      <c r="B21" s="224"/>
      <c r="C21" s="6" t="s">
        <v>9</v>
      </c>
      <c r="D21" s="35"/>
      <c r="E21" s="34">
        <v>79163.000000000044</v>
      </c>
      <c r="F21" s="129">
        <v>0.46025000000000027</v>
      </c>
      <c r="G21" s="7"/>
      <c r="H21" s="36">
        <v>172000</v>
      </c>
      <c r="I21" s="36">
        <v>154800</v>
      </c>
      <c r="J21" s="36">
        <v>137635.72000000143</v>
      </c>
      <c r="K21" s="73">
        <v>0.8891196382429033</v>
      </c>
      <c r="L21" s="37"/>
      <c r="M21" s="36">
        <v>41280</v>
      </c>
      <c r="N21" s="36">
        <v>37152</v>
      </c>
      <c r="O21" s="38">
        <v>0</v>
      </c>
      <c r="P21" s="36">
        <v>24609.970000000056</v>
      </c>
      <c r="Q21" s="121">
        <v>0.66241305986218924</v>
      </c>
      <c r="R21" s="37"/>
      <c r="S21" s="133">
        <v>0.24</v>
      </c>
      <c r="T21" s="133">
        <v>0.1788051096038136</v>
      </c>
      <c r="U21" s="37"/>
      <c r="V21" s="36"/>
      <c r="W21" s="39">
        <v>1.8087310474348233</v>
      </c>
      <c r="X21" s="72" t="s">
        <v>73</v>
      </c>
      <c r="Y21" s="37"/>
      <c r="Z21" s="65"/>
      <c r="AA21" s="34">
        <v>5733.333333333333</v>
      </c>
      <c r="AB21" s="34">
        <v>12215.979999999932</v>
      </c>
      <c r="AC21" s="37"/>
      <c r="AD21" s="36">
        <v>1376</v>
      </c>
      <c r="AE21" s="36">
        <v>2406.3799999999965</v>
      </c>
      <c r="AF21" s="121">
        <v>1.7488226744186022</v>
      </c>
      <c r="AG21" s="37"/>
      <c r="AH21" s="36">
        <v>911.48037037037238</v>
      </c>
      <c r="AI21" s="36">
        <v>27344.411111111171</v>
      </c>
      <c r="AJ21" s="121">
        <v>0.66241305986218924</v>
      </c>
      <c r="AK21" s="37"/>
      <c r="AL21" s="114">
        <v>0.24</v>
      </c>
      <c r="AM21" s="114">
        <v>0.19698624261009021</v>
      </c>
      <c r="AN21" s="37"/>
      <c r="AO21" s="39">
        <v>3.5605002627701619</v>
      </c>
      <c r="AP21" s="73">
        <v>0</v>
      </c>
    </row>
    <row r="22" spans="1:49" ht="12.75" customHeight="1" x14ac:dyDescent="0.3">
      <c r="A22" s="7" t="s">
        <v>14</v>
      </c>
      <c r="B22" s="224"/>
      <c r="C22" s="6" t="s">
        <v>10</v>
      </c>
      <c r="D22" s="35"/>
      <c r="E22" s="34">
        <v>147064.28999999998</v>
      </c>
      <c r="F22" s="129">
        <v>0.52522960714285705</v>
      </c>
      <c r="G22" s="7"/>
      <c r="H22" s="36">
        <v>280000</v>
      </c>
      <c r="I22" s="36">
        <v>252000.00000000003</v>
      </c>
      <c r="J22" s="36">
        <v>262068.91999999079</v>
      </c>
      <c r="K22" s="73">
        <v>1.039956031745995</v>
      </c>
      <c r="L22" s="37"/>
      <c r="M22" s="36">
        <v>68733.380989284502</v>
      </c>
      <c r="N22" s="36">
        <v>61860.042890356046</v>
      </c>
      <c r="O22" s="38">
        <v>0</v>
      </c>
      <c r="P22" s="36">
        <v>59433.519600000072</v>
      </c>
      <c r="Q22" s="121">
        <v>0.96077397982641444</v>
      </c>
      <c r="R22" s="37"/>
      <c r="S22" s="133">
        <v>0.24547636067601608</v>
      </c>
      <c r="T22" s="133">
        <v>0.22678583786281167</v>
      </c>
      <c r="U22" s="37"/>
      <c r="V22" s="36"/>
      <c r="W22" s="39">
        <v>6.7160041717230046</v>
      </c>
      <c r="X22" s="72" t="s">
        <v>73</v>
      </c>
      <c r="Y22" s="37"/>
      <c r="Z22" s="65"/>
      <c r="AA22" s="34">
        <v>9333.3333333333339</v>
      </c>
      <c r="AB22" s="34">
        <v>27039.250000000051</v>
      </c>
      <c r="AC22" s="37"/>
      <c r="AD22" s="36">
        <v>2291.1126996428166</v>
      </c>
      <c r="AE22" s="36">
        <v>7062.1358000000046</v>
      </c>
      <c r="AF22" s="121">
        <v>3.0824043710730549</v>
      </c>
      <c r="AG22" s="37"/>
      <c r="AH22" s="36">
        <v>2201.2414666666696</v>
      </c>
      <c r="AI22" s="36">
        <v>66037.244000000093</v>
      </c>
      <c r="AJ22" s="121">
        <v>0.96077397982641455</v>
      </c>
      <c r="AK22" s="37"/>
      <c r="AL22" s="114">
        <v>0.24547636067601608</v>
      </c>
      <c r="AM22" s="114">
        <v>0.26118090553547124</v>
      </c>
      <c r="AN22" s="37"/>
      <c r="AO22" s="39">
        <v>10.076632303041208</v>
      </c>
      <c r="AP22" s="73">
        <v>0</v>
      </c>
    </row>
    <row r="23" spans="1:49" ht="12.75" customHeight="1" x14ac:dyDescent="0.3">
      <c r="A23" s="7" t="s">
        <v>14</v>
      </c>
      <c r="B23" s="224"/>
      <c r="C23" s="6" t="s">
        <v>12</v>
      </c>
      <c r="D23" s="35"/>
      <c r="E23" s="34">
        <v>52081.219999999987</v>
      </c>
      <c r="F23" s="129">
        <v>5.7868022222222204E-2</v>
      </c>
      <c r="G23" s="7"/>
      <c r="H23" s="36">
        <v>900000</v>
      </c>
      <c r="I23" s="36">
        <v>796153.84615384624</v>
      </c>
      <c r="J23" s="36">
        <v>850679.48999999929</v>
      </c>
      <c r="K23" s="73">
        <v>1.0684863159420279</v>
      </c>
      <c r="L23" s="37"/>
      <c r="M23" s="36">
        <v>230888.65095804792</v>
      </c>
      <c r="N23" s="36">
        <v>204247.65277058084</v>
      </c>
      <c r="O23" s="38">
        <v>18939.95</v>
      </c>
      <c r="P23" s="36">
        <v>131041.18999999994</v>
      </c>
      <c r="Q23" s="121">
        <v>0.6415799066596406</v>
      </c>
      <c r="R23" s="37"/>
      <c r="S23" s="133">
        <v>0.25654294550894213</v>
      </c>
      <c r="T23" s="133">
        <v>0.15404296393698177</v>
      </c>
      <c r="U23" s="37"/>
      <c r="V23" s="36"/>
      <c r="W23" s="39">
        <v>-3.136987586241355</v>
      </c>
      <c r="X23" s="72" t="s">
        <v>73</v>
      </c>
      <c r="Y23" s="37"/>
      <c r="Z23" s="65"/>
      <c r="AA23" s="34">
        <v>34615.384615384617</v>
      </c>
      <c r="AB23" s="34">
        <v>18829.61</v>
      </c>
      <c r="AC23" s="37"/>
      <c r="AD23" s="36">
        <v>8880.3327291556889</v>
      </c>
      <c r="AE23" s="36">
        <v>3556.83</v>
      </c>
      <c r="AF23" s="121">
        <v>0.40052891130107138</v>
      </c>
      <c r="AG23" s="37"/>
      <c r="AH23" s="36">
        <v>5697.443043478258</v>
      </c>
      <c r="AI23" s="36">
        <v>148133.5191304347</v>
      </c>
      <c r="AJ23" s="121">
        <v>0.64157990665964049</v>
      </c>
      <c r="AK23" s="37"/>
      <c r="AL23" s="114">
        <v>0.25654294550894213</v>
      </c>
      <c r="AM23" s="114">
        <v>0.18889557457642511</v>
      </c>
      <c r="AN23" s="37"/>
      <c r="AO23" s="39">
        <v>0.46734903165811714</v>
      </c>
      <c r="AP23" s="73">
        <v>0</v>
      </c>
    </row>
    <row r="24" spans="1:49" s="16" customFormat="1" ht="14.25" customHeight="1" x14ac:dyDescent="0.3">
      <c r="A24" s="27"/>
      <c r="B24" s="224"/>
      <c r="C24" s="9" t="s">
        <v>34</v>
      </c>
      <c r="D24" s="29"/>
      <c r="E24" s="28">
        <v>353315.97</v>
      </c>
      <c r="F24" s="130">
        <v>0.23137915520628682</v>
      </c>
      <c r="G24" s="27"/>
      <c r="H24" s="30">
        <v>1527000</v>
      </c>
      <c r="I24" s="30">
        <v>1357761.5384615385</v>
      </c>
      <c r="J24" s="30">
        <v>1424567.6399999904</v>
      </c>
      <c r="K24" s="32">
        <v>1.049203118254586</v>
      </c>
      <c r="L24" s="40"/>
      <c r="M24" s="30">
        <v>372488.72669470706</v>
      </c>
      <c r="N24" s="30">
        <v>331201.77178361447</v>
      </c>
      <c r="O24" s="28">
        <v>18939.95</v>
      </c>
      <c r="P24" s="30">
        <v>240006.40573000006</v>
      </c>
      <c r="Q24" s="32">
        <v>0.72465314553572047</v>
      </c>
      <c r="R24" s="40"/>
      <c r="S24" s="134">
        <v>0.24393498801225086</v>
      </c>
      <c r="T24" s="134">
        <v>0.16847666547444648</v>
      </c>
      <c r="U24" s="40"/>
      <c r="V24" s="30"/>
      <c r="W24" s="33">
        <v>-0.69656041534208912</v>
      </c>
      <c r="X24" s="31" t="s">
        <v>73</v>
      </c>
      <c r="Y24" s="40"/>
      <c r="Z24" s="65"/>
      <c r="AA24" s="28">
        <v>56412.820512820515</v>
      </c>
      <c r="AB24" s="28">
        <v>75727.249999999971</v>
      </c>
      <c r="AC24" s="40"/>
      <c r="AD24" s="30">
        <v>13762.318303697532</v>
      </c>
      <c r="AE24" s="30">
        <v>15948.299650000001</v>
      </c>
      <c r="AF24" s="32">
        <v>1.1588381621514421</v>
      </c>
      <c r="AG24" s="40"/>
      <c r="AH24" s="30">
        <v>9893.7181905152975</v>
      </c>
      <c r="AI24" s="30">
        <v>269687.56030154589</v>
      </c>
      <c r="AJ24" s="32">
        <v>0.72401536200740557</v>
      </c>
      <c r="AK24" s="40"/>
      <c r="AL24" s="85">
        <v>0.24393498801225086</v>
      </c>
      <c r="AM24" s="85">
        <v>0.2106018593042796</v>
      </c>
      <c r="AN24" s="40"/>
      <c r="AO24" s="33">
        <v>0</v>
      </c>
      <c r="AP24" s="32">
        <v>0</v>
      </c>
      <c r="AQ24" s="11"/>
      <c r="AR24" s="11"/>
      <c r="AS24" s="11"/>
      <c r="AT24" s="11"/>
      <c r="AU24" s="11"/>
      <c r="AV24" s="11"/>
      <c r="AW24" s="11"/>
    </row>
    <row r="25" spans="1:49" ht="8" customHeight="1" x14ac:dyDescent="0.3">
      <c r="B25" s="17"/>
      <c r="D25" s="35"/>
      <c r="E25" s="48"/>
      <c r="F25" s="131"/>
      <c r="G25" s="35"/>
      <c r="H25" s="49"/>
      <c r="I25" s="49"/>
      <c r="J25" s="49"/>
      <c r="K25" s="52"/>
      <c r="L25" s="35"/>
      <c r="M25" s="49"/>
      <c r="N25" s="49"/>
      <c r="O25" s="52"/>
      <c r="P25" s="49"/>
      <c r="Q25" s="48"/>
      <c r="R25" s="35"/>
      <c r="S25" s="52"/>
      <c r="T25" s="52"/>
      <c r="U25" s="35"/>
      <c r="V25" s="49"/>
      <c r="W25" s="53"/>
      <c r="X25" s="49"/>
      <c r="Y25" s="35"/>
      <c r="Z25" s="65"/>
      <c r="AA25" s="48"/>
      <c r="AB25" s="48"/>
      <c r="AC25" s="37"/>
      <c r="AD25" s="49"/>
      <c r="AE25" s="49"/>
      <c r="AF25" s="48"/>
      <c r="AG25" s="37"/>
      <c r="AH25" s="49"/>
      <c r="AI25" s="49"/>
      <c r="AJ25" s="48"/>
      <c r="AK25" s="37"/>
      <c r="AL25" s="50"/>
      <c r="AM25" s="54"/>
      <c r="AN25" s="37"/>
      <c r="AO25" s="53"/>
      <c r="AP25" s="48"/>
    </row>
    <row r="26" spans="1:49" ht="12.75" customHeight="1" x14ac:dyDescent="0.3">
      <c r="A26" s="7" t="s">
        <v>18</v>
      </c>
      <c r="B26" s="224" t="s">
        <v>57</v>
      </c>
      <c r="C26" s="6" t="s">
        <v>8</v>
      </c>
      <c r="D26" s="35"/>
      <c r="E26" s="34">
        <v>198132.85999999978</v>
      </c>
      <c r="F26" s="129">
        <v>0.60040260606060536</v>
      </c>
      <c r="G26" s="7"/>
      <c r="H26" s="36">
        <v>330000</v>
      </c>
      <c r="I26" s="36">
        <v>291923.07692307688</v>
      </c>
      <c r="J26" s="36">
        <v>302610.37999999576</v>
      </c>
      <c r="K26" s="73">
        <v>1.0366099973649394</v>
      </c>
      <c r="L26" s="37"/>
      <c r="M26" s="36">
        <v>45867.685825971581</v>
      </c>
      <c r="N26" s="36">
        <v>40575.260538359478</v>
      </c>
      <c r="O26" s="38">
        <v>0</v>
      </c>
      <c r="P26" s="36">
        <v>30918.160050000064</v>
      </c>
      <c r="Q26" s="121">
        <v>0.76199535479927039</v>
      </c>
      <c r="R26" s="37"/>
      <c r="S26" s="133">
        <v>0.13899298735142904</v>
      </c>
      <c r="T26" s="133">
        <v>0.10217151192897117</v>
      </c>
      <c r="U26" s="37"/>
      <c r="V26" s="36"/>
      <c r="W26" s="39">
        <v>-3.8098461625814326</v>
      </c>
      <c r="X26" s="72" t="s">
        <v>73</v>
      </c>
      <c r="Y26" s="37"/>
      <c r="Z26" s="65"/>
      <c r="AA26" s="34">
        <v>12692.307692307691</v>
      </c>
      <c r="AB26" s="34">
        <v>25905.709999999985</v>
      </c>
      <c r="AC26" s="37"/>
      <c r="AD26" s="36">
        <v>1764.1417625373685</v>
      </c>
      <c r="AE26" s="36">
        <v>1884.9668499999991</v>
      </c>
      <c r="AF26" s="121">
        <v>1.0684894434384047</v>
      </c>
      <c r="AG26" s="37"/>
      <c r="AH26" s="36">
        <v>1344.2678282608724</v>
      </c>
      <c r="AI26" s="36">
        <v>34950.963534782684</v>
      </c>
      <c r="AJ26" s="121">
        <v>0.7619953547992705</v>
      </c>
      <c r="AK26" s="37"/>
      <c r="AL26" s="114">
        <v>0.13899298735142904</v>
      </c>
      <c r="AM26" s="114">
        <v>7.2762601372438743E-2</v>
      </c>
      <c r="AN26" s="37"/>
      <c r="AO26" s="39">
        <v>-6.3138325488859728</v>
      </c>
      <c r="AP26" s="73">
        <v>0</v>
      </c>
    </row>
    <row r="27" spans="1:49" ht="12.75" customHeight="1" x14ac:dyDescent="0.3">
      <c r="A27" s="7" t="s">
        <v>18</v>
      </c>
      <c r="B27" s="224"/>
      <c r="C27" s="6" t="s">
        <v>9</v>
      </c>
      <c r="D27" s="35"/>
      <c r="E27" s="34">
        <v>197594.52999999994</v>
      </c>
      <c r="F27" s="129">
        <v>0.68136044827586184</v>
      </c>
      <c r="G27" s="7"/>
      <c r="H27" s="36">
        <v>290000</v>
      </c>
      <c r="I27" s="36">
        <v>260999.99999999997</v>
      </c>
      <c r="J27" s="36">
        <v>237407.47999999436</v>
      </c>
      <c r="K27" s="73">
        <v>0.90960720306511256</v>
      </c>
      <c r="L27" s="37"/>
      <c r="M27" s="36">
        <v>49010</v>
      </c>
      <c r="N27" s="36">
        <v>44109</v>
      </c>
      <c r="O27" s="38">
        <v>0</v>
      </c>
      <c r="P27" s="36">
        <v>35234.429999999862</v>
      </c>
      <c r="Q27" s="121">
        <v>0.79880364551451777</v>
      </c>
      <c r="R27" s="37"/>
      <c r="S27" s="133">
        <v>0.16900000000000001</v>
      </c>
      <c r="T27" s="133">
        <v>0.14841331031356172</v>
      </c>
      <c r="U27" s="37"/>
      <c r="V27" s="36"/>
      <c r="W27" s="39">
        <v>1.1850848170388268</v>
      </c>
      <c r="X27" s="72" t="s">
        <v>73</v>
      </c>
      <c r="Y27" s="37"/>
      <c r="Z27" s="65"/>
      <c r="AA27" s="34">
        <v>9666.6666666666661</v>
      </c>
      <c r="AB27" s="34">
        <v>22446.310000000132</v>
      </c>
      <c r="AC27" s="37"/>
      <c r="AD27" s="36">
        <v>1633.6666666666667</v>
      </c>
      <c r="AE27" s="36">
        <v>3617.1200000000044</v>
      </c>
      <c r="AF27" s="121">
        <v>2.2141114058355464</v>
      </c>
      <c r="AG27" s="37"/>
      <c r="AH27" s="36">
        <v>1304.9788888888838</v>
      </c>
      <c r="AI27" s="36">
        <v>39149.366666666516</v>
      </c>
      <c r="AJ27" s="121">
        <v>0.79880364551451777</v>
      </c>
      <c r="AK27" s="37"/>
      <c r="AL27" s="114">
        <v>0.16900000000000001</v>
      </c>
      <c r="AM27" s="114">
        <v>0.16114541766553092</v>
      </c>
      <c r="AN27" s="37"/>
      <c r="AO27" s="39">
        <v>2.4913226271939632</v>
      </c>
      <c r="AP27" s="73">
        <v>0</v>
      </c>
    </row>
    <row r="28" spans="1:49" ht="12.75" customHeight="1" x14ac:dyDescent="0.3">
      <c r="A28" s="7" t="s">
        <v>18</v>
      </c>
      <c r="B28" s="224"/>
      <c r="C28" s="6" t="s">
        <v>10</v>
      </c>
      <c r="D28" s="35"/>
      <c r="E28" s="34">
        <v>417902.11999999982</v>
      </c>
      <c r="F28" s="129">
        <v>0.99500504761904718</v>
      </c>
      <c r="G28" s="7"/>
      <c r="H28" s="36">
        <v>420000</v>
      </c>
      <c r="I28" s="36">
        <v>378000</v>
      </c>
      <c r="J28" s="36">
        <v>389484.92999997915</v>
      </c>
      <c r="K28" s="73">
        <v>1.0303834126983575</v>
      </c>
      <c r="L28" s="37"/>
      <c r="M28" s="36">
        <v>79380</v>
      </c>
      <c r="N28" s="36">
        <v>71442</v>
      </c>
      <c r="O28" s="38">
        <v>459</v>
      </c>
      <c r="P28" s="36">
        <v>60799.98098999972</v>
      </c>
      <c r="Q28" s="121">
        <v>0.8510397383891789</v>
      </c>
      <c r="R28" s="37"/>
      <c r="S28" s="133">
        <v>0.189</v>
      </c>
      <c r="T28" s="133">
        <v>0.15610355191407013</v>
      </c>
      <c r="U28" s="37"/>
      <c r="V28" s="36"/>
      <c r="W28" s="39">
        <v>1.7623405840059936</v>
      </c>
      <c r="X28" s="72" t="s">
        <v>73</v>
      </c>
      <c r="Y28" s="37"/>
      <c r="Z28" s="65"/>
      <c r="AA28" s="34">
        <v>14000</v>
      </c>
      <c r="AB28" s="34">
        <v>48626.660000000142</v>
      </c>
      <c r="AC28" s="37"/>
      <c r="AD28" s="36">
        <v>2646</v>
      </c>
      <c r="AE28" s="36">
        <v>5715.7856999999985</v>
      </c>
      <c r="AF28" s="121">
        <v>2.1601608843537408</v>
      </c>
      <c r="AG28" s="37"/>
      <c r="AH28" s="36">
        <v>2251.8511477777674</v>
      </c>
      <c r="AI28" s="36">
        <v>67555.534433333029</v>
      </c>
      <c r="AJ28" s="121">
        <v>0.85103973838917901</v>
      </c>
      <c r="AK28" s="37"/>
      <c r="AL28" s="114">
        <v>0.189</v>
      </c>
      <c r="AM28" s="114">
        <v>0.11754427920815416</v>
      </c>
      <c r="AN28" s="37"/>
      <c r="AO28" s="39">
        <v>-1.9541426452071149</v>
      </c>
      <c r="AP28" s="73">
        <v>0</v>
      </c>
    </row>
    <row r="29" spans="1:49" ht="12.75" customHeight="1" x14ac:dyDescent="0.3">
      <c r="A29" s="7" t="s">
        <v>18</v>
      </c>
      <c r="B29" s="224"/>
      <c r="C29" s="6" t="s">
        <v>12</v>
      </c>
      <c r="D29" s="35"/>
      <c r="E29" s="34">
        <v>7808.8400000000011</v>
      </c>
      <c r="F29" s="129">
        <v>1.4733660377358493E-2</v>
      </c>
      <c r="G29" s="7"/>
      <c r="H29" s="36">
        <v>530000</v>
      </c>
      <c r="I29" s="36">
        <v>468846.15384615381</v>
      </c>
      <c r="J29" s="36">
        <v>492593.34999999823</v>
      </c>
      <c r="K29" s="73">
        <v>1.0506502953240324</v>
      </c>
      <c r="L29" s="37"/>
      <c r="M29" s="36">
        <v>116600</v>
      </c>
      <c r="N29" s="36">
        <v>103146.15384615384</v>
      </c>
      <c r="O29" s="38">
        <v>23778.39</v>
      </c>
      <c r="P29" s="36">
        <v>108752.70999999998</v>
      </c>
      <c r="Q29" s="121">
        <v>1.0543554552912222</v>
      </c>
      <c r="R29" s="37"/>
      <c r="S29" s="133">
        <v>0.22</v>
      </c>
      <c r="T29" s="133">
        <v>0.2207758387318878</v>
      </c>
      <c r="U29" s="37"/>
      <c r="V29" s="36"/>
      <c r="W29" s="39">
        <v>3.0821487947409061</v>
      </c>
      <c r="X29" s="72" t="s">
        <v>73</v>
      </c>
      <c r="Y29" s="37"/>
      <c r="Z29" s="65"/>
      <c r="AA29" s="34">
        <v>20384.615384615383</v>
      </c>
      <c r="AB29" s="34">
        <v>3697.0200000000004</v>
      </c>
      <c r="AC29" s="37"/>
      <c r="AD29" s="36">
        <v>4484.6153846153848</v>
      </c>
      <c r="AE29" s="36">
        <v>839.76</v>
      </c>
      <c r="AF29" s="121">
        <v>0.18725351629502573</v>
      </c>
      <c r="AG29" s="37"/>
      <c r="AH29" s="36">
        <v>4728.3786956521726</v>
      </c>
      <c r="AI29" s="36">
        <v>122937.84608695649</v>
      </c>
      <c r="AJ29" s="121">
        <v>1.054355455291222</v>
      </c>
      <c r="AK29" s="37"/>
      <c r="AL29" s="114">
        <v>0.22</v>
      </c>
      <c r="AM29" s="114">
        <v>0.22714510605839294</v>
      </c>
      <c r="AN29" s="37"/>
      <c r="AO29" s="39">
        <v>10.085961125446984</v>
      </c>
      <c r="AP29" s="73">
        <v>0</v>
      </c>
    </row>
    <row r="30" spans="1:49" s="16" customFormat="1" ht="14.25" customHeight="1" x14ac:dyDescent="0.3">
      <c r="A30" s="27"/>
      <c r="B30" s="224"/>
      <c r="C30" s="9" t="s">
        <v>58</v>
      </c>
      <c r="D30" s="29"/>
      <c r="E30" s="28">
        <v>821438.34999999951</v>
      </c>
      <c r="F30" s="130">
        <v>0.52320914012738817</v>
      </c>
      <c r="G30" s="27"/>
      <c r="H30" s="30">
        <v>1570000</v>
      </c>
      <c r="I30" s="30">
        <v>1399769.2307692308</v>
      </c>
      <c r="J30" s="30">
        <v>1422096.1399999675</v>
      </c>
      <c r="K30" s="32">
        <v>1.0159504214980259</v>
      </c>
      <c r="L30" s="40"/>
      <c r="M30" s="30">
        <v>290857.6858259716</v>
      </c>
      <c r="N30" s="30">
        <v>259272.41438451331</v>
      </c>
      <c r="O30" s="28">
        <v>24237.39</v>
      </c>
      <c r="P30" s="30">
        <v>235705.28103999962</v>
      </c>
      <c r="Q30" s="32">
        <v>0.90910281218902633</v>
      </c>
      <c r="R30" s="40"/>
      <c r="S30" s="134">
        <v>0.18525967250061884</v>
      </c>
      <c r="T30" s="134">
        <v>0.16574496928175686</v>
      </c>
      <c r="U30" s="40"/>
      <c r="V30" s="30"/>
      <c r="W30" s="33">
        <v>0.93741911429191849</v>
      </c>
      <c r="X30" s="31" t="s">
        <v>73</v>
      </c>
      <c r="Y30" s="40"/>
      <c r="Z30" s="65"/>
      <c r="AA30" s="28">
        <v>56743.589743589742</v>
      </c>
      <c r="AB30" s="28">
        <v>100675.70000000026</v>
      </c>
      <c r="AC30" s="40"/>
      <c r="AD30" s="30">
        <v>10528.42381381942</v>
      </c>
      <c r="AE30" s="30">
        <v>12057.632550000002</v>
      </c>
      <c r="AF30" s="32">
        <v>1.1452457426887936</v>
      </c>
      <c r="AG30" s="40"/>
      <c r="AH30" s="30">
        <v>9629.4765605796965</v>
      </c>
      <c r="AI30" s="30">
        <v>264593.71072173869</v>
      </c>
      <c r="AJ30" s="32">
        <v>0.90970162940804189</v>
      </c>
      <c r="AK30" s="40"/>
      <c r="AL30" s="85">
        <v>0.18525967250061884</v>
      </c>
      <c r="AM30" s="85">
        <v>0.11976705947909944</v>
      </c>
      <c r="AN30" s="40"/>
      <c r="AO30" s="33">
        <v>0</v>
      </c>
      <c r="AP30" s="32">
        <v>0</v>
      </c>
      <c r="AQ30" s="11"/>
      <c r="AR30" s="11"/>
      <c r="AS30" s="11"/>
      <c r="AT30" s="11"/>
      <c r="AU30" s="11"/>
      <c r="AV30" s="11"/>
      <c r="AW30" s="11"/>
    </row>
    <row r="31" spans="1:49" ht="8" customHeight="1" x14ac:dyDescent="0.3">
      <c r="B31" s="17"/>
      <c r="D31" s="35"/>
      <c r="E31" s="48"/>
      <c r="F31" s="131"/>
      <c r="G31" s="35"/>
      <c r="H31" s="49"/>
      <c r="I31" s="49"/>
      <c r="J31" s="49"/>
      <c r="K31" s="52"/>
      <c r="L31" s="35"/>
      <c r="M31" s="49"/>
      <c r="N31" s="49"/>
      <c r="O31" s="52"/>
      <c r="P31" s="49"/>
      <c r="Q31" s="48"/>
      <c r="R31" s="35"/>
      <c r="S31" s="52"/>
      <c r="T31" s="52"/>
      <c r="U31" s="35"/>
      <c r="V31" s="49"/>
      <c r="W31" s="53"/>
      <c r="X31" s="49"/>
      <c r="Y31" s="35"/>
      <c r="Z31" s="65"/>
      <c r="AA31" s="48"/>
      <c r="AB31" s="48"/>
      <c r="AC31" s="37"/>
      <c r="AD31" s="49"/>
      <c r="AE31" s="49"/>
      <c r="AF31" s="48"/>
      <c r="AG31" s="37"/>
      <c r="AH31" s="49"/>
      <c r="AI31" s="49"/>
      <c r="AJ31" s="48"/>
      <c r="AK31" s="37"/>
      <c r="AL31" s="50"/>
      <c r="AM31" s="54"/>
      <c r="AN31" s="37"/>
      <c r="AO31" s="53"/>
      <c r="AP31" s="48"/>
    </row>
    <row r="32" spans="1:49" ht="12.75" customHeight="1" x14ac:dyDescent="0.3">
      <c r="A32" s="7" t="s">
        <v>16</v>
      </c>
      <c r="B32" s="224" t="s">
        <v>61</v>
      </c>
      <c r="C32" s="6" t="s">
        <v>8</v>
      </c>
      <c r="D32" s="35"/>
      <c r="E32" s="34">
        <v>454951.34</v>
      </c>
      <c r="F32" s="129">
        <v>0.28977792356687898</v>
      </c>
      <c r="G32" s="7"/>
      <c r="H32" s="36">
        <v>1570000</v>
      </c>
      <c r="I32" s="36">
        <v>1388846.1538461538</v>
      </c>
      <c r="J32" s="36">
        <v>1570982.509999997</v>
      </c>
      <c r="K32" s="73">
        <v>1.1311422115757388</v>
      </c>
      <c r="L32" s="37"/>
      <c r="M32" s="36">
        <v>109900.00000000001</v>
      </c>
      <c r="N32" s="36">
        <v>97219.23076923078</v>
      </c>
      <c r="O32" s="38">
        <v>0</v>
      </c>
      <c r="P32" s="36">
        <v>138287.47279999976</v>
      </c>
      <c r="Q32" s="121">
        <v>1.4224292015666389</v>
      </c>
      <c r="R32" s="37"/>
      <c r="S32" s="133">
        <v>7.0000000000000007E-2</v>
      </c>
      <c r="T32" s="133">
        <v>8.8026105904896429E-2</v>
      </c>
      <c r="U32" s="37"/>
      <c r="V32" s="36"/>
      <c r="W32" s="39">
        <v>-7.4944658168091314</v>
      </c>
      <c r="X32" s="72" t="s">
        <v>73</v>
      </c>
      <c r="Y32" s="37"/>
      <c r="Z32" s="65"/>
      <c r="AA32" s="34">
        <v>60384.615384615383</v>
      </c>
      <c r="AB32" s="34">
        <v>132571.68</v>
      </c>
      <c r="AC32" s="37"/>
      <c r="AD32" s="36">
        <v>4226.9230769230771</v>
      </c>
      <c r="AE32" s="36">
        <v>14710.483599999992</v>
      </c>
      <c r="AF32" s="121">
        <v>3.4801872029117358</v>
      </c>
      <c r="AG32" s="37"/>
      <c r="AH32" s="36">
        <v>6012.4988173912934</v>
      </c>
      <c r="AI32" s="36">
        <v>156324.96925217361</v>
      </c>
      <c r="AJ32" s="121">
        <v>1.4224292015666387</v>
      </c>
      <c r="AK32" s="37"/>
      <c r="AL32" s="114">
        <v>7.0000000000000007E-2</v>
      </c>
      <c r="AM32" s="114">
        <v>0.11096248912286541</v>
      </c>
      <c r="AN32" s="37"/>
      <c r="AO32" s="39">
        <v>-5.6499068277629325</v>
      </c>
      <c r="AP32" s="73">
        <v>0</v>
      </c>
    </row>
    <row r="33" spans="1:49" ht="12.75" customHeight="1" x14ac:dyDescent="0.3">
      <c r="A33" s="7" t="s">
        <v>16</v>
      </c>
      <c r="B33" s="224"/>
      <c r="C33" s="6" t="s">
        <v>9</v>
      </c>
      <c r="D33" s="35"/>
      <c r="E33" s="34">
        <v>233114.47000000009</v>
      </c>
      <c r="F33" s="129">
        <v>0.37599108064516146</v>
      </c>
      <c r="G33" s="7"/>
      <c r="H33" s="36">
        <v>620000</v>
      </c>
      <c r="I33" s="36">
        <v>558000</v>
      </c>
      <c r="J33" s="36">
        <v>609547.26999999769</v>
      </c>
      <c r="K33" s="73">
        <v>1.0923786200716805</v>
      </c>
      <c r="L33" s="37"/>
      <c r="M33" s="36">
        <v>92380</v>
      </c>
      <c r="N33" s="36">
        <v>83142</v>
      </c>
      <c r="O33" s="38">
        <v>0</v>
      </c>
      <c r="P33" s="36">
        <v>46508.030000000137</v>
      </c>
      <c r="Q33" s="121">
        <v>0.55938069808279978</v>
      </c>
      <c r="R33" s="37"/>
      <c r="S33" s="133">
        <v>0.14899999999999999</v>
      </c>
      <c r="T33" s="133">
        <v>7.6299299970616408E-2</v>
      </c>
      <c r="U33" s="37"/>
      <c r="V33" s="36"/>
      <c r="W33" s="39">
        <v>-7.2039253001665751</v>
      </c>
      <c r="X33" s="72" t="s">
        <v>73</v>
      </c>
      <c r="Y33" s="37"/>
      <c r="Z33" s="65"/>
      <c r="AA33" s="34">
        <v>20666.666666666668</v>
      </c>
      <c r="AB33" s="34">
        <v>84063.040000000023</v>
      </c>
      <c r="AC33" s="37"/>
      <c r="AD33" s="36">
        <v>3079.3333333333335</v>
      </c>
      <c r="AE33" s="36">
        <v>-5015.7499999999991</v>
      </c>
      <c r="AF33" s="121">
        <v>-1.6288428231218874</v>
      </c>
      <c r="AG33" s="37"/>
      <c r="AH33" s="36">
        <v>1722.5196296296347</v>
      </c>
      <c r="AI33" s="36">
        <v>51675.58888888904</v>
      </c>
      <c r="AJ33" s="121">
        <v>0.55938069808279978</v>
      </c>
      <c r="AK33" s="37"/>
      <c r="AL33" s="114">
        <v>0.14899999999999999</v>
      </c>
      <c r="AM33" s="114">
        <v>-5.9666531212766015E-2</v>
      </c>
      <c r="AN33" s="37"/>
      <c r="AO33" s="39">
        <v>-20.833959847276553</v>
      </c>
      <c r="AP33" s="73">
        <v>0</v>
      </c>
    </row>
    <row r="34" spans="1:49" ht="12.75" customHeight="1" x14ac:dyDescent="0.3">
      <c r="A34" s="7" t="s">
        <v>16</v>
      </c>
      <c r="B34" s="224"/>
      <c r="C34" s="6" t="s">
        <v>10</v>
      </c>
      <c r="D34" s="35"/>
      <c r="E34" s="34">
        <v>615923.68999999983</v>
      </c>
      <c r="F34" s="129">
        <v>0.37103836746987939</v>
      </c>
      <c r="G34" s="7"/>
      <c r="H34" s="36">
        <v>1660000</v>
      </c>
      <c r="I34" s="36">
        <v>1494000</v>
      </c>
      <c r="J34" s="36">
        <v>1426728.0899999887</v>
      </c>
      <c r="K34" s="73">
        <v>0.95497194779115713</v>
      </c>
      <c r="L34" s="37"/>
      <c r="M34" s="36">
        <v>224100.00000000003</v>
      </c>
      <c r="N34" s="36">
        <v>201690.00000000003</v>
      </c>
      <c r="O34" s="38">
        <v>0</v>
      </c>
      <c r="P34" s="36">
        <v>191968.76120000082</v>
      </c>
      <c r="Q34" s="121">
        <v>0.95180108681640541</v>
      </c>
      <c r="R34" s="37"/>
      <c r="S34" s="133">
        <v>0.13500000000000001</v>
      </c>
      <c r="T34" s="133">
        <v>0.13455174994136573</v>
      </c>
      <c r="U34" s="37"/>
      <c r="V34" s="36"/>
      <c r="W34" s="39">
        <v>-2.3491490098868142</v>
      </c>
      <c r="X34" s="72" t="s">
        <v>73</v>
      </c>
      <c r="Y34" s="37"/>
      <c r="Z34" s="65"/>
      <c r="AA34" s="34">
        <v>55333.333333333336</v>
      </c>
      <c r="AB34" s="34">
        <v>143293.07000000021</v>
      </c>
      <c r="AC34" s="37"/>
      <c r="AD34" s="36">
        <v>7470.0000000000009</v>
      </c>
      <c r="AE34" s="36">
        <v>19878.988399999984</v>
      </c>
      <c r="AF34" s="121">
        <v>2.661176492637213</v>
      </c>
      <c r="AG34" s="37"/>
      <c r="AH34" s="36">
        <v>7109.954118518549</v>
      </c>
      <c r="AI34" s="36">
        <v>213298.62355555646</v>
      </c>
      <c r="AJ34" s="121">
        <v>0.9518010868164053</v>
      </c>
      <c r="AK34" s="37"/>
      <c r="AL34" s="114">
        <v>0.13500000000000001</v>
      </c>
      <c r="AM34" s="114">
        <v>0.13872958685301359</v>
      </c>
      <c r="AN34" s="37"/>
      <c r="AO34" s="39">
        <v>-1.4689556166253144</v>
      </c>
      <c r="AP34" s="73">
        <v>0</v>
      </c>
    </row>
    <row r="35" spans="1:49" ht="12.75" customHeight="1" x14ac:dyDescent="0.3">
      <c r="A35" s="7" t="s">
        <v>16</v>
      </c>
      <c r="B35" s="224"/>
      <c r="C35" s="6" t="s">
        <v>12</v>
      </c>
      <c r="D35" s="35"/>
      <c r="E35" s="34">
        <v>156017.52000000005</v>
      </c>
      <c r="F35" s="129">
        <v>0.2689957241379311</v>
      </c>
      <c r="G35" s="7"/>
      <c r="H35" s="36">
        <v>580000</v>
      </c>
      <c r="I35" s="36">
        <v>513076.92307692312</v>
      </c>
      <c r="J35" s="36">
        <v>317960.69999999978</v>
      </c>
      <c r="K35" s="73">
        <v>0.61971350824587657</v>
      </c>
      <c r="L35" s="37"/>
      <c r="M35" s="36">
        <v>34800</v>
      </c>
      <c r="N35" s="36">
        <v>30784.615384615387</v>
      </c>
      <c r="O35" s="38">
        <v>1606.8400000000001</v>
      </c>
      <c r="P35" s="36">
        <v>41813.539999999994</v>
      </c>
      <c r="Q35" s="121">
        <v>1.3582609195402295</v>
      </c>
      <c r="R35" s="37"/>
      <c r="S35" s="133">
        <v>0.06</v>
      </c>
      <c r="T35" s="133">
        <v>0.13150537157579545</v>
      </c>
      <c r="U35" s="37"/>
      <c r="V35" s="36"/>
      <c r="W35" s="39">
        <v>-3.3001720023890133</v>
      </c>
      <c r="X35" s="72" t="s">
        <v>73</v>
      </c>
      <c r="Y35" s="37"/>
      <c r="Z35" s="65"/>
      <c r="AA35" s="34">
        <v>22307.692307692309</v>
      </c>
      <c r="AB35" s="34">
        <v>20197.41</v>
      </c>
      <c r="AC35" s="37"/>
      <c r="AD35" s="36">
        <v>1338.4615384615386</v>
      </c>
      <c r="AE35" s="36">
        <v>2538.1200000000003</v>
      </c>
      <c r="AF35" s="121">
        <v>1.8962965517241381</v>
      </c>
      <c r="AG35" s="37"/>
      <c r="AH35" s="36">
        <v>1817.9799999999998</v>
      </c>
      <c r="AI35" s="36">
        <v>47267.479999999996</v>
      </c>
      <c r="AJ35" s="121">
        <v>1.3582609195402298</v>
      </c>
      <c r="AK35" s="37"/>
      <c r="AL35" s="114">
        <v>0.06</v>
      </c>
      <c r="AM35" s="114">
        <v>0.12566561752224667</v>
      </c>
      <c r="AN35" s="37"/>
      <c r="AO35" s="39">
        <v>-4.2477228515933678</v>
      </c>
      <c r="AP35" s="73">
        <v>0</v>
      </c>
    </row>
    <row r="36" spans="1:49" s="16" customFormat="1" ht="17" customHeight="1" x14ac:dyDescent="0.3">
      <c r="A36" s="27"/>
      <c r="B36" s="224"/>
      <c r="C36" s="9" t="s">
        <v>62</v>
      </c>
      <c r="D36" s="29"/>
      <c r="E36" s="28">
        <v>1460007.02</v>
      </c>
      <c r="F36" s="130">
        <v>0.32957269074492102</v>
      </c>
      <c r="G36" s="27"/>
      <c r="H36" s="30">
        <v>4430000</v>
      </c>
      <c r="I36" s="30">
        <v>3953923.076923077</v>
      </c>
      <c r="J36" s="30">
        <v>3925218.5699999831</v>
      </c>
      <c r="K36" s="32">
        <v>0.99274024649325454</v>
      </c>
      <c r="L36" s="40"/>
      <c r="M36" s="30">
        <v>461180</v>
      </c>
      <c r="N36" s="30">
        <v>412835.84615384619</v>
      </c>
      <c r="O36" s="28">
        <v>1606.8400000000001</v>
      </c>
      <c r="P36" s="30">
        <v>418577.8040000007</v>
      </c>
      <c r="Q36" s="32">
        <v>1.0139085738306133</v>
      </c>
      <c r="R36" s="40"/>
      <c r="S36" s="134">
        <v>0.1041038374717833</v>
      </c>
      <c r="T36" s="134">
        <v>0.10663808818167354</v>
      </c>
      <c r="U36" s="40"/>
      <c r="V36" s="30"/>
      <c r="W36" s="33">
        <v>-5.2393845675711548</v>
      </c>
      <c r="X36" s="31" t="s">
        <v>73</v>
      </c>
      <c r="Y36" s="40"/>
      <c r="Z36" s="65"/>
      <c r="AA36" s="28">
        <v>158692.30769230769</v>
      </c>
      <c r="AB36" s="28">
        <v>380125.20000000024</v>
      </c>
      <c r="AC36" s="40"/>
      <c r="AD36" s="30">
        <v>16114.717948717949</v>
      </c>
      <c r="AE36" s="30">
        <v>32111.841999999975</v>
      </c>
      <c r="AF36" s="32">
        <v>1.9927027021006423</v>
      </c>
      <c r="AG36" s="40"/>
      <c r="AH36" s="30">
        <v>16662.952565539475</v>
      </c>
      <c r="AI36" s="30">
        <v>468566.66169661912</v>
      </c>
      <c r="AJ36" s="32">
        <v>1.0160168734477191</v>
      </c>
      <c r="AK36" s="40"/>
      <c r="AL36" s="85">
        <v>0.1041038374717833</v>
      </c>
      <c r="AM36" s="85">
        <v>8.4477014415250434E-2</v>
      </c>
      <c r="AN36" s="40"/>
      <c r="AO36" s="33">
        <v>0</v>
      </c>
      <c r="AP36" s="32">
        <v>0</v>
      </c>
      <c r="AQ36" s="11"/>
      <c r="AR36" s="11"/>
      <c r="AS36" s="11"/>
      <c r="AT36" s="11"/>
      <c r="AU36" s="11"/>
      <c r="AV36" s="11"/>
      <c r="AW36" s="11"/>
    </row>
    <row r="37" spans="1:49" ht="8" customHeight="1" x14ac:dyDescent="0.3">
      <c r="B37" s="17"/>
      <c r="D37" s="35"/>
      <c r="E37" s="48"/>
      <c r="F37" s="131"/>
      <c r="G37" s="35"/>
      <c r="H37" s="49"/>
      <c r="I37" s="49"/>
      <c r="J37" s="49"/>
      <c r="K37" s="52"/>
      <c r="L37" s="35"/>
      <c r="M37" s="49"/>
      <c r="N37" s="49"/>
      <c r="O37" s="52"/>
      <c r="P37" s="49"/>
      <c r="Q37" s="48"/>
      <c r="R37" s="35"/>
      <c r="S37" s="52"/>
      <c r="T37" s="52"/>
      <c r="U37" s="35"/>
      <c r="V37" s="49"/>
      <c r="W37" s="53"/>
      <c r="X37" s="49"/>
      <c r="Y37" s="35"/>
      <c r="Z37" s="65"/>
      <c r="AA37" s="48"/>
      <c r="AB37" s="48"/>
      <c r="AC37" s="37"/>
      <c r="AD37" s="49"/>
      <c r="AE37" s="49"/>
      <c r="AF37" s="48"/>
      <c r="AG37" s="37"/>
      <c r="AH37" s="49"/>
      <c r="AI37" s="49"/>
      <c r="AJ37" s="48"/>
      <c r="AK37" s="37"/>
      <c r="AL37" s="50"/>
      <c r="AM37" s="54"/>
      <c r="AN37" s="37"/>
      <c r="AO37" s="53"/>
      <c r="AP37" s="48"/>
    </row>
    <row r="38" spans="1:49" ht="12.75" customHeight="1" x14ac:dyDescent="0.3">
      <c r="A38" s="7" t="s">
        <v>19</v>
      </c>
      <c r="B38" s="224" t="s">
        <v>31</v>
      </c>
      <c r="C38" s="6" t="s">
        <v>8</v>
      </c>
      <c r="D38" s="35"/>
      <c r="E38" s="34">
        <v>115684.94000000008</v>
      </c>
      <c r="F38" s="129">
        <v>0.48403740585774091</v>
      </c>
      <c r="G38" s="7"/>
      <c r="H38" s="36">
        <v>239000</v>
      </c>
      <c r="I38" s="36">
        <v>211423.07692307691</v>
      </c>
      <c r="J38" s="36">
        <v>240481.61999999749</v>
      </c>
      <c r="K38" s="73">
        <v>1.1374426268873814</v>
      </c>
      <c r="L38" s="37"/>
      <c r="M38" s="36">
        <v>25095</v>
      </c>
      <c r="N38" s="36">
        <v>22199.423076923078</v>
      </c>
      <c r="O38" s="38">
        <v>436.12</v>
      </c>
      <c r="P38" s="36">
        <v>25202.035200000086</v>
      </c>
      <c r="Q38" s="121">
        <v>1.1352563133137594</v>
      </c>
      <c r="R38" s="37"/>
      <c r="S38" s="133">
        <v>0.105</v>
      </c>
      <c r="T38" s="133">
        <v>0.10479817625979211</v>
      </c>
      <c r="U38" s="37"/>
      <c r="V38" s="36"/>
      <c r="W38" s="39">
        <v>-2.6037061792926544</v>
      </c>
      <c r="X38" s="72" t="s">
        <v>73</v>
      </c>
      <c r="Y38" s="37"/>
      <c r="Z38" s="65"/>
      <c r="AA38" s="34">
        <v>9192.3076923076915</v>
      </c>
      <c r="AB38" s="34">
        <v>16813.86999999997</v>
      </c>
      <c r="AC38" s="37"/>
      <c r="AD38" s="36">
        <v>965.19230769230774</v>
      </c>
      <c r="AE38" s="36">
        <v>2148.7240000000011</v>
      </c>
      <c r="AF38" s="121">
        <v>2.2262133492727645</v>
      </c>
      <c r="AG38" s="37"/>
      <c r="AH38" s="36">
        <v>1095.740660869569</v>
      </c>
      <c r="AI38" s="36">
        <v>28489.257182608791</v>
      </c>
      <c r="AJ38" s="121">
        <v>1.1352563133137594</v>
      </c>
      <c r="AK38" s="37"/>
      <c r="AL38" s="114">
        <v>0.105</v>
      </c>
      <c r="AM38" s="114">
        <v>0.1277947313735627</v>
      </c>
      <c r="AN38" s="37"/>
      <c r="AO38" s="39">
        <v>-2.2100801302909204E-2</v>
      </c>
      <c r="AP38" s="73">
        <v>0</v>
      </c>
    </row>
    <row r="39" spans="1:49" ht="12.75" customHeight="1" x14ac:dyDescent="0.3">
      <c r="A39" s="7" t="s">
        <v>19</v>
      </c>
      <c r="B39" s="224"/>
      <c r="C39" s="6" t="s">
        <v>9</v>
      </c>
      <c r="D39" s="35"/>
      <c r="E39" s="34">
        <v>199092.71999999997</v>
      </c>
      <c r="F39" s="129">
        <v>0.34928547368421048</v>
      </c>
      <c r="G39" s="7"/>
      <c r="H39" s="36">
        <v>570000</v>
      </c>
      <c r="I39" s="36">
        <v>513000</v>
      </c>
      <c r="J39" s="36">
        <v>491978.06999995041</v>
      </c>
      <c r="K39" s="73">
        <v>0.9590215789472718</v>
      </c>
      <c r="L39" s="37"/>
      <c r="M39" s="36">
        <v>91142.999999999985</v>
      </c>
      <c r="N39" s="36">
        <v>82028.699999999983</v>
      </c>
      <c r="O39" s="38">
        <v>862.21999999999991</v>
      </c>
      <c r="P39" s="36">
        <v>68386.450000001103</v>
      </c>
      <c r="Q39" s="121">
        <v>0.83368930630378291</v>
      </c>
      <c r="R39" s="37"/>
      <c r="S39" s="133">
        <v>0.15989999999999999</v>
      </c>
      <c r="T39" s="133">
        <v>0.13900304539998704</v>
      </c>
      <c r="U39" s="37"/>
      <c r="V39" s="36"/>
      <c r="W39" s="39">
        <v>3.2192186940269334</v>
      </c>
      <c r="X39" s="72" t="s">
        <v>73</v>
      </c>
      <c r="Y39" s="37"/>
      <c r="Z39" s="65"/>
      <c r="AA39" s="34">
        <v>19000</v>
      </c>
      <c r="AB39" s="34">
        <v>52752.720000000241</v>
      </c>
      <c r="AC39" s="37"/>
      <c r="AD39" s="36">
        <v>3038.0999999999995</v>
      </c>
      <c r="AE39" s="36">
        <v>7500.5999999999867</v>
      </c>
      <c r="AF39" s="121">
        <v>2.4688456601165161</v>
      </c>
      <c r="AG39" s="37"/>
      <c r="AH39" s="36">
        <v>2532.8314814815221</v>
      </c>
      <c r="AI39" s="36">
        <v>75984.94444444566</v>
      </c>
      <c r="AJ39" s="121">
        <v>0.8336893063037828</v>
      </c>
      <c r="AK39" s="37"/>
      <c r="AL39" s="114">
        <v>0.15989999999999999</v>
      </c>
      <c r="AM39" s="114">
        <v>0.1421841376141354</v>
      </c>
      <c r="AN39" s="37"/>
      <c r="AO39" s="39">
        <v>3.5310027615639492</v>
      </c>
      <c r="AP39" s="73">
        <v>0</v>
      </c>
    </row>
    <row r="40" spans="1:49" ht="12.75" customHeight="1" x14ac:dyDescent="0.3">
      <c r="A40" s="7" t="s">
        <v>19</v>
      </c>
      <c r="B40" s="224"/>
      <c r="C40" s="6" t="s">
        <v>10</v>
      </c>
      <c r="D40" s="35"/>
      <c r="E40" s="34">
        <v>338165.8499999998</v>
      </c>
      <c r="F40" s="129">
        <v>0.36757157608695629</v>
      </c>
      <c r="G40" s="7"/>
      <c r="H40" s="36">
        <v>920000</v>
      </c>
      <c r="I40" s="36">
        <v>828000</v>
      </c>
      <c r="J40" s="36">
        <v>862273.80999988993</v>
      </c>
      <c r="K40" s="73">
        <v>1.0413934903380313</v>
      </c>
      <c r="L40" s="37"/>
      <c r="M40" s="36">
        <v>158240</v>
      </c>
      <c r="N40" s="36">
        <v>142416</v>
      </c>
      <c r="O40" s="38">
        <v>2771.99</v>
      </c>
      <c r="P40" s="36">
        <v>132070.12320000186</v>
      </c>
      <c r="Q40" s="121">
        <v>0.92735453319853012</v>
      </c>
      <c r="R40" s="37"/>
      <c r="S40" s="133">
        <v>0.17199999999999999</v>
      </c>
      <c r="T40" s="133">
        <v>0.15316494791836333</v>
      </c>
      <c r="U40" s="37"/>
      <c r="V40" s="36"/>
      <c r="W40" s="39">
        <v>4.3765927669644187</v>
      </c>
      <c r="X40" s="72" t="s">
        <v>73</v>
      </c>
      <c r="Y40" s="37"/>
      <c r="Z40" s="65"/>
      <c r="AA40" s="34">
        <v>30666.666666666668</v>
      </c>
      <c r="AB40" s="34">
        <v>97301.160000000542</v>
      </c>
      <c r="AC40" s="37"/>
      <c r="AD40" s="36">
        <v>5274.666666666667</v>
      </c>
      <c r="AE40" s="36">
        <v>14342.788799999937</v>
      </c>
      <c r="AF40" s="121">
        <v>2.7191839231546897</v>
      </c>
      <c r="AG40" s="37"/>
      <c r="AH40" s="36">
        <v>4891.4860444445139</v>
      </c>
      <c r="AI40" s="36">
        <v>146744.58133333543</v>
      </c>
      <c r="AJ40" s="121">
        <v>0.92735453319853023</v>
      </c>
      <c r="AK40" s="37"/>
      <c r="AL40" s="114">
        <v>0.17199999999999999</v>
      </c>
      <c r="AM40" s="114">
        <v>0.14740614397608268</v>
      </c>
      <c r="AN40" s="37"/>
      <c r="AO40" s="39">
        <v>4.2642439206280862</v>
      </c>
      <c r="AP40" s="73">
        <v>0</v>
      </c>
    </row>
    <row r="41" spans="1:49" ht="12.75" customHeight="1" x14ac:dyDescent="0.3">
      <c r="A41" s="7" t="s">
        <v>19</v>
      </c>
      <c r="B41" s="224"/>
      <c r="C41" s="6" t="s">
        <v>12</v>
      </c>
      <c r="D41" s="35"/>
      <c r="E41" s="34">
        <v>23676.099999999991</v>
      </c>
      <c r="F41" s="129">
        <v>0.36424769230769216</v>
      </c>
      <c r="G41" s="7"/>
      <c r="H41" s="36">
        <v>65000</v>
      </c>
      <c r="I41" s="36">
        <v>57500</v>
      </c>
      <c r="J41" s="36">
        <v>58440.409999999982</v>
      </c>
      <c r="K41" s="73">
        <v>1.0163549565217389</v>
      </c>
      <c r="L41" s="37"/>
      <c r="M41" s="36">
        <v>10543.019453627085</v>
      </c>
      <c r="N41" s="36">
        <v>9326.5172089778061</v>
      </c>
      <c r="O41" s="38">
        <v>4317.59</v>
      </c>
      <c r="P41" s="36">
        <v>12607.639999999987</v>
      </c>
      <c r="Q41" s="121">
        <v>1.3518057938995423</v>
      </c>
      <c r="R41" s="37"/>
      <c r="S41" s="133">
        <v>0.16220029928657054</v>
      </c>
      <c r="T41" s="133">
        <v>0.21573496832072175</v>
      </c>
      <c r="U41" s="37"/>
      <c r="V41" s="36"/>
      <c r="W41" s="39">
        <v>1.4905781804062925</v>
      </c>
      <c r="X41" s="72" t="s">
        <v>73</v>
      </c>
      <c r="Y41" s="37"/>
      <c r="Z41" s="65"/>
      <c r="AA41" s="34">
        <v>2500</v>
      </c>
      <c r="AB41" s="34">
        <v>1737.3500000000004</v>
      </c>
      <c r="AC41" s="37"/>
      <c r="AD41" s="36">
        <v>405.50074821642636</v>
      </c>
      <c r="AE41" s="36">
        <v>176.96999999999997</v>
      </c>
      <c r="AF41" s="121">
        <v>0.43642336241891827</v>
      </c>
      <c r="AG41" s="37"/>
      <c r="AH41" s="36">
        <v>548.15826086956463</v>
      </c>
      <c r="AI41" s="36">
        <v>14252.11478260868</v>
      </c>
      <c r="AJ41" s="121">
        <v>1.3518057938995423</v>
      </c>
      <c r="AK41" s="37"/>
      <c r="AL41" s="114">
        <v>0.16220029928657054</v>
      </c>
      <c r="AM41" s="114">
        <v>0.10186203125449675</v>
      </c>
      <c r="AN41" s="37"/>
      <c r="AO41" s="39">
        <v>-1.6220105332834653</v>
      </c>
      <c r="AP41" s="73">
        <v>0</v>
      </c>
    </row>
    <row r="42" spans="1:49" s="16" customFormat="1" ht="14.25" customHeight="1" x14ac:dyDescent="0.3">
      <c r="A42" s="27"/>
      <c r="B42" s="224"/>
      <c r="C42" s="9" t="s">
        <v>30</v>
      </c>
      <c r="D42" s="29"/>
      <c r="E42" s="28">
        <v>676619.60999999975</v>
      </c>
      <c r="F42" s="130">
        <v>0.37715697324414704</v>
      </c>
      <c r="G42" s="27"/>
      <c r="H42" s="30">
        <v>1794000</v>
      </c>
      <c r="I42" s="30">
        <v>1609923.076923077</v>
      </c>
      <c r="J42" s="30">
        <v>1653173.9099998379</v>
      </c>
      <c r="K42" s="32">
        <v>1.0268651550479186</v>
      </c>
      <c r="L42" s="40"/>
      <c r="M42" s="30">
        <v>285021.01945362706</v>
      </c>
      <c r="N42" s="30">
        <v>255970.64028590088</v>
      </c>
      <c r="O42" s="28">
        <v>8387.92</v>
      </c>
      <c r="P42" s="30">
        <v>238266.24840000304</v>
      </c>
      <c r="Q42" s="32">
        <v>0.93083428683022673</v>
      </c>
      <c r="R42" s="40"/>
      <c r="S42" s="134">
        <v>0.15887459278351565</v>
      </c>
      <c r="T42" s="134">
        <v>0.14412654770242919</v>
      </c>
      <c r="U42" s="40"/>
      <c r="V42" s="30"/>
      <c r="W42" s="33">
        <v>2.9147404340440319</v>
      </c>
      <c r="X42" s="31" t="s">
        <v>73</v>
      </c>
      <c r="Y42" s="40"/>
      <c r="Z42" s="65"/>
      <c r="AA42" s="28">
        <v>61358.974358974359</v>
      </c>
      <c r="AB42" s="28">
        <v>168605.10000000076</v>
      </c>
      <c r="AC42" s="40"/>
      <c r="AD42" s="30">
        <v>9683.4597225754005</v>
      </c>
      <c r="AE42" s="30">
        <v>24169.082799999924</v>
      </c>
      <c r="AF42" s="32">
        <v>2.4959140113583231</v>
      </c>
      <c r="AG42" s="40"/>
      <c r="AH42" s="30">
        <v>9068.2164476651706</v>
      </c>
      <c r="AI42" s="30">
        <v>265470.89774299855</v>
      </c>
      <c r="AJ42" s="32">
        <v>0.93140814053607257</v>
      </c>
      <c r="AK42" s="40"/>
      <c r="AL42" s="85">
        <v>0.15887459278351565</v>
      </c>
      <c r="AM42" s="85">
        <v>0.14334728190309673</v>
      </c>
      <c r="AN42" s="40"/>
      <c r="AO42" s="33">
        <v>0</v>
      </c>
      <c r="AP42" s="32">
        <v>0</v>
      </c>
      <c r="AQ42" s="11"/>
      <c r="AR42" s="11"/>
      <c r="AS42" s="11"/>
      <c r="AT42" s="11"/>
      <c r="AU42" s="11"/>
      <c r="AV42" s="11"/>
      <c r="AW42" s="11"/>
    </row>
    <row r="43" spans="1:49" ht="8" customHeight="1" x14ac:dyDescent="0.3">
      <c r="B43" s="17"/>
      <c r="D43" s="35"/>
      <c r="E43" s="48"/>
      <c r="F43" s="131"/>
      <c r="G43" s="35"/>
      <c r="H43" s="49"/>
      <c r="I43" s="49"/>
      <c r="J43" s="49"/>
      <c r="K43" s="52"/>
      <c r="L43" s="35"/>
      <c r="M43" s="49"/>
      <c r="N43" s="49"/>
      <c r="O43" s="52"/>
      <c r="P43" s="49"/>
      <c r="Q43" s="48"/>
      <c r="R43" s="35"/>
      <c r="S43" s="52"/>
      <c r="T43" s="52"/>
      <c r="U43" s="35"/>
      <c r="V43" s="49"/>
      <c r="W43" s="53"/>
      <c r="X43" s="49"/>
      <c r="Y43" s="35"/>
      <c r="Z43" s="65"/>
      <c r="AA43" s="48"/>
      <c r="AB43" s="48"/>
      <c r="AC43" s="37"/>
      <c r="AD43" s="49"/>
      <c r="AE43" s="49"/>
      <c r="AF43" s="48"/>
      <c r="AG43" s="37"/>
      <c r="AH43" s="49"/>
      <c r="AI43" s="49"/>
      <c r="AJ43" s="48"/>
      <c r="AK43" s="37"/>
      <c r="AL43" s="50"/>
      <c r="AM43" s="54"/>
      <c r="AN43" s="37"/>
      <c r="AO43" s="53"/>
      <c r="AP43" s="48"/>
    </row>
    <row r="44" spans="1:49" ht="12.75" customHeight="1" x14ac:dyDescent="0.3">
      <c r="A44" s="7" t="s">
        <v>20</v>
      </c>
      <c r="B44" s="224" t="s">
        <v>27</v>
      </c>
      <c r="C44" s="6" t="s">
        <v>8</v>
      </c>
      <c r="D44" s="35"/>
      <c r="E44" s="34">
        <v>597630.37999999896</v>
      </c>
      <c r="F44" s="129">
        <v>3.2479911956521681</v>
      </c>
      <c r="G44" s="7"/>
      <c r="H44" s="36">
        <v>184000</v>
      </c>
      <c r="I44" s="36">
        <v>162769.23076923078</v>
      </c>
      <c r="J44" s="36">
        <v>208547.5899999993</v>
      </c>
      <c r="K44" s="73">
        <v>1.2812470085066119</v>
      </c>
      <c r="L44" s="37"/>
      <c r="M44" s="36">
        <v>22080</v>
      </c>
      <c r="N44" s="36">
        <v>19532.307692307695</v>
      </c>
      <c r="O44" s="38">
        <v>1080.46</v>
      </c>
      <c r="P44" s="36">
        <v>17516.835600000086</v>
      </c>
      <c r="Q44" s="121">
        <v>0.8968134168242009</v>
      </c>
      <c r="R44" s="37"/>
      <c r="S44" s="133">
        <v>0.12</v>
      </c>
      <c r="T44" s="133">
        <v>8.3994428322092543E-2</v>
      </c>
      <c r="U44" s="37"/>
      <c r="V44" s="36"/>
      <c r="W44" s="39">
        <v>-1.933891635957792</v>
      </c>
      <c r="X44" s="72" t="s">
        <v>73</v>
      </c>
      <c r="Y44" s="37"/>
      <c r="Z44" s="65"/>
      <c r="AA44" s="34">
        <v>7076.9230769230771</v>
      </c>
      <c r="AB44" s="34">
        <v>18627.779999999944</v>
      </c>
      <c r="AC44" s="37"/>
      <c r="AD44" s="36">
        <v>849.23076923076928</v>
      </c>
      <c r="AE44" s="36">
        <v>3973.3024499999979</v>
      </c>
      <c r="AF44" s="121">
        <v>4.6787075951086932</v>
      </c>
      <c r="AG44" s="37"/>
      <c r="AH44" s="36">
        <v>761.60154782609072</v>
      </c>
      <c r="AI44" s="36">
        <v>19801.640243478359</v>
      </c>
      <c r="AJ44" s="121">
        <v>0.89681341682420102</v>
      </c>
      <c r="AK44" s="37"/>
      <c r="AL44" s="114">
        <v>0.12</v>
      </c>
      <c r="AM44" s="114">
        <v>0.21329983766181529</v>
      </c>
      <c r="AN44" s="37"/>
      <c r="AO44" s="39">
        <v>8.8550135872333549</v>
      </c>
      <c r="AP44" s="73">
        <v>0</v>
      </c>
    </row>
    <row r="45" spans="1:49" ht="12.75" customHeight="1" x14ac:dyDescent="0.3">
      <c r="A45" s="7" t="s">
        <v>20</v>
      </c>
      <c r="B45" s="224"/>
      <c r="C45" s="6" t="s">
        <v>9</v>
      </c>
      <c r="D45" s="35"/>
      <c r="E45" s="34">
        <v>998355.3600000001</v>
      </c>
      <c r="F45" s="129">
        <v>2.349071435294118</v>
      </c>
      <c r="G45" s="7"/>
      <c r="H45" s="36">
        <v>425000</v>
      </c>
      <c r="I45" s="36">
        <v>382500</v>
      </c>
      <c r="J45" s="36">
        <v>369944.03999993834</v>
      </c>
      <c r="K45" s="73">
        <v>0.96717396078415252</v>
      </c>
      <c r="L45" s="37"/>
      <c r="M45" s="36">
        <v>67649.851647662959</v>
      </c>
      <c r="N45" s="36">
        <v>60884.866482896658</v>
      </c>
      <c r="O45" s="38">
        <v>3898.97</v>
      </c>
      <c r="P45" s="36">
        <v>65833.389999998952</v>
      </c>
      <c r="Q45" s="121">
        <v>1.0812767408875308</v>
      </c>
      <c r="R45" s="37"/>
      <c r="S45" s="133">
        <v>0.15917612152391283</v>
      </c>
      <c r="T45" s="133">
        <v>0.17795499557178951</v>
      </c>
      <c r="U45" s="37"/>
      <c r="V45" s="36"/>
      <c r="W45" s="39">
        <v>6.5076004467967605</v>
      </c>
      <c r="X45" s="72" t="s">
        <v>73</v>
      </c>
      <c r="Y45" s="37"/>
      <c r="Z45" s="65"/>
      <c r="AA45" s="34">
        <v>14166.666666666666</v>
      </c>
      <c r="AB45" s="34">
        <v>35370.020000000994</v>
      </c>
      <c r="AC45" s="37"/>
      <c r="AD45" s="36">
        <v>2254.9950549220985</v>
      </c>
      <c r="AE45" s="36">
        <v>6896.2500000000146</v>
      </c>
      <c r="AF45" s="121">
        <v>3.0582106976009551</v>
      </c>
      <c r="AG45" s="37"/>
      <c r="AH45" s="36">
        <v>2438.273703703665</v>
      </c>
      <c r="AI45" s="36">
        <v>73148.211111109951</v>
      </c>
      <c r="AJ45" s="121">
        <v>1.0812767408875306</v>
      </c>
      <c r="AK45" s="37"/>
      <c r="AL45" s="114">
        <v>0.15917612152391283</v>
      </c>
      <c r="AM45" s="114">
        <v>0.19497444445888978</v>
      </c>
      <c r="AN45" s="37"/>
      <c r="AO45" s="39">
        <v>9.2378234448298446</v>
      </c>
      <c r="AP45" s="73">
        <v>0</v>
      </c>
    </row>
    <row r="46" spans="1:49" ht="12.75" customHeight="1" x14ac:dyDescent="0.3">
      <c r="A46" s="7" t="s">
        <v>20</v>
      </c>
      <c r="B46" s="224"/>
      <c r="C46" s="6" t="s">
        <v>10</v>
      </c>
      <c r="D46" s="35"/>
      <c r="E46" s="34">
        <v>1314096.0399999984</v>
      </c>
      <c r="F46" s="129">
        <v>2.3054316491228044</v>
      </c>
      <c r="G46" s="7"/>
      <c r="H46" s="36">
        <v>570000</v>
      </c>
      <c r="I46" s="36">
        <v>513000</v>
      </c>
      <c r="J46" s="36">
        <v>568873.62999988091</v>
      </c>
      <c r="K46" s="73">
        <v>1.1089154580894365</v>
      </c>
      <c r="L46" s="37"/>
      <c r="M46" s="36">
        <v>95190</v>
      </c>
      <c r="N46" s="36">
        <v>85671</v>
      </c>
      <c r="O46" s="38">
        <v>2499.5000000000005</v>
      </c>
      <c r="P46" s="36">
        <v>65215.99761999886</v>
      </c>
      <c r="Q46" s="121">
        <v>0.76123773062061673</v>
      </c>
      <c r="R46" s="37"/>
      <c r="S46" s="133">
        <v>0.16700000000000001</v>
      </c>
      <c r="T46" s="133">
        <v>0.11464057073626793</v>
      </c>
      <c r="U46" s="37"/>
      <c r="V46" s="36"/>
      <c r="W46" s="39">
        <v>1.0213019752521681</v>
      </c>
      <c r="X46" s="72" t="s">
        <v>73</v>
      </c>
      <c r="Y46" s="37"/>
      <c r="Z46" s="65"/>
      <c r="AA46" s="34">
        <v>19000</v>
      </c>
      <c r="AB46" s="34">
        <v>72904.440000000803</v>
      </c>
      <c r="AC46" s="37"/>
      <c r="AD46" s="36">
        <v>3173</v>
      </c>
      <c r="AE46" s="36">
        <v>5538.8335500000112</v>
      </c>
      <c r="AF46" s="121">
        <v>1.7456141033722066</v>
      </c>
      <c r="AG46" s="37"/>
      <c r="AH46" s="36">
        <v>2415.4073192592168</v>
      </c>
      <c r="AI46" s="36">
        <v>72462.219577776501</v>
      </c>
      <c r="AJ46" s="121">
        <v>0.76123773062061673</v>
      </c>
      <c r="AK46" s="37"/>
      <c r="AL46" s="114">
        <v>0.16700000000000001</v>
      </c>
      <c r="AM46" s="114">
        <v>7.5973885129629284E-2</v>
      </c>
      <c r="AN46" s="37"/>
      <c r="AO46" s="39">
        <v>-1.7487912258829521</v>
      </c>
      <c r="AP46" s="73">
        <v>0</v>
      </c>
    </row>
    <row r="47" spans="1:49" ht="12.75" customHeight="1" x14ac:dyDescent="0.3">
      <c r="A47" s="7" t="s">
        <v>20</v>
      </c>
      <c r="B47" s="224"/>
      <c r="C47" s="6" t="s">
        <v>12</v>
      </c>
      <c r="D47" s="35"/>
      <c r="E47" s="34">
        <v>44714.900000000023</v>
      </c>
      <c r="F47" s="129">
        <v>1.8631208333333342</v>
      </c>
      <c r="G47" s="7"/>
      <c r="H47" s="36">
        <v>24000</v>
      </c>
      <c r="I47" s="36">
        <v>21230.76923076923</v>
      </c>
      <c r="J47" s="36">
        <v>19312.200000000026</v>
      </c>
      <c r="K47" s="73">
        <v>0.90963260869565343</v>
      </c>
      <c r="L47" s="37"/>
      <c r="M47" s="36">
        <v>4080.0000000000005</v>
      </c>
      <c r="N47" s="36">
        <v>3609.2307692307695</v>
      </c>
      <c r="O47" s="38">
        <v>2177.63</v>
      </c>
      <c r="P47" s="36">
        <v>5290.8599999999969</v>
      </c>
      <c r="Q47" s="121">
        <v>1.4659245524296665</v>
      </c>
      <c r="R47" s="37"/>
      <c r="S47" s="133">
        <v>0.17</v>
      </c>
      <c r="T47" s="133">
        <v>0.27396464411097593</v>
      </c>
      <c r="U47" s="37"/>
      <c r="V47" s="36"/>
      <c r="W47" s="39">
        <v>5.700179161359217</v>
      </c>
      <c r="X47" s="72" t="s">
        <v>73</v>
      </c>
      <c r="Y47" s="37"/>
      <c r="Z47" s="65"/>
      <c r="AA47" s="34">
        <v>923.07692307692309</v>
      </c>
      <c r="AB47" s="34">
        <v>665.50000000000023</v>
      </c>
      <c r="AC47" s="37"/>
      <c r="AD47" s="36">
        <v>156.92307692307693</v>
      </c>
      <c r="AE47" s="36">
        <v>176.69000000000008</v>
      </c>
      <c r="AF47" s="121">
        <v>1.1259656862745102</v>
      </c>
      <c r="AG47" s="37"/>
      <c r="AH47" s="36">
        <v>230.03739130434769</v>
      </c>
      <c r="AI47" s="36">
        <v>5980.97217391304</v>
      </c>
      <c r="AJ47" s="121">
        <v>1.4659245524296665</v>
      </c>
      <c r="AK47" s="37"/>
      <c r="AL47" s="114">
        <v>0.17</v>
      </c>
      <c r="AM47" s="114">
        <v>0.2654996243425996</v>
      </c>
      <c r="AN47" s="37"/>
      <c r="AO47" s="39">
        <v>16.844477836213422</v>
      </c>
      <c r="AP47" s="73">
        <v>0</v>
      </c>
    </row>
    <row r="48" spans="1:49" s="16" customFormat="1" ht="14.25" customHeight="1" x14ac:dyDescent="0.3">
      <c r="A48" s="27"/>
      <c r="B48" s="224"/>
      <c r="C48" s="9" t="s">
        <v>28</v>
      </c>
      <c r="D48" s="29"/>
      <c r="E48" s="28">
        <v>2954796.6799999974</v>
      </c>
      <c r="F48" s="130">
        <v>2.4561900914380694</v>
      </c>
      <c r="G48" s="27"/>
      <c r="H48" s="30">
        <v>1203000</v>
      </c>
      <c r="I48" s="30">
        <v>1079500</v>
      </c>
      <c r="J48" s="30">
        <v>1166677.4599998186</v>
      </c>
      <c r="K48" s="32">
        <v>1.0807572579896421</v>
      </c>
      <c r="L48" s="40"/>
      <c r="M48" s="30">
        <v>188999.85164766296</v>
      </c>
      <c r="N48" s="30">
        <v>169697.40494443514</v>
      </c>
      <c r="O48" s="28">
        <v>9656.5600000000013</v>
      </c>
      <c r="P48" s="30">
        <v>153857.08321999788</v>
      </c>
      <c r="Q48" s="32">
        <v>0.90665548639577642</v>
      </c>
      <c r="R48" s="40"/>
      <c r="S48" s="134">
        <v>0.15710710860154858</v>
      </c>
      <c r="T48" s="134">
        <v>0.13187627985889244</v>
      </c>
      <c r="U48" s="40"/>
      <c r="V48" s="30"/>
      <c r="W48" s="33">
        <v>2.3101623322536922</v>
      </c>
      <c r="X48" s="31" t="s">
        <v>73</v>
      </c>
      <c r="Y48" s="40"/>
      <c r="Z48" s="65"/>
      <c r="AA48" s="28">
        <v>41166.666666666664</v>
      </c>
      <c r="AB48" s="28">
        <v>127567.74000000174</v>
      </c>
      <c r="AC48" s="40"/>
      <c r="AD48" s="30">
        <v>6434.1489010759451</v>
      </c>
      <c r="AE48" s="30">
        <v>16585.076000000023</v>
      </c>
      <c r="AF48" s="32">
        <v>2.5776643119382268</v>
      </c>
      <c r="AG48" s="40"/>
      <c r="AH48" s="30">
        <v>5845.3199620933201</v>
      </c>
      <c r="AI48" s="30">
        <v>171393.04310627785</v>
      </c>
      <c r="AJ48" s="32">
        <v>0.90684220972719043</v>
      </c>
      <c r="AK48" s="40"/>
      <c r="AL48" s="85">
        <v>0.15710710860154858</v>
      </c>
      <c r="AM48" s="85">
        <v>0.1300099539272217</v>
      </c>
      <c r="AN48" s="40"/>
      <c r="AO48" s="33">
        <v>0</v>
      </c>
      <c r="AP48" s="32">
        <v>0</v>
      </c>
      <c r="AQ48" s="11"/>
      <c r="AR48" s="11"/>
      <c r="AS48" s="11"/>
      <c r="AT48" s="11"/>
      <c r="AU48" s="11"/>
      <c r="AV48" s="11"/>
      <c r="AW48" s="11"/>
    </row>
    <row r="49" spans="1:49" ht="8" customHeight="1" x14ac:dyDescent="0.3">
      <c r="B49" s="17"/>
      <c r="D49" s="35"/>
      <c r="E49" s="48"/>
      <c r="F49" s="131"/>
      <c r="G49" s="35"/>
      <c r="H49" s="49"/>
      <c r="I49" s="49"/>
      <c r="J49" s="49"/>
      <c r="K49" s="52"/>
      <c r="L49" s="35"/>
      <c r="M49" s="49"/>
      <c r="N49" s="49"/>
      <c r="O49" s="52"/>
      <c r="P49" s="49"/>
      <c r="Q49" s="48"/>
      <c r="R49" s="35"/>
      <c r="S49" s="52"/>
      <c r="T49" s="52"/>
      <c r="U49" s="35"/>
      <c r="V49" s="49"/>
      <c r="W49" s="53"/>
      <c r="X49" s="49"/>
      <c r="Y49" s="35"/>
      <c r="Z49" s="65"/>
      <c r="AA49" s="48"/>
      <c r="AB49" s="48"/>
      <c r="AC49" s="37"/>
      <c r="AD49" s="49"/>
      <c r="AE49" s="49"/>
      <c r="AF49" s="48"/>
      <c r="AG49" s="37"/>
      <c r="AH49" s="49"/>
      <c r="AI49" s="49"/>
      <c r="AJ49" s="48"/>
      <c r="AK49" s="37"/>
      <c r="AL49" s="50"/>
      <c r="AM49" s="54"/>
      <c r="AN49" s="37"/>
      <c r="AO49" s="53"/>
      <c r="AP49" s="48"/>
    </row>
    <row r="50" spans="1:49" ht="12.75" customHeight="1" x14ac:dyDescent="0.3">
      <c r="A50" s="7" t="s">
        <v>17</v>
      </c>
      <c r="B50" s="247" t="s">
        <v>71</v>
      </c>
      <c r="C50" s="6" t="s">
        <v>8</v>
      </c>
      <c r="D50" s="35"/>
      <c r="E50" s="34">
        <v>133365.10000000003</v>
      </c>
      <c r="F50" s="129">
        <v>0.22993982758620696</v>
      </c>
      <c r="G50" s="7"/>
      <c r="H50" s="36">
        <v>580000</v>
      </c>
      <c r="I50" s="36">
        <v>513076.92307692312</v>
      </c>
      <c r="J50" s="36">
        <v>482965.01999999699</v>
      </c>
      <c r="K50" s="73">
        <v>0.94131113343327744</v>
      </c>
      <c r="L50" s="37"/>
      <c r="M50" s="36">
        <v>98020</v>
      </c>
      <c r="N50" s="36">
        <v>86710</v>
      </c>
      <c r="O50" s="38">
        <v>0</v>
      </c>
      <c r="P50" s="36">
        <v>85294.592150000011</v>
      </c>
      <c r="Q50" s="121">
        <v>0.98367653269519095</v>
      </c>
      <c r="R50" s="37"/>
      <c r="S50" s="133">
        <v>0.16900000000000001</v>
      </c>
      <c r="T50" s="133">
        <v>0.17660614872273886</v>
      </c>
      <c r="U50" s="37"/>
      <c r="V50" s="36"/>
      <c r="W50" s="39">
        <v>-8.5127961958824425</v>
      </c>
      <c r="X50" s="72" t="s">
        <v>73</v>
      </c>
      <c r="Y50" s="37"/>
      <c r="Z50" s="65"/>
      <c r="AA50" s="34">
        <v>22307.692307692309</v>
      </c>
      <c r="AB50" s="34">
        <v>41683.900000000009</v>
      </c>
      <c r="AC50" s="37"/>
      <c r="AD50" s="36">
        <v>3770</v>
      </c>
      <c r="AE50" s="36">
        <v>7145.1046500000002</v>
      </c>
      <c r="AF50" s="121">
        <v>1.8952532228116712</v>
      </c>
      <c r="AG50" s="37"/>
      <c r="AH50" s="36">
        <v>3708.46052826087</v>
      </c>
      <c r="AI50" s="36">
        <v>96419.973734782616</v>
      </c>
      <c r="AJ50" s="121">
        <v>0.98367653269519095</v>
      </c>
      <c r="AK50" s="37"/>
      <c r="AL50" s="114">
        <v>0.16900000000000001</v>
      </c>
      <c r="AM50" s="114">
        <v>0.17141161575572339</v>
      </c>
      <c r="AN50" s="37"/>
      <c r="AO50" s="39">
        <v>-6.4406050057695996</v>
      </c>
      <c r="AP50" s="73">
        <v>0</v>
      </c>
    </row>
    <row r="51" spans="1:49" ht="12.75" customHeight="1" x14ac:dyDescent="0.3">
      <c r="A51" s="7" t="s">
        <v>17</v>
      </c>
      <c r="B51" s="247"/>
      <c r="C51" s="6" t="s">
        <v>9</v>
      </c>
      <c r="D51" s="35"/>
      <c r="E51" s="34">
        <v>89335.300000000032</v>
      </c>
      <c r="F51" s="129">
        <v>0.38841434782608708</v>
      </c>
      <c r="G51" s="7"/>
      <c r="H51" s="36">
        <v>230000</v>
      </c>
      <c r="I51" s="36">
        <v>207000</v>
      </c>
      <c r="J51" s="36">
        <v>288769.6799999958</v>
      </c>
      <c r="K51" s="73">
        <v>1.3950226086956319</v>
      </c>
      <c r="L51" s="37"/>
      <c r="M51" s="36">
        <v>45770</v>
      </c>
      <c r="N51" s="36">
        <v>41193</v>
      </c>
      <c r="O51" s="38">
        <v>330.74</v>
      </c>
      <c r="P51" s="36">
        <v>37120.010000000162</v>
      </c>
      <c r="Q51" s="121">
        <v>0.90112422013449278</v>
      </c>
      <c r="R51" s="37"/>
      <c r="S51" s="133">
        <v>0.19900000000000001</v>
      </c>
      <c r="T51" s="133">
        <v>0.1285453860668499</v>
      </c>
      <c r="U51" s="37"/>
      <c r="V51" s="36"/>
      <c r="W51" s="39">
        <v>-9.811622189699623</v>
      </c>
      <c r="X51" s="72" t="s">
        <v>73</v>
      </c>
      <c r="Y51" s="37"/>
      <c r="Z51" s="65"/>
      <c r="AA51" s="34">
        <v>7666.666666666667</v>
      </c>
      <c r="AB51" s="34">
        <v>25816.12999999999</v>
      </c>
      <c r="AC51" s="37"/>
      <c r="AD51" s="36">
        <v>1525.6666666666667</v>
      </c>
      <c r="AE51" s="36">
        <v>3388.4300000000007</v>
      </c>
      <c r="AF51" s="121">
        <v>2.220950404194888</v>
      </c>
      <c r="AG51" s="37"/>
      <c r="AH51" s="36">
        <v>1374.8151851851912</v>
      </c>
      <c r="AI51" s="36">
        <v>41244.455555555738</v>
      </c>
      <c r="AJ51" s="121">
        <v>0.90112422013449289</v>
      </c>
      <c r="AK51" s="37"/>
      <c r="AL51" s="114">
        <v>0.19900000000000001</v>
      </c>
      <c r="AM51" s="114">
        <v>0.13125243791381597</v>
      </c>
      <c r="AN51" s="37"/>
      <c r="AO51" s="39">
        <v>-10.347484305354989</v>
      </c>
      <c r="AP51" s="73">
        <v>0</v>
      </c>
    </row>
    <row r="52" spans="1:49" ht="12.75" customHeight="1" x14ac:dyDescent="0.3">
      <c r="A52" s="7" t="s">
        <v>17</v>
      </c>
      <c r="B52" s="247"/>
      <c r="C52" s="6" t="s">
        <v>10</v>
      </c>
      <c r="D52" s="35"/>
      <c r="E52" s="34">
        <v>141876.73999999993</v>
      </c>
      <c r="F52" s="129">
        <v>0.36378651282051266</v>
      </c>
      <c r="G52" s="7"/>
      <c r="H52" s="36">
        <v>390000</v>
      </c>
      <c r="I52" s="36">
        <v>351000</v>
      </c>
      <c r="J52" s="36">
        <v>369928.24999999651</v>
      </c>
      <c r="K52" s="73">
        <v>1.0539266381766281</v>
      </c>
      <c r="L52" s="37"/>
      <c r="M52" s="36">
        <v>80997.011004653381</v>
      </c>
      <c r="N52" s="36">
        <v>72897.309904188034</v>
      </c>
      <c r="O52" s="38">
        <v>330.74</v>
      </c>
      <c r="P52" s="36">
        <v>77195.470050000193</v>
      </c>
      <c r="Q52" s="121">
        <v>1.0589618485436763</v>
      </c>
      <c r="R52" s="37"/>
      <c r="S52" s="133">
        <v>0.20768464360167532</v>
      </c>
      <c r="T52" s="133">
        <v>0.20867687193395185</v>
      </c>
      <c r="U52" s="37"/>
      <c r="V52" s="36"/>
      <c r="W52" s="39">
        <v>-0.59502888735885628</v>
      </c>
      <c r="X52" s="72" t="s">
        <v>73</v>
      </c>
      <c r="Y52" s="37"/>
      <c r="Z52" s="65"/>
      <c r="AA52" s="34">
        <v>13000</v>
      </c>
      <c r="AB52" s="34">
        <v>42556.110000000124</v>
      </c>
      <c r="AC52" s="37"/>
      <c r="AD52" s="36">
        <v>2699.9003668217792</v>
      </c>
      <c r="AE52" s="36">
        <v>8949.985149999995</v>
      </c>
      <c r="AF52" s="121">
        <v>3.314931639694386</v>
      </c>
      <c r="AG52" s="37"/>
      <c r="AH52" s="36">
        <v>2859.0914833333404</v>
      </c>
      <c r="AI52" s="36">
        <v>85772.744500000219</v>
      </c>
      <c r="AJ52" s="121">
        <v>1.058961848543676</v>
      </c>
      <c r="AK52" s="37"/>
      <c r="AL52" s="114">
        <v>0.20768464360167532</v>
      </c>
      <c r="AM52" s="114">
        <v>0.21031022689808745</v>
      </c>
      <c r="AN52" s="37"/>
      <c r="AO52" s="39">
        <v>-0.26077301238251444</v>
      </c>
      <c r="AP52" s="73">
        <v>0</v>
      </c>
    </row>
    <row r="53" spans="1:49" ht="12.75" customHeight="1" x14ac:dyDescent="0.3">
      <c r="A53" s="7" t="s">
        <v>17</v>
      </c>
      <c r="B53" s="247"/>
      <c r="C53" s="6" t="s">
        <v>12</v>
      </c>
      <c r="D53" s="35"/>
      <c r="E53" s="34">
        <v>79914.369999999966</v>
      </c>
      <c r="F53" s="129">
        <v>0.1816235681818181</v>
      </c>
      <c r="G53" s="7"/>
      <c r="H53" s="36">
        <v>440000</v>
      </c>
      <c r="I53" s="36">
        <v>389230.76923076919</v>
      </c>
      <c r="J53" s="36">
        <v>537157.47999999952</v>
      </c>
      <c r="K53" s="73">
        <v>1.3800488616600779</v>
      </c>
      <c r="L53" s="37"/>
      <c r="M53" s="36">
        <v>94600</v>
      </c>
      <c r="N53" s="36">
        <v>83684.61538461539</v>
      </c>
      <c r="O53" s="38">
        <v>8060.4699999999993</v>
      </c>
      <c r="P53" s="36">
        <v>125279.64000000001</v>
      </c>
      <c r="Q53" s="121">
        <v>1.4970450592885376</v>
      </c>
      <c r="R53" s="37"/>
      <c r="S53" s="133">
        <v>0.215</v>
      </c>
      <c r="T53" s="133">
        <v>0.23322702310689247</v>
      </c>
      <c r="U53" s="37"/>
      <c r="V53" s="36"/>
      <c r="W53" s="39">
        <v>-2.2478063602503906</v>
      </c>
      <c r="X53" s="72" t="s">
        <v>73</v>
      </c>
      <c r="Y53" s="37"/>
      <c r="Z53" s="65"/>
      <c r="AA53" s="34">
        <v>16923.076923076922</v>
      </c>
      <c r="AB53" s="34">
        <v>13476.39</v>
      </c>
      <c r="AC53" s="37"/>
      <c r="AD53" s="36">
        <v>3638.4615384615386</v>
      </c>
      <c r="AE53" s="36">
        <v>2016.4600000000003</v>
      </c>
      <c r="AF53" s="121">
        <v>0.55420676532769564</v>
      </c>
      <c r="AG53" s="37"/>
      <c r="AH53" s="36">
        <v>5446.9408695652182</v>
      </c>
      <c r="AI53" s="36">
        <v>141620.46260869567</v>
      </c>
      <c r="AJ53" s="121">
        <v>1.4970450592885378</v>
      </c>
      <c r="AK53" s="37"/>
      <c r="AL53" s="114">
        <v>0.215</v>
      </c>
      <c r="AM53" s="114">
        <v>0.14962909206397265</v>
      </c>
      <c r="AN53" s="37"/>
      <c r="AO53" s="39">
        <v>-0.65381010789982019</v>
      </c>
      <c r="AP53" s="73">
        <v>0</v>
      </c>
    </row>
    <row r="54" spans="1:49" s="16" customFormat="1" ht="14.25" customHeight="1" x14ac:dyDescent="0.3">
      <c r="A54" s="27"/>
      <c r="B54" s="247"/>
      <c r="C54" s="9" t="s">
        <v>75</v>
      </c>
      <c r="D54" s="29"/>
      <c r="E54" s="28">
        <v>444491.51</v>
      </c>
      <c r="F54" s="130">
        <v>0.27103140853658536</v>
      </c>
      <c r="G54" s="27"/>
      <c r="H54" s="30">
        <v>1640000</v>
      </c>
      <c r="I54" s="30">
        <v>1460307.6923076923</v>
      </c>
      <c r="J54" s="30">
        <v>1678820.4299999888</v>
      </c>
      <c r="K54" s="32">
        <v>1.1496347234513198</v>
      </c>
      <c r="L54" s="40"/>
      <c r="M54" s="30">
        <v>319387.01100465341</v>
      </c>
      <c r="N54" s="30">
        <v>284484.92528880341</v>
      </c>
      <c r="O54" s="28">
        <v>8721.9499999999989</v>
      </c>
      <c r="P54" s="30">
        <v>324889.71220000036</v>
      </c>
      <c r="Q54" s="32">
        <v>1.1420278662223624</v>
      </c>
      <c r="R54" s="40"/>
      <c r="S54" s="134">
        <v>0.19474817744186185</v>
      </c>
      <c r="T54" s="134">
        <v>0.19352261051529052</v>
      </c>
      <c r="U54" s="40"/>
      <c r="V54" s="30"/>
      <c r="W54" s="33">
        <v>-4.9869692019419336</v>
      </c>
      <c r="X54" s="31" t="s">
        <v>73</v>
      </c>
      <c r="Y54" s="40"/>
      <c r="Z54" s="65"/>
      <c r="AA54" s="28">
        <v>59897.435897435898</v>
      </c>
      <c r="AB54" s="28">
        <v>123532.53000000013</v>
      </c>
      <c r="AC54" s="40"/>
      <c r="AD54" s="30">
        <v>11634.028571949984</v>
      </c>
      <c r="AE54" s="30">
        <v>21499.979799999994</v>
      </c>
      <c r="AF54" s="32">
        <v>1.8480253565679849</v>
      </c>
      <c r="AG54" s="40"/>
      <c r="AH54" s="30">
        <v>13389.30806634462</v>
      </c>
      <c r="AI54" s="30">
        <v>365057.63639903424</v>
      </c>
      <c r="AJ54" s="32">
        <v>1.1429946235155926</v>
      </c>
      <c r="AK54" s="40"/>
      <c r="AL54" s="85">
        <v>0.19474817744186185</v>
      </c>
      <c r="AM54" s="85">
        <v>0.17404306217965398</v>
      </c>
      <c r="AN54" s="40"/>
      <c r="AO54" s="33">
        <v>0</v>
      </c>
      <c r="AP54" s="32">
        <v>0</v>
      </c>
      <c r="AQ54" s="11"/>
      <c r="AR54" s="11"/>
      <c r="AS54" s="11"/>
      <c r="AT54" s="11"/>
      <c r="AU54" s="11"/>
      <c r="AV54" s="11"/>
      <c r="AW54" s="11"/>
    </row>
    <row r="55" spans="1:49" ht="8" customHeight="1" x14ac:dyDescent="0.3">
      <c r="B55" s="17"/>
      <c r="D55" s="35"/>
      <c r="E55" s="48"/>
      <c r="F55" s="131"/>
      <c r="G55" s="35"/>
      <c r="H55" s="49"/>
      <c r="I55" s="49"/>
      <c r="J55" s="49"/>
      <c r="K55" s="52"/>
      <c r="L55" s="35"/>
      <c r="M55" s="49"/>
      <c r="N55" s="49"/>
      <c r="O55" s="52"/>
      <c r="P55" s="49"/>
      <c r="Q55" s="48"/>
      <c r="R55" s="35"/>
      <c r="S55" s="52"/>
      <c r="T55" s="52"/>
      <c r="U55" s="35"/>
      <c r="V55" s="49"/>
      <c r="W55" s="53"/>
      <c r="X55" s="49"/>
      <c r="Y55" s="35"/>
      <c r="Z55" s="65"/>
      <c r="AA55" s="48"/>
      <c r="AB55" s="48"/>
      <c r="AC55" s="37"/>
      <c r="AD55" s="49"/>
      <c r="AE55" s="49"/>
      <c r="AF55" s="48"/>
      <c r="AG55" s="37"/>
      <c r="AH55" s="49"/>
      <c r="AI55" s="49"/>
      <c r="AJ55" s="48"/>
      <c r="AK55" s="37"/>
      <c r="AL55" s="50"/>
      <c r="AM55" s="54"/>
      <c r="AN55" s="37"/>
      <c r="AO55" s="53"/>
      <c r="AP55" s="48"/>
    </row>
    <row r="56" spans="1:49" ht="12.75" customHeight="1" x14ac:dyDescent="0.3">
      <c r="A56" s="7" t="s">
        <v>21</v>
      </c>
      <c r="B56" s="247" t="s">
        <v>79</v>
      </c>
      <c r="C56" s="6" t="s">
        <v>8</v>
      </c>
      <c r="D56" s="35"/>
      <c r="E56" s="34">
        <v>343860.74999999971</v>
      </c>
      <c r="F56" s="129">
        <v>4.6467668918918879</v>
      </c>
      <c r="G56" s="7"/>
      <c r="H56" s="36">
        <v>74000</v>
      </c>
      <c r="I56" s="36">
        <v>65461.538461538461</v>
      </c>
      <c r="J56" s="36">
        <v>67910.589999999953</v>
      </c>
      <c r="K56" s="73">
        <v>1.0374120681551109</v>
      </c>
      <c r="L56" s="37"/>
      <c r="M56" s="36">
        <v>16206</v>
      </c>
      <c r="N56" s="36">
        <v>14336.076923076922</v>
      </c>
      <c r="O56" s="38">
        <v>0</v>
      </c>
      <c r="P56" s="36">
        <v>13202.249999999987</v>
      </c>
      <c r="Q56" s="121">
        <v>0.9209109347584622</v>
      </c>
      <c r="R56" s="37"/>
      <c r="S56" s="133">
        <v>0.219</v>
      </c>
      <c r="T56" s="133">
        <v>0.19440635105658774</v>
      </c>
      <c r="U56" s="37"/>
      <c r="V56" s="36"/>
      <c r="W56" s="39">
        <v>7.9100328829421844</v>
      </c>
      <c r="X56" s="72" t="s">
        <v>73</v>
      </c>
      <c r="Y56" s="37"/>
      <c r="Z56" s="65"/>
      <c r="AA56" s="34">
        <v>2846.1538461538462</v>
      </c>
      <c r="AB56" s="34">
        <v>4312.5799999999927</v>
      </c>
      <c r="AC56" s="37"/>
      <c r="AD56" s="36">
        <v>623.30769230769226</v>
      </c>
      <c r="AE56" s="36">
        <v>867.4899999999999</v>
      </c>
      <c r="AF56" s="121">
        <v>1.3917524373688757</v>
      </c>
      <c r="AG56" s="37"/>
      <c r="AH56" s="36">
        <v>574.01086956521681</v>
      </c>
      <c r="AI56" s="36">
        <v>14924.282608695637</v>
      </c>
      <c r="AJ56" s="121">
        <v>0.9209109347584622</v>
      </c>
      <c r="AK56" s="37"/>
      <c r="AL56" s="114">
        <v>0.219</v>
      </c>
      <c r="AM56" s="114">
        <v>0.20115336990850058</v>
      </c>
      <c r="AN56" s="37"/>
      <c r="AO56" s="39">
        <v>8.9589062695645776</v>
      </c>
      <c r="AP56" s="73">
        <v>0</v>
      </c>
    </row>
    <row r="57" spans="1:49" ht="12.75" customHeight="1" x14ac:dyDescent="0.3">
      <c r="A57" s="7" t="s">
        <v>21</v>
      </c>
      <c r="B57" s="247"/>
      <c r="C57" s="6" t="s">
        <v>9</v>
      </c>
      <c r="D57" s="35"/>
      <c r="E57" s="34">
        <v>486829.28000000014</v>
      </c>
      <c r="F57" s="129">
        <v>2.4341464000000008</v>
      </c>
      <c r="G57" s="7"/>
      <c r="H57" s="36">
        <v>200000</v>
      </c>
      <c r="I57" s="36">
        <v>180000</v>
      </c>
      <c r="J57" s="36">
        <v>153557.03000000032</v>
      </c>
      <c r="K57" s="73">
        <v>0.85309461111111284</v>
      </c>
      <c r="L57" s="37"/>
      <c r="M57" s="36">
        <v>45000</v>
      </c>
      <c r="N57" s="36">
        <v>40500</v>
      </c>
      <c r="O57" s="38">
        <v>0</v>
      </c>
      <c r="P57" s="36">
        <v>31652.339999999967</v>
      </c>
      <c r="Q57" s="121">
        <v>0.78153925925925849</v>
      </c>
      <c r="R57" s="37"/>
      <c r="S57" s="133">
        <v>0.22500000000000001</v>
      </c>
      <c r="T57" s="133">
        <v>0.20612758660414246</v>
      </c>
      <c r="U57" s="37"/>
      <c r="V57" s="36"/>
      <c r="W57" s="39">
        <v>8.9651642780534253</v>
      </c>
      <c r="X57" s="72" t="s">
        <v>73</v>
      </c>
      <c r="Y57" s="37"/>
      <c r="Z57" s="65"/>
      <c r="AA57" s="34">
        <v>6666.666666666667</v>
      </c>
      <c r="AB57" s="34">
        <v>15852.419999999805</v>
      </c>
      <c r="AC57" s="37"/>
      <c r="AD57" s="36">
        <v>1500</v>
      </c>
      <c r="AE57" s="36">
        <v>3411.4299999999917</v>
      </c>
      <c r="AF57" s="121">
        <v>2.274286666666661</v>
      </c>
      <c r="AG57" s="37"/>
      <c r="AH57" s="36">
        <v>1172.3088888888876</v>
      </c>
      <c r="AI57" s="36">
        <v>35169.266666666626</v>
      </c>
      <c r="AJ57" s="121">
        <v>0.78153925925925838</v>
      </c>
      <c r="AK57" s="37"/>
      <c r="AL57" s="114">
        <v>0.22500000000000001</v>
      </c>
      <c r="AM57" s="114">
        <v>0.2151993197253185</v>
      </c>
      <c r="AN57" s="37"/>
      <c r="AO57" s="39">
        <v>10.140912239265697</v>
      </c>
      <c r="AP57" s="73">
        <v>0</v>
      </c>
    </row>
    <row r="58" spans="1:49" ht="12.75" customHeight="1" x14ac:dyDescent="0.3">
      <c r="A58" s="7" t="s">
        <v>21</v>
      </c>
      <c r="B58" s="247"/>
      <c r="C58" s="6" t="s">
        <v>10</v>
      </c>
      <c r="D58" s="35"/>
      <c r="E58" s="34">
        <v>617772.64999999793</v>
      </c>
      <c r="F58" s="129">
        <v>2.9417745238095141</v>
      </c>
      <c r="G58" s="7"/>
      <c r="H58" s="36">
        <v>210000</v>
      </c>
      <c r="I58" s="36">
        <v>189000</v>
      </c>
      <c r="J58" s="36">
        <v>182481.81999999209</v>
      </c>
      <c r="K58" s="73">
        <v>0.96551227513223326</v>
      </c>
      <c r="L58" s="37"/>
      <c r="M58" s="36">
        <v>45990</v>
      </c>
      <c r="N58" s="36">
        <v>41391</v>
      </c>
      <c r="O58" s="38">
        <v>0</v>
      </c>
      <c r="P58" s="36">
        <v>35186.850000000042</v>
      </c>
      <c r="Q58" s="121">
        <v>0.85010871928680254</v>
      </c>
      <c r="R58" s="37"/>
      <c r="S58" s="133">
        <v>0.219</v>
      </c>
      <c r="T58" s="133">
        <v>0.19282386596101225</v>
      </c>
      <c r="U58" s="37"/>
      <c r="V58" s="36"/>
      <c r="W58" s="39">
        <v>7.7922502088114829</v>
      </c>
      <c r="X58" s="72" t="s">
        <v>73</v>
      </c>
      <c r="Y58" s="37"/>
      <c r="Z58" s="65"/>
      <c r="AA58" s="34">
        <v>7000</v>
      </c>
      <c r="AB58" s="34">
        <v>20695.290000000066</v>
      </c>
      <c r="AC58" s="37"/>
      <c r="AD58" s="36">
        <v>1533</v>
      </c>
      <c r="AE58" s="36">
        <v>3409.4599999999964</v>
      </c>
      <c r="AF58" s="121">
        <v>2.2240443574690127</v>
      </c>
      <c r="AG58" s="37"/>
      <c r="AH58" s="36">
        <v>1303.2166666666683</v>
      </c>
      <c r="AI58" s="36">
        <v>39096.500000000051</v>
      </c>
      <c r="AJ58" s="121">
        <v>0.85010871928680254</v>
      </c>
      <c r="AK58" s="37"/>
      <c r="AL58" s="114">
        <v>0.219</v>
      </c>
      <c r="AM58" s="114">
        <v>0.16474569817576779</v>
      </c>
      <c r="AN58" s="37"/>
      <c r="AO58" s="39">
        <v>5.3350303378209976</v>
      </c>
      <c r="AP58" s="73">
        <v>0</v>
      </c>
    </row>
    <row r="59" spans="1:49" ht="12.75" customHeight="1" x14ac:dyDescent="0.3">
      <c r="A59" s="7" t="s">
        <v>21</v>
      </c>
      <c r="B59" s="247"/>
      <c r="C59" s="6" t="s">
        <v>12</v>
      </c>
      <c r="D59" s="35"/>
      <c r="E59" s="34">
        <v>34860.76</v>
      </c>
      <c r="F59" s="129">
        <v>4.0535767441860466</v>
      </c>
      <c r="G59" s="7"/>
      <c r="H59" s="36">
        <v>8600</v>
      </c>
      <c r="I59" s="36">
        <v>7607.6923076923076</v>
      </c>
      <c r="J59" s="36">
        <v>5794.1399999999576</v>
      </c>
      <c r="K59" s="73">
        <v>0.76161597573305817</v>
      </c>
      <c r="L59" s="37"/>
      <c r="M59" s="36">
        <v>688</v>
      </c>
      <c r="N59" s="36">
        <v>608.61538461538453</v>
      </c>
      <c r="O59" s="38">
        <v>0</v>
      </c>
      <c r="P59" s="36">
        <v>1009.5699999999989</v>
      </c>
      <c r="Q59" s="121">
        <v>1.6587980283114241</v>
      </c>
      <c r="R59" s="37"/>
      <c r="S59" s="133">
        <v>0.08</v>
      </c>
      <c r="T59" s="133">
        <v>0.17423983541992535</v>
      </c>
      <c r="U59" s="37"/>
      <c r="V59" s="36"/>
      <c r="W59" s="39">
        <v>6.2166257632704713</v>
      </c>
      <c r="X59" s="72" t="s">
        <v>73</v>
      </c>
      <c r="Y59" s="37"/>
      <c r="Z59" s="65"/>
      <c r="AA59" s="34">
        <v>330.76923076923077</v>
      </c>
      <c r="AB59" s="34">
        <v>348.39000000000004</v>
      </c>
      <c r="AC59" s="37"/>
      <c r="AD59" s="36">
        <v>26.46153846153846</v>
      </c>
      <c r="AE59" s="36">
        <v>71.599999999999994</v>
      </c>
      <c r="AF59" s="121">
        <v>2.7058139534883718</v>
      </c>
      <c r="AG59" s="37"/>
      <c r="AH59" s="36">
        <v>43.894347826086907</v>
      </c>
      <c r="AI59" s="36">
        <v>1141.2530434782595</v>
      </c>
      <c r="AJ59" s="121">
        <v>1.6587980283114236</v>
      </c>
      <c r="AK59" s="37"/>
      <c r="AL59" s="114">
        <v>0.08</v>
      </c>
      <c r="AM59" s="114">
        <v>0.20551680587846949</v>
      </c>
      <c r="AN59" s="37"/>
      <c r="AO59" s="39">
        <v>9.5869571457274976</v>
      </c>
      <c r="AP59" s="73">
        <v>0</v>
      </c>
    </row>
    <row r="60" spans="1:49" s="16" customFormat="1" ht="14.25" customHeight="1" x14ac:dyDescent="0.3">
      <c r="A60" s="27"/>
      <c r="B60" s="247"/>
      <c r="C60" s="9" t="s">
        <v>82</v>
      </c>
      <c r="D60" s="29"/>
      <c r="E60" s="28">
        <v>1483323.4399999978</v>
      </c>
      <c r="F60" s="130">
        <v>3.0112128298822531</v>
      </c>
      <c r="G60" s="27"/>
      <c r="H60" s="30">
        <v>492600</v>
      </c>
      <c r="I60" s="30">
        <v>442069.23076923081</v>
      </c>
      <c r="J60" s="30">
        <v>409743.57999999233</v>
      </c>
      <c r="K60" s="32">
        <v>0.92687649689396023</v>
      </c>
      <c r="L60" s="40"/>
      <c r="M60" s="30">
        <v>107884</v>
      </c>
      <c r="N60" s="30">
        <v>96835.692307692312</v>
      </c>
      <c r="O60" s="28">
        <v>0</v>
      </c>
      <c r="P60" s="30">
        <v>81051.009999999995</v>
      </c>
      <c r="Q60" s="32">
        <v>0.83699520361214541</v>
      </c>
      <c r="R60" s="40"/>
      <c r="S60" s="134">
        <v>0.21900933820544052</v>
      </c>
      <c r="T60" s="134">
        <v>0.19780910295165946</v>
      </c>
      <c r="U60" s="40"/>
      <c r="V60" s="30"/>
      <c r="W60" s="33">
        <v>8.2290563283487739</v>
      </c>
      <c r="X60" s="31" t="s">
        <v>73</v>
      </c>
      <c r="Y60" s="40"/>
      <c r="Z60" s="65"/>
      <c r="AA60" s="28">
        <v>16843.589743589746</v>
      </c>
      <c r="AB60" s="28">
        <v>41208.679999999862</v>
      </c>
      <c r="AC60" s="40"/>
      <c r="AD60" s="30">
        <v>3682.7692307692309</v>
      </c>
      <c r="AE60" s="30">
        <v>7759.9799999999886</v>
      </c>
      <c r="AF60" s="32">
        <v>2.1071046035591916</v>
      </c>
      <c r="AG60" s="40"/>
      <c r="AH60" s="30">
        <v>3093.4307729468596</v>
      </c>
      <c r="AI60" s="30">
        <v>90331.302318840564</v>
      </c>
      <c r="AJ60" s="32">
        <v>0.83730026990879614</v>
      </c>
      <c r="AK60" s="40"/>
      <c r="AL60" s="85">
        <v>0.21900933820544052</v>
      </c>
      <c r="AM60" s="85">
        <v>0.1883093561841829</v>
      </c>
      <c r="AN60" s="40"/>
      <c r="AO60" s="33">
        <v>0</v>
      </c>
      <c r="AP60" s="32">
        <v>0</v>
      </c>
      <c r="AQ60" s="11"/>
      <c r="AR60" s="11"/>
      <c r="AS60" s="11"/>
      <c r="AT60" s="11"/>
      <c r="AU60" s="11"/>
      <c r="AV60" s="11"/>
      <c r="AW60" s="11"/>
    </row>
    <row r="61" spans="1:49" ht="8" customHeight="1" x14ac:dyDescent="0.3">
      <c r="B61" s="17"/>
      <c r="D61" s="35"/>
      <c r="E61" s="48"/>
      <c r="F61" s="131"/>
      <c r="G61" s="35"/>
      <c r="H61" s="49"/>
      <c r="I61" s="49"/>
      <c r="J61" s="49"/>
      <c r="K61" s="52"/>
      <c r="L61" s="35"/>
      <c r="M61" s="49"/>
      <c r="N61" s="49"/>
      <c r="O61" s="52"/>
      <c r="P61" s="49"/>
      <c r="Q61" s="48"/>
      <c r="R61" s="35"/>
      <c r="S61" s="52"/>
      <c r="T61" s="52"/>
      <c r="U61" s="35"/>
      <c r="V61" s="49"/>
      <c r="W61" s="53"/>
      <c r="X61" s="49"/>
      <c r="Y61" s="35"/>
      <c r="Z61" s="65"/>
      <c r="AA61" s="48"/>
      <c r="AB61" s="48"/>
      <c r="AC61" s="37"/>
      <c r="AD61" s="49"/>
      <c r="AE61" s="49"/>
      <c r="AF61" s="48"/>
      <c r="AG61" s="37"/>
      <c r="AH61" s="49"/>
      <c r="AI61" s="49"/>
      <c r="AJ61" s="48"/>
      <c r="AK61" s="37"/>
      <c r="AL61" s="50"/>
      <c r="AM61" s="54"/>
      <c r="AN61" s="37"/>
      <c r="AO61" s="53"/>
      <c r="AP61" s="48"/>
    </row>
    <row r="62" spans="1:49" ht="12.75" customHeight="1" x14ac:dyDescent="0.3">
      <c r="A62" s="7" t="s">
        <v>22</v>
      </c>
      <c r="B62" s="224" t="s">
        <v>59</v>
      </c>
      <c r="C62" s="6" t="s">
        <v>8</v>
      </c>
      <c r="D62" s="35"/>
      <c r="E62" s="34">
        <v>234081.50999999989</v>
      </c>
      <c r="F62" s="129">
        <v>0.2167421388888888</v>
      </c>
      <c r="G62" s="7"/>
      <c r="H62" s="36">
        <v>1080000</v>
      </c>
      <c r="I62" s="36">
        <v>955384.61538461538</v>
      </c>
      <c r="J62" s="36">
        <v>960660.5599999933</v>
      </c>
      <c r="K62" s="73">
        <v>1.0055223252817966</v>
      </c>
      <c r="L62" s="37"/>
      <c r="M62" s="36">
        <v>43200</v>
      </c>
      <c r="N62" s="36">
        <v>38215.38461538461</v>
      </c>
      <c r="O62" s="38">
        <v>0</v>
      </c>
      <c r="P62" s="36">
        <v>51894.237699999976</v>
      </c>
      <c r="Q62" s="121">
        <v>1.3579410026167467</v>
      </c>
      <c r="R62" s="37"/>
      <c r="S62" s="133">
        <v>0.04</v>
      </c>
      <c r="T62" s="133">
        <v>5.401932780502651E-2</v>
      </c>
      <c r="U62" s="37"/>
      <c r="V62" s="36"/>
      <c r="W62" s="39">
        <v>-8.2351181670253908</v>
      </c>
      <c r="X62" s="72" t="s">
        <v>73</v>
      </c>
      <c r="Y62" s="37"/>
      <c r="Z62" s="65"/>
      <c r="AA62" s="34">
        <v>41538.461538461539</v>
      </c>
      <c r="AB62" s="34">
        <v>54233.35</v>
      </c>
      <c r="AC62" s="37"/>
      <c r="AD62" s="36">
        <v>1661.5384615384614</v>
      </c>
      <c r="AE62" s="36">
        <v>3693.4847</v>
      </c>
      <c r="AF62" s="121">
        <v>2.2229306064814818</v>
      </c>
      <c r="AG62" s="37"/>
      <c r="AH62" s="36">
        <v>2256.271204347825</v>
      </c>
      <c r="AI62" s="36">
        <v>58663.051313043448</v>
      </c>
      <c r="AJ62" s="121">
        <v>1.3579410026167464</v>
      </c>
      <c r="AK62" s="37"/>
      <c r="AL62" s="114">
        <v>0.04</v>
      </c>
      <c r="AM62" s="114">
        <v>6.8103569113838622E-2</v>
      </c>
      <c r="AN62" s="37"/>
      <c r="AO62" s="39">
        <v>-6.5742671253019971</v>
      </c>
      <c r="AP62" s="73">
        <v>0</v>
      </c>
    </row>
    <row r="63" spans="1:49" ht="12.75" customHeight="1" x14ac:dyDescent="0.3">
      <c r="A63" s="7" t="s">
        <v>22</v>
      </c>
      <c r="B63" s="224"/>
      <c r="C63" s="6" t="s">
        <v>9</v>
      </c>
      <c r="D63" s="35"/>
      <c r="E63" s="34">
        <v>210718.60999999981</v>
      </c>
      <c r="F63" s="129">
        <v>0.28865563013698603</v>
      </c>
      <c r="G63" s="7"/>
      <c r="H63" s="36">
        <v>730000</v>
      </c>
      <c r="I63" s="36">
        <v>657000</v>
      </c>
      <c r="J63" s="36">
        <v>652142.29999997804</v>
      </c>
      <c r="K63" s="73">
        <v>0.99260624048702895</v>
      </c>
      <c r="L63" s="37"/>
      <c r="M63" s="36">
        <v>65700</v>
      </c>
      <c r="N63" s="36">
        <v>59130</v>
      </c>
      <c r="O63" s="38">
        <v>0</v>
      </c>
      <c r="P63" s="36">
        <v>42653.240000000231</v>
      </c>
      <c r="Q63" s="121">
        <v>0.7213468628445836</v>
      </c>
      <c r="R63" s="37"/>
      <c r="S63" s="133">
        <v>0.09</v>
      </c>
      <c r="T63" s="133">
        <v>6.5404805055586282E-2</v>
      </c>
      <c r="U63" s="37"/>
      <c r="V63" s="36"/>
      <c r="W63" s="39">
        <v>-5.7107582194898647</v>
      </c>
      <c r="X63" s="72" t="s">
        <v>73</v>
      </c>
      <c r="Y63" s="37"/>
      <c r="Z63" s="65"/>
      <c r="AA63" s="34">
        <v>24333.333333333332</v>
      </c>
      <c r="AB63" s="34">
        <v>51107.049999999901</v>
      </c>
      <c r="AC63" s="37"/>
      <c r="AD63" s="36">
        <v>2190</v>
      </c>
      <c r="AE63" s="36">
        <v>6599.4800000000005</v>
      </c>
      <c r="AF63" s="121">
        <v>3.0134611872146122</v>
      </c>
      <c r="AG63" s="37"/>
      <c r="AH63" s="36">
        <v>1579.7496296296381</v>
      </c>
      <c r="AI63" s="36">
        <v>47392.488888889144</v>
      </c>
      <c r="AJ63" s="121">
        <v>0.7213468628445836</v>
      </c>
      <c r="AK63" s="37"/>
      <c r="AL63" s="114">
        <v>0.09</v>
      </c>
      <c r="AM63" s="114">
        <v>0.12913052113162496</v>
      </c>
      <c r="AN63" s="37"/>
      <c r="AO63" s="39">
        <v>1.390297424719138</v>
      </c>
      <c r="AP63" s="73">
        <v>0</v>
      </c>
    </row>
    <row r="64" spans="1:49" ht="12.75" customHeight="1" x14ac:dyDescent="0.3">
      <c r="A64" s="7" t="s">
        <v>22</v>
      </c>
      <c r="B64" s="224"/>
      <c r="C64" s="6" t="s">
        <v>10</v>
      </c>
      <c r="D64" s="35"/>
      <c r="E64" s="34">
        <v>328006.88999999996</v>
      </c>
      <c r="F64" s="129">
        <v>0.43158801315789469</v>
      </c>
      <c r="G64" s="7"/>
      <c r="H64" s="36">
        <v>760000</v>
      </c>
      <c r="I64" s="36">
        <v>684000</v>
      </c>
      <c r="J64" s="36">
        <v>692827.75999997661</v>
      </c>
      <c r="K64" s="73">
        <v>1.0129060818713109</v>
      </c>
      <c r="L64" s="37"/>
      <c r="M64" s="36">
        <v>75240</v>
      </c>
      <c r="N64" s="36">
        <v>67716</v>
      </c>
      <c r="O64" s="38">
        <v>0</v>
      </c>
      <c r="P64" s="36">
        <v>69448.029250000458</v>
      </c>
      <c r="Q64" s="121">
        <v>1.0255778434934204</v>
      </c>
      <c r="R64" s="37"/>
      <c r="S64" s="133">
        <v>9.9000000000000005E-2</v>
      </c>
      <c r="T64" s="133">
        <v>0.10023851996057838</v>
      </c>
      <c r="U64" s="37"/>
      <c r="V64" s="36"/>
      <c r="W64" s="39">
        <v>-2.1896857524907789</v>
      </c>
      <c r="X64" s="72" t="s">
        <v>73</v>
      </c>
      <c r="Y64" s="37"/>
      <c r="Z64" s="65"/>
      <c r="AA64" s="34">
        <v>25333.333333333332</v>
      </c>
      <c r="AB64" s="34">
        <v>82777.33000000022</v>
      </c>
      <c r="AC64" s="37"/>
      <c r="AD64" s="36">
        <v>2508</v>
      </c>
      <c r="AE64" s="36">
        <v>6706.7275500000032</v>
      </c>
      <c r="AF64" s="121">
        <v>2.67413379186603</v>
      </c>
      <c r="AG64" s="37"/>
      <c r="AH64" s="36">
        <v>2572.1492314814986</v>
      </c>
      <c r="AI64" s="36">
        <v>77164.476944444963</v>
      </c>
      <c r="AJ64" s="121">
        <v>1.0255778434934206</v>
      </c>
      <c r="AK64" s="37"/>
      <c r="AL64" s="114">
        <v>9.9000000000000005E-2</v>
      </c>
      <c r="AM64" s="114">
        <v>8.1021308007880724E-2</v>
      </c>
      <c r="AN64" s="37"/>
      <c r="AO64" s="39">
        <v>-4.265542812264898</v>
      </c>
      <c r="AP64" s="73">
        <v>0</v>
      </c>
    </row>
    <row r="65" spans="1:49" ht="12.75" customHeight="1" x14ac:dyDescent="0.3">
      <c r="A65" s="7" t="s">
        <v>22</v>
      </c>
      <c r="B65" s="224"/>
      <c r="C65" s="6" t="s">
        <v>12</v>
      </c>
      <c r="D65" s="35"/>
      <c r="E65" s="34">
        <v>66775.77</v>
      </c>
      <c r="F65" s="129">
        <v>9.7911686217008798E-2</v>
      </c>
      <c r="G65" s="7"/>
      <c r="H65" s="36">
        <v>682000</v>
      </c>
      <c r="I65" s="36">
        <v>603307.69230769225</v>
      </c>
      <c r="J65" s="36">
        <v>540127.35999999894</v>
      </c>
      <c r="K65" s="73">
        <v>0.89527676654341282</v>
      </c>
      <c r="L65" s="37"/>
      <c r="M65" s="36">
        <v>64829.717876106268</v>
      </c>
      <c r="N65" s="36">
        <v>57349.365813478616</v>
      </c>
      <c r="O65" s="38">
        <v>29238.23</v>
      </c>
      <c r="P65" s="36">
        <v>73481.83</v>
      </c>
      <c r="Q65" s="121">
        <v>1.2813015271867196</v>
      </c>
      <c r="R65" s="37"/>
      <c r="S65" s="133">
        <v>9.5058237354994524E-2</v>
      </c>
      <c r="T65" s="133">
        <v>0.1360453764090013</v>
      </c>
      <c r="U65" s="37"/>
      <c r="V65" s="36"/>
      <c r="W65" s="39">
        <v>-5.5962615928215831</v>
      </c>
      <c r="X65" s="72" t="s">
        <v>73</v>
      </c>
      <c r="Y65" s="37"/>
      <c r="Z65" s="65"/>
      <c r="AA65" s="34">
        <v>26230.76923076923</v>
      </c>
      <c r="AB65" s="34">
        <v>19048.71</v>
      </c>
      <c r="AC65" s="37"/>
      <c r="AD65" s="36">
        <v>2493.4506875425486</v>
      </c>
      <c r="AE65" s="36">
        <v>2356.1900000000005</v>
      </c>
      <c r="AF65" s="121">
        <v>0.94495151308653824</v>
      </c>
      <c r="AG65" s="37"/>
      <c r="AH65" s="36">
        <v>3194.8621739130435</v>
      </c>
      <c r="AI65" s="36">
        <v>83066.416521739127</v>
      </c>
      <c r="AJ65" s="121">
        <v>1.2813015271867194</v>
      </c>
      <c r="AK65" s="37"/>
      <c r="AL65" s="114">
        <v>9.5058237354994524E-2</v>
      </c>
      <c r="AM65" s="114">
        <v>0.12369289048969724</v>
      </c>
      <c r="AN65" s="37"/>
      <c r="AO65" s="39">
        <v>-1.7833753571764133</v>
      </c>
      <c r="AP65" s="73">
        <v>0</v>
      </c>
    </row>
    <row r="66" spans="1:49" s="16" customFormat="1" ht="14.25" customHeight="1" x14ac:dyDescent="0.3">
      <c r="A66" s="27"/>
      <c r="B66" s="224"/>
      <c r="C66" s="9" t="s">
        <v>60</v>
      </c>
      <c r="D66" s="29"/>
      <c r="E66" s="28">
        <v>839582.77999999968</v>
      </c>
      <c r="F66" s="130">
        <v>0.25817428659286584</v>
      </c>
      <c r="G66" s="27"/>
      <c r="H66" s="30">
        <v>3252000</v>
      </c>
      <c r="I66" s="30">
        <v>2899692.307692308</v>
      </c>
      <c r="J66" s="30">
        <v>2845757.9799999469</v>
      </c>
      <c r="K66" s="32">
        <v>0.98139998249149263</v>
      </c>
      <c r="L66" s="40"/>
      <c r="M66" s="30">
        <v>248969.71787610627</v>
      </c>
      <c r="N66" s="30">
        <v>222410.75042886325</v>
      </c>
      <c r="O66" s="28">
        <v>29238.23</v>
      </c>
      <c r="P66" s="30">
        <v>237477.33695000067</v>
      </c>
      <c r="Q66" s="32">
        <v>1.0677421684522233</v>
      </c>
      <c r="R66" s="40"/>
      <c r="S66" s="134">
        <v>7.655895383644104E-2</v>
      </c>
      <c r="T66" s="134">
        <v>8.3449590098313667E-2</v>
      </c>
      <c r="U66" s="40"/>
      <c r="V66" s="30"/>
      <c r="W66" s="33">
        <v>-5.683951136633584</v>
      </c>
      <c r="X66" s="31" t="s">
        <v>73</v>
      </c>
      <c r="Y66" s="40"/>
      <c r="Z66" s="65"/>
      <c r="AA66" s="28">
        <v>117435.89743589744</v>
      </c>
      <c r="AB66" s="28">
        <v>207166.44000000012</v>
      </c>
      <c r="AC66" s="40"/>
      <c r="AD66" s="30">
        <v>8852.9891490810096</v>
      </c>
      <c r="AE66" s="30">
        <v>19355.882250000002</v>
      </c>
      <c r="AF66" s="32">
        <v>2.186366878356476</v>
      </c>
      <c r="AG66" s="40"/>
      <c r="AH66" s="30">
        <v>9603.0322393720053</v>
      </c>
      <c r="AI66" s="30">
        <v>266286.43366811669</v>
      </c>
      <c r="AJ66" s="32">
        <v>1.0695535020874614</v>
      </c>
      <c r="AK66" s="40"/>
      <c r="AL66" s="85">
        <v>7.655895383644104E-2</v>
      </c>
      <c r="AM66" s="85">
        <v>9.3431553151176377E-2</v>
      </c>
      <c r="AN66" s="40"/>
      <c r="AO66" s="33">
        <v>0</v>
      </c>
      <c r="AP66" s="32">
        <v>0</v>
      </c>
      <c r="AQ66" s="10"/>
      <c r="AR66" s="11"/>
      <c r="AS66" s="11"/>
      <c r="AT66" s="11"/>
      <c r="AU66" s="11"/>
      <c r="AV66" s="11"/>
      <c r="AW66" s="11"/>
    </row>
    <row r="67" spans="1:49" ht="8" customHeight="1" x14ac:dyDescent="0.3">
      <c r="B67" s="17"/>
      <c r="D67" s="35"/>
      <c r="E67" s="48"/>
      <c r="F67" s="131"/>
      <c r="G67" s="35"/>
      <c r="H67" s="49"/>
      <c r="I67" s="49"/>
      <c r="J67" s="49"/>
      <c r="K67" s="52"/>
      <c r="L67" s="35"/>
      <c r="M67" s="49"/>
      <c r="N67" s="49"/>
      <c r="O67" s="52"/>
      <c r="P67" s="49"/>
      <c r="Q67" s="48"/>
      <c r="R67" s="35"/>
      <c r="S67" s="52"/>
      <c r="T67" s="52"/>
      <c r="U67" s="35"/>
      <c r="V67" s="49"/>
      <c r="W67" s="53"/>
      <c r="X67" s="49"/>
      <c r="Y67" s="35"/>
      <c r="Z67" s="65"/>
      <c r="AA67" s="48"/>
      <c r="AB67" s="48"/>
      <c r="AC67" s="37"/>
      <c r="AD67" s="49"/>
      <c r="AE67" s="49"/>
      <c r="AF67" s="48"/>
      <c r="AG67" s="37"/>
      <c r="AH67" s="49"/>
      <c r="AI67" s="49"/>
      <c r="AJ67" s="48"/>
      <c r="AK67" s="37"/>
      <c r="AL67" s="50"/>
      <c r="AM67" s="54"/>
      <c r="AN67" s="37"/>
      <c r="AO67" s="53"/>
      <c r="AP67" s="48"/>
    </row>
    <row r="68" spans="1:49" ht="12.75" customHeight="1" x14ac:dyDescent="0.3">
      <c r="A68" s="7" t="s">
        <v>23</v>
      </c>
      <c r="B68" s="248" t="s">
        <v>80</v>
      </c>
      <c r="C68" s="6" t="s">
        <v>8</v>
      </c>
      <c r="D68" s="35"/>
      <c r="E68" s="34">
        <v>285626.91000000027</v>
      </c>
      <c r="F68" s="129">
        <v>4.4629204687500046</v>
      </c>
      <c r="G68" s="7"/>
      <c r="H68" s="36">
        <v>64000</v>
      </c>
      <c r="I68" s="36">
        <v>56615.38461538461</v>
      </c>
      <c r="J68" s="36">
        <v>55949.790000000452</v>
      </c>
      <c r="K68" s="73">
        <v>0.98824357336957325</v>
      </c>
      <c r="L68" s="37"/>
      <c r="M68" s="36">
        <v>12928</v>
      </c>
      <c r="N68" s="36">
        <v>11436.307692307691</v>
      </c>
      <c r="O68" s="38">
        <v>0</v>
      </c>
      <c r="P68" s="36">
        <v>11449.660000000025</v>
      </c>
      <c r="Q68" s="121">
        <v>1.0011675365906179</v>
      </c>
      <c r="R68" s="37"/>
      <c r="S68" s="133">
        <v>0.20200000000000001</v>
      </c>
      <c r="T68" s="133">
        <v>0.2046416974934121</v>
      </c>
      <c r="U68" s="37"/>
      <c r="V68" s="36"/>
      <c r="W68" s="39">
        <v>8.7274500940937916</v>
      </c>
      <c r="X68" s="72" t="s">
        <v>73</v>
      </c>
      <c r="Y68" s="37"/>
      <c r="Z68" s="65"/>
      <c r="AA68" s="34">
        <v>2461.5384615384614</v>
      </c>
      <c r="AB68" s="34">
        <v>3394.9899999999911</v>
      </c>
      <c r="AC68" s="37"/>
      <c r="AD68" s="36">
        <v>497.23076923076923</v>
      </c>
      <c r="AE68" s="36">
        <v>668.01999999999987</v>
      </c>
      <c r="AF68" s="121">
        <v>1.343480816831683</v>
      </c>
      <c r="AG68" s="37"/>
      <c r="AH68" s="36">
        <v>497.81130434782716</v>
      </c>
      <c r="AI68" s="36">
        <v>12943.093913043505</v>
      </c>
      <c r="AJ68" s="121">
        <v>1.0011675365906176</v>
      </c>
      <c r="AK68" s="37"/>
      <c r="AL68" s="114">
        <v>0.20200000000000001</v>
      </c>
      <c r="AM68" s="114">
        <v>0.19676641168309822</v>
      </c>
      <c r="AN68" s="37"/>
      <c r="AO68" s="39">
        <v>8.2524543518535172</v>
      </c>
      <c r="AP68" s="73">
        <v>0</v>
      </c>
    </row>
    <row r="69" spans="1:49" ht="12.75" customHeight="1" x14ac:dyDescent="0.3">
      <c r="A69" s="7" t="s">
        <v>23</v>
      </c>
      <c r="B69" s="224"/>
      <c r="C69" s="6" t="s">
        <v>9</v>
      </c>
      <c r="D69" s="35"/>
      <c r="E69" s="34">
        <v>322149.88999999996</v>
      </c>
      <c r="F69" s="129">
        <v>2.2527964335664334</v>
      </c>
      <c r="G69" s="7"/>
      <c r="H69" s="36">
        <v>143000</v>
      </c>
      <c r="I69" s="36">
        <v>128700.00000000001</v>
      </c>
      <c r="J69" s="36">
        <v>121085.26000000387</v>
      </c>
      <c r="K69" s="73">
        <v>0.94083341103344098</v>
      </c>
      <c r="L69" s="37"/>
      <c r="M69" s="36">
        <v>34694.736930389947</v>
      </c>
      <c r="N69" s="36">
        <v>31225.263237350951</v>
      </c>
      <c r="O69" s="38">
        <v>824</v>
      </c>
      <c r="P69" s="36">
        <v>27197.709999999923</v>
      </c>
      <c r="Q69" s="121">
        <v>0.8710161958688194</v>
      </c>
      <c r="R69" s="37"/>
      <c r="S69" s="133">
        <v>0.24262053797475489</v>
      </c>
      <c r="T69" s="133">
        <v>0.22461619192954663</v>
      </c>
      <c r="U69" s="37"/>
      <c r="V69" s="36"/>
      <c r="W69" s="39">
        <v>10.024680130351543</v>
      </c>
      <c r="X69" s="72" t="s">
        <v>73</v>
      </c>
      <c r="Y69" s="37"/>
      <c r="Z69" s="65"/>
      <c r="AA69" s="34">
        <v>4766.666666666667</v>
      </c>
      <c r="AB69" s="34">
        <v>15984.029999999897</v>
      </c>
      <c r="AC69" s="37"/>
      <c r="AD69" s="36">
        <v>1156.4912310129982</v>
      </c>
      <c r="AE69" s="36">
        <v>3185.0500000000006</v>
      </c>
      <c r="AF69" s="121">
        <v>2.7540632514871204</v>
      </c>
      <c r="AG69" s="37"/>
      <c r="AH69" s="36">
        <v>1007.3225925925898</v>
      </c>
      <c r="AI69" s="36">
        <v>30219.677777777695</v>
      </c>
      <c r="AJ69" s="121">
        <v>0.87101619586881951</v>
      </c>
      <c r="AK69" s="37"/>
      <c r="AL69" s="114">
        <v>0.24262053797475489</v>
      </c>
      <c r="AM69" s="114">
        <v>0.19926451589492894</v>
      </c>
      <c r="AN69" s="37"/>
      <c r="AO69" s="39">
        <v>8.256178197863079</v>
      </c>
      <c r="AP69" s="73">
        <v>0</v>
      </c>
    </row>
    <row r="70" spans="1:49" ht="12.75" customHeight="1" x14ac:dyDescent="0.3">
      <c r="A70" s="7" t="s">
        <v>23</v>
      </c>
      <c r="B70" s="224"/>
      <c r="C70" s="6" t="s">
        <v>10</v>
      </c>
      <c r="D70" s="35"/>
      <c r="E70" s="34">
        <v>539239.75000000035</v>
      </c>
      <c r="F70" s="129">
        <v>2.8381039473684231</v>
      </c>
      <c r="G70" s="7"/>
      <c r="H70" s="36">
        <v>190000</v>
      </c>
      <c r="I70" s="36">
        <v>171000</v>
      </c>
      <c r="J70" s="36">
        <v>168522.29999999978</v>
      </c>
      <c r="K70" s="73">
        <v>0.98551052631578817</v>
      </c>
      <c r="L70" s="37"/>
      <c r="M70" s="36">
        <v>45410</v>
      </c>
      <c r="N70" s="36">
        <v>40869</v>
      </c>
      <c r="O70" s="38">
        <v>715.03</v>
      </c>
      <c r="P70" s="36">
        <v>35864.870000000032</v>
      </c>
      <c r="Q70" s="121">
        <v>0.87755682791357825</v>
      </c>
      <c r="R70" s="37"/>
      <c r="S70" s="133">
        <v>0.23899999999999999</v>
      </c>
      <c r="T70" s="133">
        <v>0.21281972771556096</v>
      </c>
      <c r="U70" s="37"/>
      <c r="V70" s="36"/>
      <c r="W70" s="39">
        <v>9.1034895678485057</v>
      </c>
      <c r="X70" s="72" t="s">
        <v>73</v>
      </c>
      <c r="Y70" s="37"/>
      <c r="Z70" s="65"/>
      <c r="AA70" s="34">
        <v>6333.333333333333</v>
      </c>
      <c r="AB70" s="34">
        <v>17865.799999999894</v>
      </c>
      <c r="AC70" s="37"/>
      <c r="AD70" s="36">
        <v>1513.6666666666667</v>
      </c>
      <c r="AE70" s="36">
        <v>3472.7600000000007</v>
      </c>
      <c r="AF70" s="121">
        <v>2.2942699845848935</v>
      </c>
      <c r="AG70" s="37"/>
      <c r="AH70" s="36">
        <v>1328.3285185185198</v>
      </c>
      <c r="AI70" s="36">
        <v>39849.855555555594</v>
      </c>
      <c r="AJ70" s="121">
        <v>0.87755682791357836</v>
      </c>
      <c r="AK70" s="37"/>
      <c r="AL70" s="114">
        <v>0.23899999999999999</v>
      </c>
      <c r="AM70" s="114">
        <v>0.19438032441872299</v>
      </c>
      <c r="AN70" s="37"/>
      <c r="AO70" s="39">
        <v>7.5738561945165621</v>
      </c>
      <c r="AP70" s="73">
        <v>0</v>
      </c>
    </row>
    <row r="71" spans="1:49" ht="12.75" customHeight="1" x14ac:dyDescent="0.3">
      <c r="A71" s="7" t="s">
        <v>23</v>
      </c>
      <c r="B71" s="224"/>
      <c r="C71" s="6" t="s">
        <v>12</v>
      </c>
      <c r="D71" s="35"/>
      <c r="E71" s="34">
        <v>24036.270000000004</v>
      </c>
      <c r="F71" s="129">
        <v>6.8675057142857154</v>
      </c>
      <c r="G71" s="7"/>
      <c r="H71" s="36">
        <v>3500</v>
      </c>
      <c r="I71" s="36">
        <v>3096.1538461538462</v>
      </c>
      <c r="J71" s="36">
        <v>3750.1599999999908</v>
      </c>
      <c r="K71" s="73">
        <v>1.211231801242233</v>
      </c>
      <c r="L71" s="37"/>
      <c r="M71" s="36">
        <v>840</v>
      </c>
      <c r="N71" s="36">
        <v>743.07692307692309</v>
      </c>
      <c r="O71" s="38">
        <v>463.57</v>
      </c>
      <c r="P71" s="36">
        <v>1416.7599999999991</v>
      </c>
      <c r="Q71" s="121">
        <v>1.9066128364389221</v>
      </c>
      <c r="R71" s="37"/>
      <c r="S71" s="133">
        <v>0.24</v>
      </c>
      <c r="T71" s="133">
        <v>0.37778654777396231</v>
      </c>
      <c r="U71" s="37"/>
      <c r="V71" s="36"/>
      <c r="W71" s="39">
        <v>12.248277406830416</v>
      </c>
      <c r="X71" s="72" t="s">
        <v>73</v>
      </c>
      <c r="Y71" s="37"/>
      <c r="Z71" s="65"/>
      <c r="AA71" s="34">
        <v>134.61538461538461</v>
      </c>
      <c r="AB71" s="34">
        <v>179.95</v>
      </c>
      <c r="AC71" s="37"/>
      <c r="AD71" s="36">
        <v>32.307692307692307</v>
      </c>
      <c r="AE71" s="36">
        <v>38.869999999999997</v>
      </c>
      <c r="AF71" s="121">
        <v>1.2031190476190476</v>
      </c>
      <c r="AG71" s="37"/>
      <c r="AH71" s="36">
        <v>61.598260869565181</v>
      </c>
      <c r="AI71" s="36">
        <v>1601.5547826086947</v>
      </c>
      <c r="AJ71" s="121">
        <v>1.9066128364389223</v>
      </c>
      <c r="AK71" s="37"/>
      <c r="AL71" s="114">
        <v>0.24</v>
      </c>
      <c r="AM71" s="114">
        <v>0.21600444567935537</v>
      </c>
      <c r="AN71" s="37"/>
      <c r="AO71" s="39">
        <v>9.0414003889969194</v>
      </c>
      <c r="AP71" s="73">
        <v>0</v>
      </c>
    </row>
    <row r="72" spans="1:49" s="16" customFormat="1" ht="14.25" customHeight="1" x14ac:dyDescent="0.3">
      <c r="A72" s="27"/>
      <c r="B72" s="224"/>
      <c r="C72" s="9" t="s">
        <v>83</v>
      </c>
      <c r="D72" s="29"/>
      <c r="E72" s="28">
        <v>1171052.8200000008</v>
      </c>
      <c r="F72" s="130">
        <v>2.9239770786516872</v>
      </c>
      <c r="G72" s="27"/>
      <c r="H72" s="30">
        <v>400500</v>
      </c>
      <c r="I72" s="30">
        <v>359411.5384615385</v>
      </c>
      <c r="J72" s="30">
        <v>349307.51000000408</v>
      </c>
      <c r="K72" s="32">
        <v>0.97188730082293762</v>
      </c>
      <c r="L72" s="40"/>
      <c r="M72" s="30">
        <v>93872.736930389947</v>
      </c>
      <c r="N72" s="30">
        <v>84273.647852735565</v>
      </c>
      <c r="O72" s="28">
        <v>2002.6</v>
      </c>
      <c r="P72" s="30">
        <v>75928.999999999985</v>
      </c>
      <c r="Q72" s="32">
        <v>0.9009815278517731</v>
      </c>
      <c r="R72" s="40"/>
      <c r="S72" s="134">
        <v>0.23438885625565531</v>
      </c>
      <c r="T72" s="134">
        <v>0.21737007601124608</v>
      </c>
      <c r="U72" s="40"/>
      <c r="V72" s="30"/>
      <c r="W72" s="33">
        <v>9.3963453577059255</v>
      </c>
      <c r="X72" s="31" t="s">
        <v>73</v>
      </c>
      <c r="Y72" s="40"/>
      <c r="Z72" s="65"/>
      <c r="AA72" s="28">
        <v>13696.153846153846</v>
      </c>
      <c r="AB72" s="28">
        <v>37424.769999999779</v>
      </c>
      <c r="AC72" s="40"/>
      <c r="AD72" s="30">
        <v>3199.6963592181264</v>
      </c>
      <c r="AE72" s="30">
        <v>7364.7000000000016</v>
      </c>
      <c r="AF72" s="32">
        <v>2.3016871519020103</v>
      </c>
      <c r="AG72" s="40"/>
      <c r="AH72" s="30">
        <v>2895.0606763285018</v>
      </c>
      <c r="AI72" s="30">
        <v>84614.182028985495</v>
      </c>
      <c r="AJ72" s="32">
        <v>0.90137120527049286</v>
      </c>
      <c r="AK72" s="40"/>
      <c r="AL72" s="85">
        <v>0.23438885625565531</v>
      </c>
      <c r="AM72" s="85">
        <v>0.19678678051996165</v>
      </c>
      <c r="AN72" s="40"/>
      <c r="AO72" s="33">
        <v>0</v>
      </c>
      <c r="AP72" s="32">
        <v>0</v>
      </c>
      <c r="AQ72" s="10"/>
      <c r="AR72" s="11"/>
      <c r="AS72" s="11"/>
      <c r="AT72" s="11"/>
      <c r="AU72" s="11"/>
      <c r="AV72" s="11"/>
      <c r="AW72" s="11"/>
    </row>
    <row r="73" spans="1:49" ht="7.75" customHeight="1" x14ac:dyDescent="0.3">
      <c r="B73" s="17"/>
      <c r="D73" s="35"/>
      <c r="E73" s="48"/>
      <c r="F73" s="131"/>
      <c r="G73" s="35"/>
      <c r="H73" s="49"/>
      <c r="I73" s="49"/>
      <c r="J73" s="49"/>
      <c r="K73" s="52"/>
      <c r="L73" s="35"/>
      <c r="M73" s="49"/>
      <c r="N73" s="49"/>
      <c r="O73" s="52"/>
      <c r="P73" s="49"/>
      <c r="Q73" s="48"/>
      <c r="R73" s="35"/>
      <c r="S73" s="52"/>
      <c r="T73" s="52"/>
      <c r="U73" s="35"/>
      <c r="V73" s="49"/>
      <c r="W73" s="53"/>
      <c r="X73" s="49"/>
      <c r="Y73" s="35"/>
      <c r="Z73" s="65"/>
      <c r="AA73" s="48"/>
      <c r="AB73" s="48"/>
      <c r="AC73" s="37"/>
      <c r="AD73" s="49"/>
      <c r="AE73" s="49"/>
      <c r="AF73" s="48"/>
      <c r="AG73" s="37"/>
      <c r="AH73" s="49"/>
      <c r="AI73" s="49"/>
      <c r="AJ73" s="48"/>
      <c r="AK73" s="37"/>
      <c r="AL73" s="50"/>
      <c r="AM73" s="54"/>
      <c r="AN73" s="37"/>
      <c r="AO73" s="53"/>
      <c r="AP73" s="48"/>
    </row>
    <row r="74" spans="1:49" ht="12.75" customHeight="1" x14ac:dyDescent="0.3">
      <c r="A74" s="7" t="s">
        <v>72</v>
      </c>
      <c r="B74" s="224" t="s">
        <v>74</v>
      </c>
      <c r="C74" s="6" t="s">
        <v>8</v>
      </c>
      <c r="D74" s="35"/>
      <c r="E74" s="34">
        <v>50281.580000000045</v>
      </c>
      <c r="F74" s="129">
        <v>0.76184212121212191</v>
      </c>
      <c r="G74" s="7"/>
      <c r="H74" s="36">
        <v>66000</v>
      </c>
      <c r="I74" s="36">
        <v>58384.61538461539</v>
      </c>
      <c r="J74" s="36">
        <v>60870.570000000269</v>
      </c>
      <c r="K74" s="73">
        <v>1.0425789328063286</v>
      </c>
      <c r="L74" s="37"/>
      <c r="M74" s="36">
        <v>11550</v>
      </c>
      <c r="N74" s="36">
        <v>10217.307692307691</v>
      </c>
      <c r="O74" s="38">
        <v>240.42999999999998</v>
      </c>
      <c r="P74" s="36">
        <v>8113.0699999999906</v>
      </c>
      <c r="Q74" s="121">
        <v>0.79405164690382002</v>
      </c>
      <c r="R74" s="37"/>
      <c r="S74" s="133">
        <v>0.17499999999999999</v>
      </c>
      <c r="T74" s="133">
        <v>0.13328394986279832</v>
      </c>
      <c r="U74" s="37"/>
      <c r="V74" s="36"/>
      <c r="W74" s="39">
        <v>2.0143560344518239</v>
      </c>
      <c r="X74" s="72" t="s">
        <v>73</v>
      </c>
      <c r="Y74" s="37"/>
      <c r="Z74" s="65"/>
      <c r="AA74" s="34">
        <v>2538.4615384615386</v>
      </c>
      <c r="AB74" s="34">
        <v>5299.389999999984</v>
      </c>
      <c r="AC74" s="37"/>
      <c r="AD74" s="36">
        <v>444.23076923076923</v>
      </c>
      <c r="AE74" s="36">
        <v>607.36999999999978</v>
      </c>
      <c r="AF74" s="121">
        <v>1.3672398268398263</v>
      </c>
      <c r="AG74" s="37"/>
      <c r="AH74" s="36">
        <v>352.74217391304308</v>
      </c>
      <c r="AI74" s="36">
        <v>9171.2965217391193</v>
      </c>
      <c r="AJ74" s="121">
        <v>0.7940516469038198</v>
      </c>
      <c r="AK74" s="37"/>
      <c r="AL74" s="114">
        <v>0.17499999999999999</v>
      </c>
      <c r="AM74" s="114">
        <v>0.11461130431993147</v>
      </c>
      <c r="AN74" s="37"/>
      <c r="AO74" s="39">
        <v>0.19606030127967364</v>
      </c>
      <c r="AP74" s="73">
        <v>0</v>
      </c>
    </row>
    <row r="75" spans="1:49" ht="12.5" customHeight="1" x14ac:dyDescent="0.3">
      <c r="A75" s="7" t="s">
        <v>72</v>
      </c>
      <c r="B75" s="224"/>
      <c r="C75" s="6" t="s">
        <v>9</v>
      </c>
      <c r="D75" s="35"/>
      <c r="E75" s="34">
        <v>103601.68000000011</v>
      </c>
      <c r="F75" s="129">
        <v>0.67713516339869351</v>
      </c>
      <c r="G75" s="7"/>
      <c r="H75" s="36">
        <v>153000</v>
      </c>
      <c r="I75" s="36">
        <v>137700</v>
      </c>
      <c r="J75" s="36">
        <v>142724.21000000471</v>
      </c>
      <c r="K75" s="73">
        <v>1.0364866376180444</v>
      </c>
      <c r="L75" s="37"/>
      <c r="M75" s="36">
        <v>30083.290842020251</v>
      </c>
      <c r="N75" s="36">
        <v>27074.961757818226</v>
      </c>
      <c r="O75" s="38">
        <v>1628.8799999999999</v>
      </c>
      <c r="P75" s="36">
        <v>23190.740000000173</v>
      </c>
      <c r="Q75" s="121">
        <v>0.85653823659800976</v>
      </c>
      <c r="R75" s="37"/>
      <c r="S75" s="133">
        <v>0.19662281596091669</v>
      </c>
      <c r="T75" s="133">
        <v>0.16248637844973468</v>
      </c>
      <c r="U75" s="37"/>
      <c r="V75" s="36"/>
      <c r="W75" s="39">
        <v>4.7140285449850881</v>
      </c>
      <c r="X75" s="72" t="s">
        <v>73</v>
      </c>
      <c r="Y75" s="37"/>
      <c r="Z75" s="65"/>
      <c r="AA75" s="34">
        <v>5100</v>
      </c>
      <c r="AB75" s="34">
        <v>13743.749999999862</v>
      </c>
      <c r="AC75" s="37"/>
      <c r="AD75" s="36">
        <v>1002.776361400675</v>
      </c>
      <c r="AE75" s="36">
        <v>2312.7700000000013</v>
      </c>
      <c r="AF75" s="121">
        <v>2.3063666925390334</v>
      </c>
      <c r="AG75" s="37"/>
      <c r="AH75" s="36">
        <v>858.91629629630268</v>
      </c>
      <c r="AI75" s="36">
        <v>25767.488888889082</v>
      </c>
      <c r="AJ75" s="121">
        <v>0.85653823659800976</v>
      </c>
      <c r="AK75" s="37"/>
      <c r="AL75" s="114">
        <v>0.19662281596091669</v>
      </c>
      <c r="AM75" s="114">
        <v>0.16827794452023825</v>
      </c>
      <c r="AN75" s="37"/>
      <c r="AO75" s="39">
        <v>6.4507139608904236</v>
      </c>
      <c r="AP75" s="73">
        <v>0</v>
      </c>
    </row>
    <row r="76" spans="1:49" ht="12.75" customHeight="1" x14ac:dyDescent="0.3">
      <c r="A76" s="7" t="s">
        <v>72</v>
      </c>
      <c r="B76" s="224"/>
      <c r="C76" s="6" t="s">
        <v>10</v>
      </c>
      <c r="D76" s="35"/>
      <c r="E76" s="34">
        <v>122305.13000000002</v>
      </c>
      <c r="F76" s="129">
        <v>0.53642600877192992</v>
      </c>
      <c r="G76" s="7"/>
      <c r="H76" s="36">
        <v>228000</v>
      </c>
      <c r="I76" s="36">
        <v>205200</v>
      </c>
      <c r="J76" s="36">
        <v>214273.11999999383</v>
      </c>
      <c r="K76" s="73">
        <v>1.044215984405428</v>
      </c>
      <c r="L76" s="37"/>
      <c r="M76" s="36">
        <v>39900</v>
      </c>
      <c r="N76" s="36">
        <v>35910</v>
      </c>
      <c r="O76" s="38">
        <v>1092.47</v>
      </c>
      <c r="P76" s="36">
        <v>33120.530000000079</v>
      </c>
      <c r="Q76" s="121">
        <v>0.92232052353105209</v>
      </c>
      <c r="R76" s="37"/>
      <c r="S76" s="133">
        <v>0.17499999999999999</v>
      </c>
      <c r="T76" s="133">
        <v>0.15457155801904146</v>
      </c>
      <c r="U76" s="37"/>
      <c r="V76" s="36"/>
      <c r="W76" s="39">
        <v>4.7739912500427115</v>
      </c>
      <c r="X76" s="72" t="s">
        <v>73</v>
      </c>
      <c r="Y76" s="37"/>
      <c r="Z76" s="65"/>
      <c r="AA76" s="34">
        <v>7600</v>
      </c>
      <c r="AB76" s="34">
        <v>22211.580000000053</v>
      </c>
      <c r="AC76" s="37"/>
      <c r="AD76" s="36">
        <v>1330</v>
      </c>
      <c r="AE76" s="36">
        <v>3902.9600000000009</v>
      </c>
      <c r="AF76" s="121">
        <v>2.9345563909774444</v>
      </c>
      <c r="AG76" s="37"/>
      <c r="AH76" s="36">
        <v>1226.6862962962991</v>
      </c>
      <c r="AI76" s="36">
        <v>36800.588888888975</v>
      </c>
      <c r="AJ76" s="121">
        <v>0.92232052353105198</v>
      </c>
      <c r="AK76" s="37"/>
      <c r="AL76" s="114">
        <v>0.17499999999999999</v>
      </c>
      <c r="AM76" s="114">
        <v>0.17571735103941241</v>
      </c>
      <c r="AN76" s="37"/>
      <c r="AO76" s="39">
        <v>7.1962012607841128</v>
      </c>
      <c r="AP76" s="73">
        <v>0</v>
      </c>
    </row>
    <row r="77" spans="1:49" ht="12.75" customHeight="1" x14ac:dyDescent="0.3">
      <c r="A77" s="7" t="s">
        <v>72</v>
      </c>
      <c r="B77" s="224"/>
      <c r="C77" s="6" t="s">
        <v>12</v>
      </c>
      <c r="D77" s="35"/>
      <c r="E77" s="34">
        <v>5734.449999999998</v>
      </c>
      <c r="F77" s="129">
        <v>0.81920714285714258</v>
      </c>
      <c r="G77" s="7"/>
      <c r="H77" s="36">
        <v>7000</v>
      </c>
      <c r="I77" s="36">
        <v>6192.3076923076924</v>
      </c>
      <c r="J77" s="36">
        <v>9550.0799999999708</v>
      </c>
      <c r="K77" s="73">
        <v>1.5422489440993741</v>
      </c>
      <c r="L77" s="37"/>
      <c r="M77" s="36">
        <v>1104.2494392822834</v>
      </c>
      <c r="N77" s="36">
        <v>976.8360424420199</v>
      </c>
      <c r="O77" s="38">
        <v>700.07</v>
      </c>
      <c r="P77" s="36">
        <v>2129.3300000000008</v>
      </c>
      <c r="Q77" s="121">
        <v>2.1798233352209535</v>
      </c>
      <c r="R77" s="37"/>
      <c r="S77" s="133">
        <v>0.15774991989746906</v>
      </c>
      <c r="T77" s="133">
        <v>0.22296462438011067</v>
      </c>
      <c r="U77" s="37"/>
      <c r="V77" s="36"/>
      <c r="W77" s="39">
        <v>3.8228999128801142</v>
      </c>
      <c r="X77" s="72" t="s">
        <v>73</v>
      </c>
      <c r="Y77" s="37"/>
      <c r="Z77" s="65"/>
      <c r="AA77" s="34">
        <v>269.23076923076923</v>
      </c>
      <c r="AB77" s="34">
        <v>252.39</v>
      </c>
      <c r="AC77" s="37"/>
      <c r="AD77" s="36">
        <v>42.471132280087822</v>
      </c>
      <c r="AE77" s="36">
        <v>-18.639999999999986</v>
      </c>
      <c r="AF77" s="121">
        <v>-0.43888634466049237</v>
      </c>
      <c r="AG77" s="37"/>
      <c r="AH77" s="36">
        <v>92.579565217391334</v>
      </c>
      <c r="AI77" s="36">
        <v>2407.0686956521745</v>
      </c>
      <c r="AJ77" s="121">
        <v>2.1798233352209531</v>
      </c>
      <c r="AK77" s="37"/>
      <c r="AL77" s="114">
        <v>0.15774991989746906</v>
      </c>
      <c r="AM77" s="114">
        <v>-7.3853956178929384E-2</v>
      </c>
      <c r="AN77" s="37"/>
      <c r="AO77" s="39">
        <v>-18.237648084313971</v>
      </c>
      <c r="AP77" s="73">
        <v>0</v>
      </c>
    </row>
    <row r="78" spans="1:49" s="16" customFormat="1" ht="14.25" customHeight="1" x14ac:dyDescent="0.3">
      <c r="A78" s="27"/>
      <c r="B78" s="224"/>
      <c r="C78" s="9" t="s">
        <v>84</v>
      </c>
      <c r="D78" s="29"/>
      <c r="E78" s="28">
        <v>281922.8400000002</v>
      </c>
      <c r="F78" s="130">
        <v>0.62097541850220306</v>
      </c>
      <c r="G78" s="27"/>
      <c r="H78" s="30">
        <v>454000</v>
      </c>
      <c r="I78" s="30">
        <v>407476.92307692306</v>
      </c>
      <c r="J78" s="30">
        <v>427417.97999999876</v>
      </c>
      <c r="K78" s="32">
        <v>1.0489378803896368</v>
      </c>
      <c r="L78" s="40"/>
      <c r="M78" s="30">
        <v>82637.540281302528</v>
      </c>
      <c r="N78" s="30">
        <v>74179.105492567949</v>
      </c>
      <c r="O78" s="28">
        <v>3661.85</v>
      </c>
      <c r="P78" s="30">
        <v>66553.670000000246</v>
      </c>
      <c r="Q78" s="32">
        <v>0.89720238007815156</v>
      </c>
      <c r="R78" s="40"/>
      <c r="S78" s="134">
        <v>0.18202101383546812</v>
      </c>
      <c r="T78" s="134">
        <v>0.15571097406805498</v>
      </c>
      <c r="U78" s="40"/>
      <c r="V78" s="30"/>
      <c r="W78" s="33">
        <v>4.3397051289227857</v>
      </c>
      <c r="X78" s="31" t="s">
        <v>73</v>
      </c>
      <c r="Y78" s="40"/>
      <c r="Z78" s="65"/>
      <c r="AA78" s="28">
        <v>15507.692307692309</v>
      </c>
      <c r="AB78" s="28">
        <v>41507.109999999899</v>
      </c>
      <c r="AC78" s="40"/>
      <c r="AD78" s="30">
        <v>2819.4782629115316</v>
      </c>
      <c r="AE78" s="30">
        <v>6804.4600000000019</v>
      </c>
      <c r="AF78" s="32">
        <v>2.4133755842378379</v>
      </c>
      <c r="AG78" s="40"/>
      <c r="AH78" s="30">
        <v>2530.9243317230362</v>
      </c>
      <c r="AI78" s="30">
        <v>74146.442995169346</v>
      </c>
      <c r="AJ78" s="32">
        <v>0.89724891063759837</v>
      </c>
      <c r="AK78" s="40"/>
      <c r="AL78" s="85">
        <v>0.18202101383546812</v>
      </c>
      <c r="AM78" s="85">
        <v>0.16393480538635474</v>
      </c>
      <c r="AN78" s="40"/>
      <c r="AO78" s="33">
        <v>0</v>
      </c>
      <c r="AP78" s="32">
        <v>0</v>
      </c>
      <c r="AQ78" s="11"/>
      <c r="AR78" s="11"/>
      <c r="AS78" s="11"/>
      <c r="AT78" s="11"/>
      <c r="AU78" s="11"/>
      <c r="AV78" s="11"/>
      <c r="AW78" s="11"/>
    </row>
    <row r="79" spans="1:49" ht="8" customHeight="1" x14ac:dyDescent="0.3">
      <c r="B79" s="17"/>
      <c r="D79" s="35"/>
      <c r="E79" s="48"/>
      <c r="F79" s="131"/>
      <c r="G79" s="35"/>
      <c r="H79" s="49"/>
      <c r="I79" s="49"/>
      <c r="J79" s="49"/>
      <c r="K79" s="52"/>
      <c r="L79" s="35"/>
      <c r="M79" s="49"/>
      <c r="N79" s="49"/>
      <c r="O79" s="52"/>
      <c r="P79" s="49"/>
      <c r="Q79" s="48"/>
      <c r="R79" s="35"/>
      <c r="S79" s="52"/>
      <c r="T79" s="52"/>
      <c r="U79" s="35"/>
      <c r="V79" s="49"/>
      <c r="W79" s="53"/>
      <c r="X79" s="49"/>
      <c r="Y79" s="35"/>
      <c r="Z79" s="65"/>
      <c r="AA79" s="48"/>
      <c r="AB79" s="48"/>
      <c r="AC79" s="37"/>
      <c r="AD79" s="49"/>
      <c r="AE79" s="49"/>
      <c r="AF79" s="48"/>
      <c r="AG79" s="37"/>
      <c r="AH79" s="49"/>
      <c r="AI79" s="49"/>
      <c r="AJ79" s="48"/>
      <c r="AK79" s="37"/>
      <c r="AL79" s="50"/>
      <c r="AM79" s="54"/>
      <c r="AN79" s="37"/>
      <c r="AO79" s="53"/>
      <c r="AP79" s="48"/>
    </row>
    <row r="80" spans="1:49" ht="12.75" customHeight="1" x14ac:dyDescent="0.3">
      <c r="A80" s="7" t="s">
        <v>29</v>
      </c>
      <c r="B80" s="224" t="s">
        <v>70</v>
      </c>
      <c r="C80" s="6" t="s">
        <v>8</v>
      </c>
      <c r="D80" s="35"/>
      <c r="E80" s="34">
        <v>607723.61</v>
      </c>
      <c r="F80" s="129">
        <v>2.5321817083333333</v>
      </c>
      <c r="G80" s="7"/>
      <c r="H80" s="36">
        <v>240000</v>
      </c>
      <c r="I80" s="137">
        <v>212307.69230769231</v>
      </c>
      <c r="J80" s="36">
        <v>174141.48999999938</v>
      </c>
      <c r="K80" s="73">
        <v>0.82023165579709856</v>
      </c>
      <c r="L80" s="37"/>
      <c r="M80" s="36">
        <v>26400</v>
      </c>
      <c r="N80" s="36">
        <v>23353.846153846152</v>
      </c>
      <c r="O80" s="38">
        <v>250</v>
      </c>
      <c r="P80" s="137">
        <v>19770.119999999977</v>
      </c>
      <c r="Q80" s="73">
        <v>0.84654664031620463</v>
      </c>
      <c r="R80" s="37"/>
      <c r="S80" s="133">
        <v>0.11</v>
      </c>
      <c r="T80" s="133">
        <v>0.1135290619139646</v>
      </c>
      <c r="U80" s="37"/>
      <c r="V80" s="36"/>
      <c r="W80" s="39">
        <v>1.6414238789387372</v>
      </c>
      <c r="X80" s="72" t="s">
        <v>73</v>
      </c>
      <c r="Y80" s="37"/>
      <c r="Z80" s="65"/>
      <c r="AA80" s="34">
        <v>9230.7692307692305</v>
      </c>
      <c r="AB80" s="34">
        <v>10713.229999999938</v>
      </c>
      <c r="AC80" s="37"/>
      <c r="AD80" s="36">
        <v>1015.3846153846154</v>
      </c>
      <c r="AE80" s="36">
        <v>1346.27</v>
      </c>
      <c r="AF80" s="121">
        <v>1.3258719696969696</v>
      </c>
      <c r="AG80" s="37"/>
      <c r="AH80" s="36">
        <v>859.57043478260766</v>
      </c>
      <c r="AI80" s="36">
        <v>22348.831304347797</v>
      </c>
      <c r="AJ80" s="121">
        <v>0.84654664031620441</v>
      </c>
      <c r="AK80" s="37"/>
      <c r="AL80" s="114">
        <v>0.11</v>
      </c>
      <c r="AM80" s="114">
        <v>0.12566424878398091</v>
      </c>
      <c r="AN80" s="37"/>
      <c r="AO80" s="39">
        <v>3.0087097915375489</v>
      </c>
      <c r="AP80" s="73">
        <v>0</v>
      </c>
    </row>
    <row r="81" spans="1:49" ht="12.75" customHeight="1" x14ac:dyDescent="0.3">
      <c r="A81" s="7" t="s">
        <v>29</v>
      </c>
      <c r="B81" s="224"/>
      <c r="C81" s="6" t="s">
        <v>9</v>
      </c>
      <c r="D81" s="35"/>
      <c r="E81" s="34">
        <v>472298.18</v>
      </c>
      <c r="F81" s="129">
        <v>1.389112294117647</v>
      </c>
      <c r="G81" s="7"/>
      <c r="H81" s="36">
        <v>340000</v>
      </c>
      <c r="I81" s="137">
        <v>306000</v>
      </c>
      <c r="J81" s="36">
        <v>277465.80999998224</v>
      </c>
      <c r="K81" s="73">
        <v>0.90675101307183736</v>
      </c>
      <c r="L81" s="37"/>
      <c r="M81" s="36">
        <v>50660</v>
      </c>
      <c r="N81" s="36">
        <v>45594</v>
      </c>
      <c r="O81" s="38">
        <v>0</v>
      </c>
      <c r="P81" s="137">
        <v>36724.080000000111</v>
      </c>
      <c r="Q81" s="73">
        <v>0.8054586129753939</v>
      </c>
      <c r="R81" s="37"/>
      <c r="S81" s="133">
        <v>0.14899999999999999</v>
      </c>
      <c r="T81" s="133">
        <v>0.13235533415811648</v>
      </c>
      <c r="U81" s="37"/>
      <c r="V81" s="36"/>
      <c r="W81" s="39">
        <v>3.3288173414887248</v>
      </c>
      <c r="X81" s="72" t="s">
        <v>73</v>
      </c>
      <c r="Y81" s="37"/>
      <c r="Z81" s="65"/>
      <c r="AA81" s="34">
        <v>11333.333333333334</v>
      </c>
      <c r="AB81" s="34">
        <v>31235.100000000206</v>
      </c>
      <c r="AC81" s="37"/>
      <c r="AD81" s="36">
        <v>1688.6666666666667</v>
      </c>
      <c r="AE81" s="36">
        <v>3552.1699999999955</v>
      </c>
      <c r="AF81" s="121">
        <v>2.1035353335965232</v>
      </c>
      <c r="AG81" s="37"/>
      <c r="AH81" s="36">
        <v>1360.1511111111151</v>
      </c>
      <c r="AI81" s="36">
        <v>40804.533333333457</v>
      </c>
      <c r="AJ81" s="121">
        <v>0.8054586129753939</v>
      </c>
      <c r="AK81" s="37"/>
      <c r="AL81" s="114">
        <v>0.14899999999999999</v>
      </c>
      <c r="AM81" s="114">
        <v>0.11372366344272861</v>
      </c>
      <c r="AN81" s="37"/>
      <c r="AO81" s="39">
        <v>1.8435990280172752</v>
      </c>
      <c r="AP81" s="73">
        <v>0</v>
      </c>
    </row>
    <row r="82" spans="1:49" ht="12.75" customHeight="1" x14ac:dyDescent="0.3">
      <c r="A82" s="7" t="s">
        <v>29</v>
      </c>
      <c r="B82" s="224"/>
      <c r="C82" s="6" t="s">
        <v>10</v>
      </c>
      <c r="D82" s="35"/>
      <c r="E82" s="34">
        <v>806936.8600000001</v>
      </c>
      <c r="F82" s="129">
        <v>1.8765973488372096</v>
      </c>
      <c r="G82" s="7"/>
      <c r="H82" s="36">
        <v>430000</v>
      </c>
      <c r="I82" s="137">
        <v>387000</v>
      </c>
      <c r="J82" s="36">
        <v>399103.86999995535</v>
      </c>
      <c r="K82" s="73">
        <v>1.0312761498706857</v>
      </c>
      <c r="L82" s="37"/>
      <c r="M82" s="36">
        <v>59770.000000000007</v>
      </c>
      <c r="N82" s="36">
        <v>53793.000000000007</v>
      </c>
      <c r="O82" s="38">
        <v>600</v>
      </c>
      <c r="P82" s="137">
        <v>44508.749999999971</v>
      </c>
      <c r="Q82" s="73">
        <v>0.82740784116892463</v>
      </c>
      <c r="R82" s="37"/>
      <c r="S82" s="133">
        <v>0.13900000000000001</v>
      </c>
      <c r="T82" s="133">
        <v>0.11152171989714094</v>
      </c>
      <c r="U82" s="37"/>
      <c r="V82" s="36"/>
      <c r="W82" s="39">
        <v>1.1870092865687345</v>
      </c>
      <c r="X82" s="72" t="s">
        <v>73</v>
      </c>
      <c r="Y82" s="37"/>
      <c r="Z82" s="65"/>
      <c r="AA82" s="34">
        <v>14333.333333333334</v>
      </c>
      <c r="AB82" s="34">
        <v>40556.790000000401</v>
      </c>
      <c r="AC82" s="37"/>
      <c r="AD82" s="36">
        <v>1992.3333333333335</v>
      </c>
      <c r="AE82" s="36">
        <v>3555.3999999999896</v>
      </c>
      <c r="AF82" s="121">
        <v>1.7845407395014168</v>
      </c>
      <c r="AG82" s="37"/>
      <c r="AH82" s="36">
        <v>1648.472222222221</v>
      </c>
      <c r="AI82" s="36">
        <v>49454.166666666628</v>
      </c>
      <c r="AJ82" s="121">
        <v>0.82740784116892463</v>
      </c>
      <c r="AK82" s="37"/>
      <c r="AL82" s="114">
        <v>0.13900000000000001</v>
      </c>
      <c r="AM82" s="114">
        <v>8.7664728890031837E-2</v>
      </c>
      <c r="AN82" s="37"/>
      <c r="AO82" s="39">
        <v>-0.95695443352290643</v>
      </c>
      <c r="AP82" s="73">
        <v>0</v>
      </c>
    </row>
    <row r="83" spans="1:49" ht="12.75" customHeight="1" x14ac:dyDescent="0.3">
      <c r="A83" s="7" t="s">
        <v>29</v>
      </c>
      <c r="B83" s="224"/>
      <c r="C83" s="6" t="s">
        <v>12</v>
      </c>
      <c r="D83" s="35"/>
      <c r="E83" s="34">
        <v>20401.549999999988</v>
      </c>
      <c r="F83" s="129">
        <v>2.0401549999999991</v>
      </c>
      <c r="G83" s="7"/>
      <c r="H83" s="36">
        <v>10000</v>
      </c>
      <c r="I83" s="137">
        <v>8846.1538461538476</v>
      </c>
      <c r="J83" s="36">
        <v>15250.699999999984</v>
      </c>
      <c r="K83" s="73">
        <v>1.7239921739130415</v>
      </c>
      <c r="L83" s="37"/>
      <c r="M83" s="36">
        <v>1560</v>
      </c>
      <c r="N83" s="36">
        <v>1380</v>
      </c>
      <c r="O83" s="38">
        <v>0</v>
      </c>
      <c r="P83" s="137">
        <v>43.890000000000015</v>
      </c>
      <c r="Q83" s="73">
        <v>3.1804347826086966E-2</v>
      </c>
      <c r="R83" s="37"/>
      <c r="S83" s="133">
        <v>0.156</v>
      </c>
      <c r="T83" s="133">
        <v>2.8779006865258683E-3</v>
      </c>
      <c r="U83" s="37"/>
      <c r="V83" s="36"/>
      <c r="W83" s="39">
        <v>-9.3090153238868094</v>
      </c>
      <c r="X83" s="72" t="s">
        <v>73</v>
      </c>
      <c r="Y83" s="37"/>
      <c r="Z83" s="65"/>
      <c r="AA83" s="34">
        <v>384.61538461538464</v>
      </c>
      <c r="AB83" s="34">
        <v>214.78000000000006</v>
      </c>
      <c r="AC83" s="37"/>
      <c r="AD83" s="36">
        <v>60</v>
      </c>
      <c r="AE83" s="36">
        <v>50.78</v>
      </c>
      <c r="AF83" s="121">
        <v>0.84633333333333338</v>
      </c>
      <c r="AG83" s="37"/>
      <c r="AH83" s="36">
        <v>1.9082608695652181</v>
      </c>
      <c r="AI83" s="36">
        <v>49.61478260869567</v>
      </c>
      <c r="AJ83" s="121">
        <v>3.1804347826086966E-2</v>
      </c>
      <c r="AK83" s="37"/>
      <c r="AL83" s="114">
        <v>0.156</v>
      </c>
      <c r="AM83" s="114">
        <v>0.23642797280938629</v>
      </c>
      <c r="AN83" s="37"/>
      <c r="AO83" s="39">
        <v>14.396126268740137</v>
      </c>
      <c r="AP83" s="73">
        <v>0</v>
      </c>
    </row>
    <row r="84" spans="1:49" s="16" customFormat="1" ht="14.25" customHeight="1" x14ac:dyDescent="0.3">
      <c r="A84" s="27"/>
      <c r="B84" s="224"/>
      <c r="C84" s="9" t="s">
        <v>85</v>
      </c>
      <c r="D84" s="29"/>
      <c r="E84" s="28">
        <v>1907360.2000000002</v>
      </c>
      <c r="F84" s="130">
        <v>1.8699609803921571</v>
      </c>
      <c r="G84" s="27"/>
      <c r="H84" s="30">
        <v>1020000</v>
      </c>
      <c r="I84" s="30">
        <v>914153.84615384613</v>
      </c>
      <c r="J84" s="30">
        <v>865961.86999993701</v>
      </c>
      <c r="K84" s="32">
        <v>0.94728242258491935</v>
      </c>
      <c r="L84" s="40"/>
      <c r="M84" s="30">
        <v>138390</v>
      </c>
      <c r="N84" s="30">
        <v>124120.84615384616</v>
      </c>
      <c r="O84" s="28">
        <v>850</v>
      </c>
      <c r="P84" s="30">
        <v>101046.84000000005</v>
      </c>
      <c r="Q84" s="32">
        <v>0.81410047652071127</v>
      </c>
      <c r="R84" s="40"/>
      <c r="S84" s="134">
        <v>0.13567647058823529</v>
      </c>
      <c r="T84" s="134">
        <v>0.11668740102841642</v>
      </c>
      <c r="U84" s="40"/>
      <c r="V84" s="30"/>
      <c r="W84" s="33">
        <v>1.7798058475642888</v>
      </c>
      <c r="X84" s="31" t="s">
        <v>73</v>
      </c>
      <c r="Y84" s="40"/>
      <c r="Z84" s="65"/>
      <c r="AA84" s="28">
        <v>35282.051282051281</v>
      </c>
      <c r="AB84" s="28">
        <v>82719.900000000547</v>
      </c>
      <c r="AC84" s="40"/>
      <c r="AD84" s="30">
        <v>4756.3846153846152</v>
      </c>
      <c r="AE84" s="30">
        <v>8504.6199999999862</v>
      </c>
      <c r="AF84" s="32">
        <v>1.7880429544094549</v>
      </c>
      <c r="AG84" s="40"/>
      <c r="AH84" s="30">
        <v>3870.1020289855087</v>
      </c>
      <c r="AI84" s="30">
        <v>112657.14608695658</v>
      </c>
      <c r="AJ84" s="32">
        <v>0.81405553932333674</v>
      </c>
      <c r="AK84" s="40"/>
      <c r="AL84" s="85">
        <v>0.13567647058823529</v>
      </c>
      <c r="AM84" s="85">
        <v>0.10281226162023806</v>
      </c>
      <c r="AN84" s="40"/>
      <c r="AO84" s="33">
        <v>0</v>
      </c>
      <c r="AP84" s="32">
        <v>0</v>
      </c>
      <c r="AQ84" s="11"/>
      <c r="AR84" s="11"/>
      <c r="AS84" s="11"/>
      <c r="AT84" s="11"/>
      <c r="AU84" s="11"/>
      <c r="AV84" s="11"/>
      <c r="AW84" s="11"/>
    </row>
    <row r="85" spans="1:49" x14ac:dyDescent="0.3">
      <c r="B85" s="17"/>
      <c r="D85" s="35"/>
      <c r="E85" s="48"/>
      <c r="F85" s="131"/>
      <c r="G85" s="35"/>
      <c r="H85" s="49"/>
      <c r="I85" s="49"/>
      <c r="J85" s="49"/>
      <c r="K85" s="52"/>
      <c r="L85" s="35"/>
      <c r="M85" s="49"/>
      <c r="N85" s="49"/>
      <c r="O85" s="52"/>
      <c r="P85" s="49"/>
      <c r="Q85" s="48"/>
      <c r="R85" s="35"/>
      <c r="S85" s="52"/>
      <c r="T85" s="52"/>
      <c r="U85" s="35"/>
      <c r="V85" s="49"/>
      <c r="W85" s="53"/>
      <c r="X85" s="49"/>
      <c r="Y85" s="35"/>
      <c r="Z85" s="65"/>
      <c r="AA85" s="48"/>
      <c r="AB85" s="48"/>
      <c r="AC85" s="37"/>
      <c r="AD85" s="49"/>
      <c r="AE85" s="49"/>
      <c r="AF85" s="48"/>
      <c r="AG85" s="37"/>
      <c r="AH85" s="49"/>
      <c r="AI85" s="49"/>
      <c r="AJ85" s="48"/>
      <c r="AK85" s="37"/>
      <c r="AL85" s="50"/>
      <c r="AM85" s="54"/>
      <c r="AN85" s="37"/>
      <c r="AO85" s="53"/>
      <c r="AP85" s="48"/>
    </row>
    <row r="86" spans="1:49" x14ac:dyDescent="0.3">
      <c r="A86" s="67" t="s">
        <v>63</v>
      </c>
      <c r="B86" s="224" t="s">
        <v>77</v>
      </c>
      <c r="C86" s="6" t="s">
        <v>8</v>
      </c>
      <c r="D86" s="35"/>
      <c r="E86" s="34">
        <v>447297.17</v>
      </c>
      <c r="F86" s="129">
        <v>1.8637382083333334</v>
      </c>
      <c r="G86" s="7"/>
      <c r="H86" s="36">
        <v>240000</v>
      </c>
      <c r="I86" s="36">
        <v>212307.69230769231</v>
      </c>
      <c r="J86" s="36">
        <v>193084.4099999984</v>
      </c>
      <c r="K86" s="73">
        <v>0.90945555434781855</v>
      </c>
      <c r="L86" s="37"/>
      <c r="M86" s="36">
        <v>31200</v>
      </c>
      <c r="N86" s="36">
        <v>27600</v>
      </c>
      <c r="O86" s="38">
        <v>1619.17</v>
      </c>
      <c r="P86" s="36">
        <v>22434.880949999701</v>
      </c>
      <c r="Q86" s="121">
        <v>0.81285800543477171</v>
      </c>
      <c r="R86" s="37"/>
      <c r="S86" s="133">
        <v>0.13</v>
      </c>
      <c r="T86" s="133">
        <v>0.11619208899361624</v>
      </c>
      <c r="U86" s="37"/>
      <c r="V86" s="36"/>
      <c r="W86" s="39">
        <v>2.6572269350998079</v>
      </c>
      <c r="X86" s="72" t="s">
        <v>73</v>
      </c>
      <c r="Y86" s="37"/>
      <c r="Z86" s="65"/>
      <c r="AA86" s="34">
        <v>9230.7692307692305</v>
      </c>
      <c r="AB86" s="34">
        <v>11121.359999999942</v>
      </c>
      <c r="AC86" s="37"/>
      <c r="AD86" s="36">
        <v>1200</v>
      </c>
      <c r="AE86" s="36">
        <v>1458.6143500000014</v>
      </c>
      <c r="AF86" s="121">
        <v>1.2155119583333345</v>
      </c>
      <c r="AG86" s="37"/>
      <c r="AH86" s="36">
        <v>975.4296065217261</v>
      </c>
      <c r="AI86" s="36">
        <v>25361.16976956488</v>
      </c>
      <c r="AJ86" s="121">
        <v>0.81285800543477182</v>
      </c>
      <c r="AK86" s="37"/>
      <c r="AL86" s="114">
        <v>0.13</v>
      </c>
      <c r="AM86" s="114">
        <v>0.13115431476006612</v>
      </c>
      <c r="AN86" s="37"/>
      <c r="AO86" s="39">
        <v>4.4756608004771161</v>
      </c>
      <c r="AP86" s="73">
        <v>0</v>
      </c>
    </row>
    <row r="87" spans="1:49" x14ac:dyDescent="0.3">
      <c r="A87" s="67" t="s">
        <v>63</v>
      </c>
      <c r="B87" s="224"/>
      <c r="C87" s="6" t="s">
        <v>9</v>
      </c>
      <c r="D87" s="35"/>
      <c r="E87" s="34">
        <v>649528.74999999988</v>
      </c>
      <c r="F87" s="129">
        <v>1.8826920289855069</v>
      </c>
      <c r="G87" s="7"/>
      <c r="H87" s="36">
        <v>345000</v>
      </c>
      <c r="I87" s="36">
        <v>310500</v>
      </c>
      <c r="J87" s="36">
        <v>283084.65999998554</v>
      </c>
      <c r="K87" s="73">
        <v>0.91170582930752186</v>
      </c>
      <c r="L87" s="37"/>
      <c r="M87" s="36">
        <v>55890</v>
      </c>
      <c r="N87" s="36">
        <v>50301</v>
      </c>
      <c r="O87" s="38">
        <v>1491.8200000000002</v>
      </c>
      <c r="P87" s="36">
        <v>45058.270000000033</v>
      </c>
      <c r="Q87" s="121">
        <v>0.89577284745830166</v>
      </c>
      <c r="R87" s="37"/>
      <c r="S87" s="133">
        <v>0.16200000000000001</v>
      </c>
      <c r="T87" s="133">
        <v>0.15916888608518151</v>
      </c>
      <c r="U87" s="37"/>
      <c r="V87" s="36"/>
      <c r="W87" s="39">
        <v>6.8182394623523308</v>
      </c>
      <c r="X87" s="72" t="s">
        <v>73</v>
      </c>
      <c r="Y87" s="37"/>
      <c r="Z87" s="65"/>
      <c r="AA87" s="34">
        <v>11500</v>
      </c>
      <c r="AB87" s="34">
        <v>24409.680000000328</v>
      </c>
      <c r="AC87" s="37"/>
      <c r="AD87" s="36">
        <v>1863</v>
      </c>
      <c r="AE87" s="36">
        <v>4223.2799999999888</v>
      </c>
      <c r="AF87" s="121">
        <v>2.2669243156199617</v>
      </c>
      <c r="AG87" s="37"/>
      <c r="AH87" s="36">
        <v>1668.8248148148161</v>
      </c>
      <c r="AI87" s="36">
        <v>50064.744444444485</v>
      </c>
      <c r="AJ87" s="121">
        <v>0.89577284745830177</v>
      </c>
      <c r="AK87" s="37"/>
      <c r="AL87" s="114">
        <v>0.16200000000000001</v>
      </c>
      <c r="AM87" s="114">
        <v>0.17301660652658832</v>
      </c>
      <c r="AN87" s="37"/>
      <c r="AO87" s="39">
        <v>8.5437826304984057</v>
      </c>
      <c r="AP87" s="73">
        <v>0</v>
      </c>
    </row>
    <row r="88" spans="1:49" x14ac:dyDescent="0.3">
      <c r="A88" s="67" t="s">
        <v>63</v>
      </c>
      <c r="B88" s="224"/>
      <c r="C88" s="6" t="s">
        <v>10</v>
      </c>
      <c r="D88" s="35"/>
      <c r="E88" s="34">
        <v>1010789</v>
      </c>
      <c r="F88" s="129">
        <v>2.1506148936170213</v>
      </c>
      <c r="G88" s="7"/>
      <c r="H88" s="36">
        <v>470000</v>
      </c>
      <c r="I88" s="36">
        <v>423000</v>
      </c>
      <c r="J88" s="36">
        <v>425342.44999995385</v>
      </c>
      <c r="K88" s="73">
        <v>1.0055377068556828</v>
      </c>
      <c r="L88" s="37"/>
      <c r="M88" s="36">
        <v>71440</v>
      </c>
      <c r="N88" s="36">
        <v>64296.000000000007</v>
      </c>
      <c r="O88" s="38">
        <v>1384.66</v>
      </c>
      <c r="P88" s="36">
        <v>59914.349400000247</v>
      </c>
      <c r="Q88" s="121">
        <v>0.93185189436357219</v>
      </c>
      <c r="R88" s="37"/>
      <c r="S88" s="133">
        <v>0.152</v>
      </c>
      <c r="T88" s="133">
        <v>0.14086143858908687</v>
      </c>
      <c r="U88" s="37"/>
      <c r="V88" s="36"/>
      <c r="W88" s="39">
        <v>5.4887701427295248</v>
      </c>
      <c r="X88" s="72" t="s">
        <v>73</v>
      </c>
      <c r="Y88" s="37"/>
      <c r="Z88" s="65"/>
      <c r="AA88" s="34">
        <v>15666.666666666666</v>
      </c>
      <c r="AB88" s="34">
        <v>42487.280000000595</v>
      </c>
      <c r="AC88" s="37"/>
      <c r="AD88" s="36">
        <v>2381.3333333333335</v>
      </c>
      <c r="AE88" s="36">
        <v>6048.7978999999978</v>
      </c>
      <c r="AF88" s="121">
        <v>2.5400887038073896</v>
      </c>
      <c r="AG88" s="37"/>
      <c r="AH88" s="36">
        <v>2219.0499777777868</v>
      </c>
      <c r="AI88" s="36">
        <v>66571.499333333602</v>
      </c>
      <c r="AJ88" s="121">
        <v>0.9318518943635723</v>
      </c>
      <c r="AK88" s="37"/>
      <c r="AL88" s="114">
        <v>0.152</v>
      </c>
      <c r="AM88" s="114">
        <v>0.14236726615589215</v>
      </c>
      <c r="AN88" s="37"/>
      <c r="AO88" s="39">
        <v>5.6868971136786612</v>
      </c>
      <c r="AP88" s="73">
        <v>0</v>
      </c>
    </row>
    <row r="89" spans="1:49" x14ac:dyDescent="0.3">
      <c r="A89" s="67" t="s">
        <v>63</v>
      </c>
      <c r="B89" s="224"/>
      <c r="C89" s="6" t="s">
        <v>12</v>
      </c>
      <c r="D89" s="35"/>
      <c r="E89" s="34">
        <v>13509.480000000003</v>
      </c>
      <c r="F89" s="129">
        <v>1.9299257142857147</v>
      </c>
      <c r="G89" s="7"/>
      <c r="H89" s="36">
        <v>7000</v>
      </c>
      <c r="I89" s="36">
        <v>6192.3076923076924</v>
      </c>
      <c r="J89" s="36">
        <v>7415.8399999999656</v>
      </c>
      <c r="K89" s="73">
        <v>1.1975890683229757</v>
      </c>
      <c r="L89" s="37"/>
      <c r="M89" s="36">
        <v>1680</v>
      </c>
      <c r="N89" s="36">
        <v>1486.1538461538462</v>
      </c>
      <c r="O89" s="38">
        <v>456.99</v>
      </c>
      <c r="P89" s="36">
        <v>2055.9400000000005</v>
      </c>
      <c r="Q89" s="121">
        <v>1.3833964803312633</v>
      </c>
      <c r="R89" s="37"/>
      <c r="S89" s="133">
        <v>0.24</v>
      </c>
      <c r="T89" s="133">
        <v>0.27723629420268103</v>
      </c>
      <c r="U89" s="37"/>
      <c r="V89" s="36"/>
      <c r="W89" s="39">
        <v>14.250307449998555</v>
      </c>
      <c r="X89" s="72" t="s">
        <v>73</v>
      </c>
      <c r="Y89" s="37"/>
      <c r="Z89" s="65"/>
      <c r="AA89" s="34">
        <v>269.23076923076923</v>
      </c>
      <c r="AB89" s="34">
        <v>131.52000000000001</v>
      </c>
      <c r="AC89" s="37"/>
      <c r="AD89" s="36">
        <v>64.615384615384613</v>
      </c>
      <c r="AE89" s="36">
        <v>39.869999999999997</v>
      </c>
      <c r="AF89" s="121">
        <v>0.61703571428571424</v>
      </c>
      <c r="AG89" s="37"/>
      <c r="AH89" s="36">
        <v>89.388695652173936</v>
      </c>
      <c r="AI89" s="36">
        <v>2324.1060869565222</v>
      </c>
      <c r="AJ89" s="121">
        <v>1.3833964803312633</v>
      </c>
      <c r="AK89" s="37"/>
      <c r="AL89" s="114">
        <v>0.24</v>
      </c>
      <c r="AM89" s="114">
        <v>0.30314781021897808</v>
      </c>
      <c r="AN89" s="37"/>
      <c r="AO89" s="39">
        <v>20.316301703163024</v>
      </c>
      <c r="AP89" s="73">
        <v>0</v>
      </c>
    </row>
    <row r="90" spans="1:49" s="16" customFormat="1" x14ac:dyDescent="0.3">
      <c r="A90" s="27"/>
      <c r="B90" s="224"/>
      <c r="C90" s="9" t="s">
        <v>78</v>
      </c>
      <c r="D90" s="29"/>
      <c r="E90" s="28">
        <v>2121124.4</v>
      </c>
      <c r="F90" s="130">
        <v>1.9972922787193972</v>
      </c>
      <c r="G90" s="27"/>
      <c r="H90" s="30">
        <v>1062000</v>
      </c>
      <c r="I90" s="30">
        <v>952000</v>
      </c>
      <c r="J90" s="30">
        <v>908927.35999993782</v>
      </c>
      <c r="K90" s="32">
        <v>0.95475563025203558</v>
      </c>
      <c r="L90" s="40"/>
      <c r="M90" s="30">
        <v>160210</v>
      </c>
      <c r="N90" s="30">
        <v>143683.15384615384</v>
      </c>
      <c r="O90" s="28">
        <v>4952.6400000000003</v>
      </c>
      <c r="P90" s="30">
        <v>129463.44034999999</v>
      </c>
      <c r="Q90" s="32">
        <v>0.9010342332032929</v>
      </c>
      <c r="R90" s="40"/>
      <c r="S90" s="134">
        <v>0.15085687382297552</v>
      </c>
      <c r="T90" s="134">
        <v>0.14243540908484573</v>
      </c>
      <c r="U90" s="40"/>
      <c r="V90" s="30"/>
      <c r="W90" s="33">
        <v>5.372808928310671</v>
      </c>
      <c r="X90" s="31" t="s">
        <v>73</v>
      </c>
      <c r="Y90" s="40"/>
      <c r="Z90" s="65"/>
      <c r="AA90" s="28">
        <v>36666.666666666664</v>
      </c>
      <c r="AB90" s="28">
        <v>78149.84000000087</v>
      </c>
      <c r="AC90" s="40"/>
      <c r="AD90" s="30">
        <v>5508.9487179487187</v>
      </c>
      <c r="AE90" s="30">
        <v>11770.56224999999</v>
      </c>
      <c r="AF90" s="32">
        <v>2.1366258523428061</v>
      </c>
      <c r="AG90" s="40"/>
      <c r="AH90" s="30">
        <v>4952.6930947665032</v>
      </c>
      <c r="AI90" s="30">
        <v>144321.51963429948</v>
      </c>
      <c r="AJ90" s="32">
        <v>0.90082716206416247</v>
      </c>
      <c r="AK90" s="40"/>
      <c r="AL90" s="85">
        <v>0.15085687382297552</v>
      </c>
      <c r="AM90" s="85">
        <v>0.15061530836147405</v>
      </c>
      <c r="AN90" s="40"/>
      <c r="AO90" s="33">
        <v>0</v>
      </c>
      <c r="AP90" s="32">
        <v>0</v>
      </c>
      <c r="AQ90" s="11"/>
      <c r="AR90" s="11"/>
      <c r="AS90" s="11"/>
      <c r="AT90" s="11"/>
      <c r="AU90" s="11"/>
      <c r="AV90" s="11"/>
      <c r="AW90" s="11"/>
    </row>
    <row r="91" spans="1:49" x14ac:dyDescent="0.3">
      <c r="B91" s="17"/>
      <c r="D91" s="35"/>
      <c r="E91" s="48"/>
      <c r="F91" s="131"/>
      <c r="G91" s="35"/>
      <c r="H91" s="49"/>
      <c r="I91" s="49"/>
      <c r="J91" s="49"/>
      <c r="K91" s="52"/>
      <c r="L91" s="35"/>
      <c r="M91" s="49"/>
      <c r="N91" s="49"/>
      <c r="O91" s="52"/>
      <c r="P91" s="49"/>
      <c r="Q91" s="48"/>
      <c r="R91" s="35"/>
      <c r="S91" s="52"/>
      <c r="T91" s="52"/>
      <c r="U91" s="35"/>
      <c r="V91" s="51"/>
      <c r="W91" s="53"/>
      <c r="X91" s="49"/>
      <c r="Y91" s="35"/>
      <c r="Z91" s="65"/>
      <c r="AA91" s="48"/>
      <c r="AB91" s="48"/>
      <c r="AC91" s="37"/>
      <c r="AD91" s="49"/>
      <c r="AE91" s="49"/>
      <c r="AF91" s="48"/>
      <c r="AG91" s="37"/>
      <c r="AH91" s="49"/>
      <c r="AI91" s="49"/>
      <c r="AJ91" s="48"/>
      <c r="AK91" s="37"/>
      <c r="AL91" s="50"/>
      <c r="AM91" s="54"/>
      <c r="AN91" s="37"/>
      <c r="AO91" s="53"/>
      <c r="AP91" s="48"/>
    </row>
    <row r="92" spans="1:49" x14ac:dyDescent="0.3">
      <c r="B92" s="246" t="s">
        <v>32</v>
      </c>
      <c r="C92" s="99" t="s">
        <v>8</v>
      </c>
      <c r="D92" s="35"/>
      <c r="E92" s="98">
        <v>4421698.8099999987</v>
      </c>
      <c r="F92" s="132">
        <v>0.81132088256880708</v>
      </c>
      <c r="G92" s="35"/>
      <c r="H92" s="98">
        <v>5450000</v>
      </c>
      <c r="I92" s="98">
        <v>4821153.8461538451</v>
      </c>
      <c r="J92" s="98">
        <v>5033654.7199999578</v>
      </c>
      <c r="K92" s="118">
        <v>1.0440767668129154</v>
      </c>
      <c r="L92" s="37"/>
      <c r="M92" s="98">
        <v>543615.38057334628</v>
      </c>
      <c r="N92" s="98">
        <v>480890.52896872937</v>
      </c>
      <c r="O92" s="98">
        <v>4241.93</v>
      </c>
      <c r="P92" s="98">
        <v>515425.12878000009</v>
      </c>
      <c r="Q92" s="118">
        <v>1.0718138489550424</v>
      </c>
      <c r="R92" s="101"/>
      <c r="S92" s="135">
        <v>9.9745941389604825E-2</v>
      </c>
      <c r="T92" s="135">
        <v>0.10239580532452659</v>
      </c>
      <c r="U92" s="103"/>
      <c r="V92" s="104">
        <v>0</v>
      </c>
      <c r="W92" s="108">
        <v>-4.7665061385067542</v>
      </c>
      <c r="X92" s="105" t="s">
        <v>73</v>
      </c>
      <c r="Y92" s="103"/>
      <c r="Z92" s="106"/>
      <c r="AA92" s="98">
        <v>209615.38461538457</v>
      </c>
      <c r="AB92" s="98">
        <v>385842.64999999985</v>
      </c>
      <c r="AC92" s="103"/>
      <c r="AD92" s="98">
        <v>20908.283868205628</v>
      </c>
      <c r="AE92" s="98">
        <v>46527.201299999993</v>
      </c>
      <c r="AF92" s="118">
        <v>2.2252998664683332</v>
      </c>
      <c r="AG92" s="103"/>
      <c r="AH92" s="98">
        <v>22409.788207826081</v>
      </c>
      <c r="AI92" s="98">
        <v>582654.49340347818</v>
      </c>
      <c r="AJ92" s="118">
        <v>1.0718138489550419</v>
      </c>
      <c r="AK92" s="103"/>
      <c r="AL92" s="107">
        <v>9.9745941389604825E-2</v>
      </c>
      <c r="AM92" s="102">
        <v>0.12058594688793479</v>
      </c>
      <c r="AN92" s="103"/>
      <c r="AO92" s="108">
        <v>-3.1116022813963591</v>
      </c>
      <c r="AP92" s="100">
        <v>0</v>
      </c>
    </row>
    <row r="93" spans="1:49" ht="12.75" customHeight="1" x14ac:dyDescent="0.3">
      <c r="B93" s="246"/>
      <c r="C93" s="99" t="s">
        <v>9</v>
      </c>
      <c r="D93" s="35"/>
      <c r="E93" s="98">
        <v>5198555.4400000004</v>
      </c>
      <c r="F93" s="132">
        <v>1.0049401585153683</v>
      </c>
      <c r="G93" s="35"/>
      <c r="H93" s="98">
        <v>5173000</v>
      </c>
      <c r="I93" s="98">
        <v>4655700</v>
      </c>
      <c r="J93" s="98">
        <v>4754254.0399997374</v>
      </c>
      <c r="K93" s="118">
        <v>1.0211684687586695</v>
      </c>
      <c r="L93" s="37"/>
      <c r="M93" s="98">
        <v>796420.87942007312</v>
      </c>
      <c r="N93" s="98">
        <v>716778.79147806589</v>
      </c>
      <c r="O93" s="98">
        <v>9953.6699999999983</v>
      </c>
      <c r="P93" s="98">
        <v>622772.86000000255</v>
      </c>
      <c r="Q93" s="118">
        <v>0.86884945174756889</v>
      </c>
      <c r="R93" s="101"/>
      <c r="S93" s="135">
        <v>0.1539572548656627</v>
      </c>
      <c r="T93" s="135">
        <v>0.13099276032797713</v>
      </c>
      <c r="U93" s="103"/>
      <c r="V93" s="104">
        <v>0</v>
      </c>
      <c r="W93" s="108">
        <v>0.51248271116232158</v>
      </c>
      <c r="X93" s="105" t="s">
        <v>73</v>
      </c>
      <c r="Y93" s="103"/>
      <c r="Z93" s="106"/>
      <c r="AA93" s="98">
        <v>172433.33333333334</v>
      </c>
      <c r="AB93" s="98">
        <v>481302.62000000192</v>
      </c>
      <c r="AC93" s="103"/>
      <c r="AD93" s="98">
        <v>26547.362647335776</v>
      </c>
      <c r="AE93" s="98">
        <v>55755.46999999995</v>
      </c>
      <c r="AF93" s="118">
        <v>2.1002263290962135</v>
      </c>
      <c r="AG93" s="103"/>
      <c r="AH93" s="98">
        <v>23065.661481481573</v>
      </c>
      <c r="AI93" s="98">
        <v>691969.8444444472</v>
      </c>
      <c r="AJ93" s="118">
        <v>0.86884945174756889</v>
      </c>
      <c r="AK93" s="103"/>
      <c r="AL93" s="107">
        <v>0.1539572548656627</v>
      </c>
      <c r="AM93" s="102">
        <v>0.11584285578998038</v>
      </c>
      <c r="AN93" s="103"/>
      <c r="AO93" s="108">
        <v>-0.72666548127211439</v>
      </c>
      <c r="AP93" s="100">
        <v>0</v>
      </c>
    </row>
    <row r="94" spans="1:49" ht="12.75" customHeight="1" x14ac:dyDescent="0.3">
      <c r="B94" s="246"/>
      <c r="C94" s="99" t="s">
        <v>10</v>
      </c>
      <c r="D94" s="35"/>
      <c r="E94" s="98">
        <v>8305194.1099999947</v>
      </c>
      <c r="F94" s="132">
        <v>1.0436283123900472</v>
      </c>
      <c r="G94" s="35"/>
      <c r="H94" s="98">
        <v>7958000</v>
      </c>
      <c r="I94" s="98">
        <v>7162200</v>
      </c>
      <c r="J94" s="98">
        <v>7364617.9699994447</v>
      </c>
      <c r="K94" s="118">
        <v>1.0282619823517138</v>
      </c>
      <c r="L94" s="37"/>
      <c r="M94" s="98">
        <v>1253681.7303163207</v>
      </c>
      <c r="N94" s="98">
        <v>1128313.5572846886</v>
      </c>
      <c r="O94" s="98">
        <v>12954.69</v>
      </c>
      <c r="P94" s="98">
        <v>1060913.8268800045</v>
      </c>
      <c r="Q94" s="118">
        <v>0.94026507084884892</v>
      </c>
      <c r="R94" s="101"/>
      <c r="S94" s="135">
        <v>0.15753728704653439</v>
      </c>
      <c r="T94" s="135">
        <v>0.14405551397258484</v>
      </c>
      <c r="U94" s="103"/>
      <c r="V94" s="104">
        <v>0</v>
      </c>
      <c r="W94" s="108">
        <v>1.6156881098808069</v>
      </c>
      <c r="X94" s="105" t="s">
        <v>73</v>
      </c>
      <c r="Y94" s="103"/>
      <c r="Z94" s="106"/>
      <c r="AA94" s="98">
        <v>265266.66666666669</v>
      </c>
      <c r="AB94" s="98">
        <v>795752.8500000037</v>
      </c>
      <c r="AC94" s="103"/>
      <c r="AD94" s="98">
        <v>41789.391010544023</v>
      </c>
      <c r="AE94" s="98">
        <v>107072.52019999987</v>
      </c>
      <c r="AF94" s="118">
        <v>2.5621938394121138</v>
      </c>
      <c r="AG94" s="103"/>
      <c r="AH94" s="98">
        <v>39293.10469925942</v>
      </c>
      <c r="AI94" s="98">
        <v>1178793.1409777824</v>
      </c>
      <c r="AJ94" s="118">
        <v>0.94026507084884869</v>
      </c>
      <c r="AK94" s="103"/>
      <c r="AL94" s="107">
        <v>0.15753728704653439</v>
      </c>
      <c r="AM94" s="102">
        <v>0.13455499430507772</v>
      </c>
      <c r="AN94" s="103"/>
      <c r="AO94" s="108">
        <v>1.1317383531838803</v>
      </c>
      <c r="AP94" s="100">
        <v>0</v>
      </c>
    </row>
    <row r="95" spans="1:49" ht="12.75" customHeight="1" x14ac:dyDescent="0.3">
      <c r="B95" s="246"/>
      <c r="C95" s="99" t="s">
        <v>12</v>
      </c>
      <c r="D95" s="35"/>
      <c r="E95" s="98">
        <v>610277.56000000006</v>
      </c>
      <c r="F95" s="132">
        <v>0.181678890178917</v>
      </c>
      <c r="G95" s="35"/>
      <c r="H95" s="98">
        <v>3359100</v>
      </c>
      <c r="I95" s="98">
        <v>2971511.538461539</v>
      </c>
      <c r="J95" s="98">
        <v>3015404.2299999963</v>
      </c>
      <c r="K95" s="118">
        <v>1.0147711664485686</v>
      </c>
      <c r="L95" s="37"/>
      <c r="M95" s="98">
        <v>576608.99760094297</v>
      </c>
      <c r="N95" s="98">
        <v>510077.19018544961</v>
      </c>
      <c r="O95" s="98">
        <v>90239.73000000001</v>
      </c>
      <c r="P95" s="98">
        <v>536645.54999999981</v>
      </c>
      <c r="Q95" s="118">
        <v>1.0520869396353338</v>
      </c>
      <c r="R95" s="101"/>
      <c r="S95" s="135">
        <v>0.17165579994669494</v>
      </c>
      <c r="T95" s="135">
        <v>0.17796802984520602</v>
      </c>
      <c r="U95" s="103"/>
      <c r="V95" s="104">
        <v>0</v>
      </c>
      <c r="W95" s="108">
        <v>-1.8551625497986501</v>
      </c>
      <c r="X95" s="105" t="s">
        <v>73</v>
      </c>
      <c r="Y95" s="103"/>
      <c r="Z95" s="106"/>
      <c r="AA95" s="98">
        <v>129196.15384615386</v>
      </c>
      <c r="AB95" s="98">
        <v>81394.899999999994</v>
      </c>
      <c r="AC95" s="103"/>
      <c r="AD95" s="98">
        <v>22177.269138497806</v>
      </c>
      <c r="AE95" s="98">
        <v>12267.090000000006</v>
      </c>
      <c r="AF95" s="118">
        <v>0.55313798662006619</v>
      </c>
      <c r="AG95" s="103"/>
      <c r="AH95" s="98">
        <v>23332.415217391303</v>
      </c>
      <c r="AI95" s="98">
        <v>606642.79565217369</v>
      </c>
      <c r="AJ95" s="118">
        <v>1.0520869396353338</v>
      </c>
      <c r="AK95" s="103"/>
      <c r="AL95" s="107">
        <v>0.17165579994669494</v>
      </c>
      <c r="AM95" s="102">
        <v>0.15071079391952083</v>
      </c>
      <c r="AN95" s="103"/>
      <c r="AO95" s="108">
        <v>-0.65413189278444184</v>
      </c>
      <c r="AP95" s="100">
        <v>0</v>
      </c>
    </row>
    <row r="96" spans="1:49" ht="4.25" customHeight="1" x14ac:dyDescent="0.3">
      <c r="B96" s="246"/>
      <c r="D96" s="35"/>
      <c r="E96" s="48"/>
      <c r="F96" s="131"/>
      <c r="G96" s="35"/>
      <c r="H96" s="48"/>
      <c r="I96" s="48"/>
      <c r="J96" s="49"/>
      <c r="K96" s="52"/>
      <c r="L96" s="35"/>
      <c r="M96" s="48"/>
      <c r="N96" s="49"/>
      <c r="O96" s="52"/>
      <c r="P96" s="49"/>
      <c r="Q96" s="48"/>
      <c r="R96" s="35"/>
      <c r="S96" s="52"/>
      <c r="T96" s="52"/>
      <c r="U96" s="35"/>
      <c r="V96" s="51"/>
      <c r="W96" s="53"/>
      <c r="X96" s="49"/>
      <c r="Y96" s="35"/>
      <c r="Z96" s="65"/>
      <c r="AA96" s="48"/>
      <c r="AB96" s="48"/>
      <c r="AC96" s="37"/>
      <c r="AD96" s="49"/>
      <c r="AE96" s="49"/>
      <c r="AF96" s="48"/>
      <c r="AG96" s="37"/>
      <c r="AH96" s="49"/>
      <c r="AI96" s="49"/>
      <c r="AJ96" s="48"/>
      <c r="AK96" s="37"/>
      <c r="AL96" s="50"/>
      <c r="AM96" s="54"/>
      <c r="AN96" s="37"/>
      <c r="AO96" s="53"/>
      <c r="AP96" s="48"/>
    </row>
    <row r="97" spans="1:49" s="16" customFormat="1" ht="14.25" customHeight="1" x14ac:dyDescent="0.3">
      <c r="A97" s="27"/>
      <c r="B97" s="246"/>
      <c r="C97" s="99" t="s">
        <v>7</v>
      </c>
      <c r="D97" s="29"/>
      <c r="E97" s="98">
        <v>18535725.919999994</v>
      </c>
      <c r="F97" s="132">
        <v>0.84483324688583894</v>
      </c>
      <c r="G97" s="29"/>
      <c r="H97" s="98">
        <v>21940100</v>
      </c>
      <c r="I97" s="98">
        <v>19610565.384615384</v>
      </c>
      <c r="J97" s="98">
        <v>20167930.959999137</v>
      </c>
      <c r="K97" s="45">
        <v>1.0284216984290013</v>
      </c>
      <c r="L97" s="40"/>
      <c r="M97" s="98">
        <v>3170326.9879106833</v>
      </c>
      <c r="N97" s="98">
        <v>2836060.0679169334</v>
      </c>
      <c r="O97" s="98">
        <v>117390.02000000002</v>
      </c>
      <c r="P97" s="98">
        <v>2735757.3656600071</v>
      </c>
      <c r="Q97" s="45">
        <v>0.96463308256704239</v>
      </c>
      <c r="R97" s="40"/>
      <c r="S97" s="135">
        <v>0.14449920410165329</v>
      </c>
      <c r="T97" s="135">
        <v>0.13564888590138868</v>
      </c>
      <c r="U97" s="46"/>
      <c r="V97" s="44">
        <v>0</v>
      </c>
      <c r="W97" s="47">
        <v>-0.75623089271465149</v>
      </c>
      <c r="X97" s="86" t="s">
        <v>73</v>
      </c>
      <c r="Y97" s="46"/>
      <c r="Z97" s="65"/>
      <c r="AA97" s="98">
        <v>776511.53846153838</v>
      </c>
      <c r="AB97" s="98">
        <v>1744293.0200000054</v>
      </c>
      <c r="AC97" s="103"/>
      <c r="AD97" s="98">
        <v>111422.30666458323</v>
      </c>
      <c r="AE97" s="98">
        <v>221622.28149999981</v>
      </c>
      <c r="AF97" s="118">
        <v>1.9890297386065947</v>
      </c>
      <c r="AG97" s="103"/>
      <c r="AH97" s="98">
        <v>108100.96960595838</v>
      </c>
      <c r="AI97" s="98">
        <v>3060060.2744778814</v>
      </c>
      <c r="AJ97" s="118">
        <v>0.96521913548562066</v>
      </c>
      <c r="AK97" s="103"/>
      <c r="AL97" s="107">
        <v>0.14449920410165329</v>
      </c>
      <c r="AM97" s="102">
        <v>0.1270556488840385</v>
      </c>
      <c r="AN97" s="103"/>
      <c r="AO97" s="108">
        <v>-0.40302508921320002</v>
      </c>
      <c r="AP97" s="43">
        <v>0</v>
      </c>
      <c r="AQ97" s="11"/>
      <c r="AR97" s="11"/>
      <c r="AS97" s="11"/>
      <c r="AT97" s="11"/>
      <c r="AU97" s="11"/>
      <c r="AV97" s="11"/>
      <c r="AW97" s="11"/>
    </row>
    <row r="98" spans="1:49" ht="14.5" x14ac:dyDescent="0.35">
      <c r="D98" s="56"/>
      <c r="E98" s="55"/>
      <c r="F98" s="124"/>
      <c r="G98" s="56"/>
      <c r="H98" s="57"/>
      <c r="I98" s="49"/>
      <c r="J98" s="57"/>
      <c r="K98" s="52"/>
      <c r="L98" s="35"/>
      <c r="M98" s="57"/>
      <c r="N98" s="49"/>
      <c r="O98" s="49"/>
      <c r="P98" s="49"/>
      <c r="Q98" s="48"/>
      <c r="R98" s="35"/>
      <c r="S98" s="50"/>
      <c r="T98" s="50"/>
      <c r="U98" s="35"/>
      <c r="V98" s="51"/>
      <c r="W98" s="51"/>
      <c r="X98" s="49"/>
      <c r="Y98" s="35"/>
      <c r="Z98" s="66"/>
      <c r="AA98" s="48"/>
      <c r="AB98" s="48"/>
      <c r="AC98" s="37"/>
      <c r="AD98" s="49"/>
      <c r="AE98" s="49"/>
      <c r="AF98" s="48"/>
      <c r="AG98" s="37"/>
      <c r="AH98" s="49"/>
      <c r="AI98" s="49"/>
      <c r="AJ98" s="48"/>
      <c r="AK98" s="37"/>
      <c r="AL98" s="50"/>
      <c r="AM98" s="54"/>
      <c r="AN98" s="37"/>
      <c r="AO98" s="53"/>
      <c r="AP98" s="48"/>
    </row>
    <row r="99" spans="1:49" ht="14.5" x14ac:dyDescent="0.35">
      <c r="D99" s="56"/>
      <c r="E99" s="55"/>
      <c r="F99" s="124"/>
      <c r="G99" s="56"/>
      <c r="H99" s="49"/>
      <c r="I99" s="57"/>
      <c r="J99" s="57"/>
      <c r="K99" s="52"/>
      <c r="L99" s="35"/>
      <c r="M99" s="57"/>
      <c r="N99" s="57"/>
      <c r="O99" s="57"/>
      <c r="P99" s="57"/>
      <c r="Q99" s="48"/>
      <c r="R99" s="35"/>
      <c r="S99" s="50"/>
      <c r="T99" s="50"/>
      <c r="U99" s="35"/>
      <c r="V99" s="51"/>
      <c r="W99" s="51"/>
      <c r="X99" s="49"/>
      <c r="Y99" s="35"/>
      <c r="Z99" s="66"/>
      <c r="AA99" s="61"/>
      <c r="AB99" s="61"/>
      <c r="AC99" s="37"/>
      <c r="AD99" s="57"/>
      <c r="AE99" s="57"/>
      <c r="AF99" s="48"/>
      <c r="AG99" s="37"/>
      <c r="AH99" s="57"/>
      <c r="AI99" s="57"/>
      <c r="AJ99" s="61"/>
      <c r="AK99" s="37"/>
      <c r="AL99" s="50"/>
      <c r="AM99" s="54"/>
      <c r="AN99" s="37"/>
      <c r="AO99" s="53"/>
      <c r="AP99" s="48"/>
      <c r="AQ99" s="12"/>
    </row>
    <row r="100" spans="1:49" ht="14.5" x14ac:dyDescent="0.35">
      <c r="D100" s="56"/>
      <c r="E100" s="55"/>
      <c r="F100" s="124"/>
      <c r="G100" s="56"/>
      <c r="H100" s="49"/>
      <c r="I100" s="57"/>
      <c r="J100" s="57"/>
      <c r="K100" s="52"/>
      <c r="L100" s="35"/>
      <c r="M100" s="57"/>
      <c r="N100" s="57"/>
      <c r="O100" s="57"/>
      <c r="P100" s="57"/>
      <c r="Q100" s="48"/>
      <c r="R100" s="35"/>
      <c r="S100" s="50"/>
      <c r="T100" s="50"/>
      <c r="U100" s="35"/>
      <c r="V100" s="51"/>
      <c r="W100" s="51"/>
      <c r="X100" s="49"/>
      <c r="Y100" s="35"/>
      <c r="Z100" s="66"/>
      <c r="AA100" s="61"/>
      <c r="AB100" s="61"/>
      <c r="AC100" s="37"/>
      <c r="AD100" s="57"/>
      <c r="AE100" s="57"/>
      <c r="AF100" s="48"/>
      <c r="AG100" s="37"/>
      <c r="AH100" s="57"/>
      <c r="AI100" s="57"/>
      <c r="AJ100" s="61"/>
      <c r="AK100" s="37"/>
      <c r="AL100" s="50"/>
      <c r="AM100" s="54"/>
      <c r="AN100" s="37"/>
      <c r="AO100" s="53"/>
      <c r="AP100" s="48"/>
      <c r="AQ100" s="12"/>
    </row>
    <row r="101" spans="1:49" ht="14.5" x14ac:dyDescent="0.35">
      <c r="D101" s="56"/>
      <c r="E101" s="55"/>
      <c r="F101" s="124"/>
      <c r="G101" s="56"/>
      <c r="H101" s="49"/>
      <c r="I101" s="49"/>
      <c r="J101" s="57"/>
      <c r="K101" s="52"/>
      <c r="L101" s="35"/>
      <c r="M101" s="57"/>
      <c r="N101" s="57"/>
      <c r="O101" s="57"/>
      <c r="P101" s="57"/>
      <c r="Q101" s="48"/>
      <c r="R101" s="35"/>
      <c r="S101" s="50"/>
      <c r="T101" s="50"/>
      <c r="U101" s="35"/>
      <c r="V101" s="51"/>
      <c r="W101" s="51"/>
      <c r="X101" s="49"/>
      <c r="Y101" s="35"/>
      <c r="Z101" s="66"/>
      <c r="AA101" s="61"/>
      <c r="AB101" s="61"/>
      <c r="AC101" s="37"/>
      <c r="AD101" s="57"/>
      <c r="AE101" s="57"/>
      <c r="AF101" s="48"/>
      <c r="AG101" s="37"/>
      <c r="AH101" s="57"/>
      <c r="AI101" s="57"/>
      <c r="AJ101" s="61"/>
      <c r="AK101" s="37"/>
      <c r="AL101" s="50"/>
      <c r="AM101" s="54"/>
      <c r="AN101" s="37"/>
      <c r="AO101" s="53"/>
      <c r="AP101" s="48"/>
      <c r="AQ101" s="12"/>
    </row>
    <row r="102" spans="1:49" ht="14.5" x14ac:dyDescent="0.35">
      <c r="D102" s="56"/>
      <c r="E102" s="55"/>
      <c r="F102" s="124"/>
      <c r="G102" s="56"/>
      <c r="H102" s="49"/>
      <c r="I102" s="49"/>
      <c r="J102" s="57"/>
      <c r="K102" s="52"/>
      <c r="L102" s="35"/>
      <c r="M102" s="57"/>
      <c r="N102" s="57"/>
      <c r="O102" s="57"/>
      <c r="P102" s="57"/>
      <c r="Q102" s="48"/>
      <c r="R102" s="35"/>
      <c r="S102" s="50"/>
      <c r="T102" s="50"/>
      <c r="U102" s="35"/>
      <c r="V102" s="51"/>
      <c r="W102" s="51"/>
      <c r="X102" s="49"/>
      <c r="Y102" s="35"/>
      <c r="Z102" s="66"/>
      <c r="AA102" s="61"/>
      <c r="AB102" s="61"/>
      <c r="AC102" s="37"/>
      <c r="AD102" s="57"/>
      <c r="AE102" s="57"/>
      <c r="AF102" s="48"/>
      <c r="AG102" s="37"/>
      <c r="AH102" s="57"/>
      <c r="AI102" s="57"/>
      <c r="AJ102" s="61"/>
      <c r="AK102" s="37"/>
      <c r="AL102" s="50"/>
      <c r="AM102" s="54"/>
      <c r="AN102" s="37"/>
      <c r="AO102" s="53"/>
      <c r="AP102" s="48"/>
      <c r="AQ102" s="12"/>
    </row>
    <row r="103" spans="1:49" ht="14.5" x14ac:dyDescent="0.35">
      <c r="D103" s="56"/>
      <c r="E103" s="55"/>
      <c r="F103" s="124"/>
      <c r="G103" s="56"/>
      <c r="H103" s="49"/>
      <c r="I103" s="49"/>
      <c r="J103" s="57"/>
      <c r="K103" s="52"/>
      <c r="L103" s="35"/>
      <c r="M103" s="57"/>
      <c r="N103" s="57"/>
      <c r="O103" s="57"/>
      <c r="P103" s="57"/>
      <c r="Q103" s="48"/>
      <c r="R103" s="35"/>
      <c r="S103" s="50"/>
      <c r="T103" s="50"/>
      <c r="U103" s="35"/>
      <c r="V103" s="51"/>
      <c r="W103" s="51"/>
      <c r="X103" s="49"/>
      <c r="Y103" s="35"/>
      <c r="Z103" s="66"/>
      <c r="AA103" s="61"/>
      <c r="AB103" s="61"/>
      <c r="AC103" s="37"/>
      <c r="AD103" s="57"/>
      <c r="AE103" s="57"/>
      <c r="AF103" s="48"/>
      <c r="AG103" s="37"/>
      <c r="AH103" s="57"/>
      <c r="AI103" s="57"/>
      <c r="AJ103" s="61"/>
      <c r="AK103" s="37"/>
      <c r="AL103" s="50"/>
      <c r="AM103" s="54"/>
      <c r="AN103" s="37"/>
      <c r="AO103" s="53"/>
      <c r="AP103" s="48"/>
      <c r="AQ103" s="12"/>
    </row>
    <row r="104" spans="1:49" ht="14.5" x14ac:dyDescent="0.35">
      <c r="D104" s="56"/>
      <c r="E104" s="55"/>
      <c r="F104" s="124"/>
      <c r="G104" s="56"/>
      <c r="H104" s="49"/>
      <c r="I104" s="49"/>
      <c r="J104" s="57"/>
      <c r="K104" s="52"/>
      <c r="L104" s="35"/>
      <c r="M104" s="57"/>
      <c r="N104" s="57"/>
      <c r="O104" s="57"/>
      <c r="P104" s="57"/>
      <c r="Q104" s="48"/>
      <c r="R104" s="35"/>
      <c r="S104" s="50"/>
      <c r="T104" s="50"/>
      <c r="U104" s="35"/>
      <c r="V104" s="51"/>
      <c r="W104" s="51"/>
      <c r="X104" s="49"/>
      <c r="Y104" s="35"/>
      <c r="Z104" s="66"/>
      <c r="AA104" s="61"/>
      <c r="AB104" s="61"/>
      <c r="AC104" s="37"/>
      <c r="AD104" s="57"/>
      <c r="AE104" s="57"/>
      <c r="AF104" s="48"/>
      <c r="AG104" s="37"/>
      <c r="AH104" s="57"/>
      <c r="AI104" s="57"/>
      <c r="AJ104" s="61"/>
      <c r="AK104" s="37"/>
      <c r="AL104" s="50"/>
      <c r="AM104" s="54"/>
      <c r="AN104" s="37"/>
      <c r="AO104" s="53"/>
      <c r="AP104" s="48"/>
      <c r="AQ104" s="12"/>
    </row>
    <row r="105" spans="1:49" ht="14.5" x14ac:dyDescent="0.35">
      <c r="D105" s="56"/>
      <c r="E105" s="55"/>
      <c r="F105" s="124"/>
      <c r="G105" s="56"/>
      <c r="H105" s="49"/>
      <c r="I105" s="49"/>
      <c r="J105" s="57"/>
      <c r="K105" s="52"/>
      <c r="L105" s="35"/>
      <c r="M105" s="57"/>
      <c r="N105" s="57"/>
      <c r="O105" s="57"/>
      <c r="P105" s="57"/>
      <c r="Q105" s="48"/>
      <c r="R105" s="35"/>
      <c r="S105" s="50"/>
      <c r="T105" s="50"/>
      <c r="U105" s="35"/>
      <c r="V105" s="51"/>
      <c r="W105" s="51"/>
      <c r="X105" s="49"/>
      <c r="Y105" s="35"/>
      <c r="Z105" s="66"/>
      <c r="AA105" s="61"/>
      <c r="AB105" s="61"/>
      <c r="AC105" s="37"/>
      <c r="AD105" s="57"/>
      <c r="AE105" s="57"/>
      <c r="AF105" s="48"/>
      <c r="AG105" s="37"/>
      <c r="AH105" s="57"/>
      <c r="AI105" s="57"/>
      <c r="AJ105" s="61"/>
      <c r="AK105" s="37"/>
      <c r="AL105" s="50"/>
      <c r="AM105" s="54"/>
      <c r="AN105" s="37"/>
      <c r="AO105" s="53"/>
      <c r="AP105" s="48"/>
      <c r="AQ105" s="12"/>
    </row>
    <row r="106" spans="1:49" ht="14.5" x14ac:dyDescent="0.35">
      <c r="D106" s="56"/>
      <c r="E106" s="55"/>
      <c r="F106" s="124"/>
      <c r="G106" s="56"/>
      <c r="H106" s="49"/>
      <c r="I106" s="49"/>
      <c r="J106" s="57"/>
      <c r="K106" s="52"/>
      <c r="L106" s="35"/>
      <c r="M106" s="57"/>
      <c r="N106" s="57"/>
      <c r="O106" s="57"/>
      <c r="P106" s="57"/>
      <c r="Q106" s="48"/>
      <c r="R106" s="35"/>
      <c r="S106" s="50"/>
      <c r="T106" s="50"/>
      <c r="U106" s="35"/>
      <c r="V106" s="51"/>
      <c r="W106" s="51"/>
      <c r="X106" s="49"/>
      <c r="Y106" s="35"/>
      <c r="Z106" s="66"/>
      <c r="AA106" s="61"/>
      <c r="AB106" s="61"/>
      <c r="AC106" s="37"/>
      <c r="AD106" s="57"/>
      <c r="AE106" s="57"/>
      <c r="AF106" s="48"/>
      <c r="AG106" s="37"/>
      <c r="AH106" s="57"/>
      <c r="AI106" s="57"/>
      <c r="AJ106" s="61"/>
      <c r="AK106" s="37"/>
      <c r="AL106" s="50"/>
      <c r="AM106" s="54"/>
      <c r="AN106" s="37"/>
      <c r="AO106" s="53"/>
      <c r="AP106" s="48"/>
      <c r="AQ106" s="12"/>
    </row>
  </sheetData>
  <mergeCells count="29"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3" operator="between">
      <formula>0.1</formula>
      <formula>0.79</formula>
    </cfRule>
    <cfRule type="cellIs" dxfId="130" priority="1191" operator="greaterThanOrEqual">
      <formula>0.91</formula>
    </cfRule>
    <cfRule type="cellIs" dxfId="129" priority="1192" operator="between">
      <formula>0.71</formula>
      <formula>0.9</formula>
    </cfRule>
  </conditionalFormatting>
  <conditionalFormatting sqref="F8:F12 F14:F18 F20:F24 F26:F30 F32:F36 F38:F42 F44:F48 F50:F54 F56:F60 F62:F66 F68:F72 F74:F78 F80:F84 F86:F90 F92:F95 F97">
    <cfRule type="cellIs" dxfId="128" priority="1177" operator="between">
      <formula>0.0001</formula>
      <formula>0.79</formula>
    </cfRule>
    <cfRule type="cellIs" dxfId="127" priority="1175" operator="greaterThanOrEqual">
      <formula>0.9</formula>
    </cfRule>
    <cfRule type="cellIs" dxfId="126" priority="1176" operator="between">
      <formula>0.79</formula>
      <formula>0.9</formula>
    </cfRule>
  </conditionalFormatting>
  <conditionalFormatting sqref="F13 F19 F25 F31 F37 F43 F49 F55 F61 F67 F79 F91 F98:F1048576">
    <cfRule type="cellIs" dxfId="125" priority="1200" operator="between">
      <formula>0.1</formula>
      <formula>0.79</formula>
    </cfRule>
    <cfRule type="cellIs" dxfId="124" priority="1199" operator="between">
      <formula>0.71</formula>
      <formula>0.9</formula>
    </cfRule>
    <cfRule type="cellIs" dxfId="123" priority="1198" operator="greaterThanOrEqual">
      <formula>0.91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1" operator="between">
      <formula>0.71</formula>
      <formula>0.9</formula>
    </cfRule>
    <cfRule type="cellIs" dxfId="115" priority="90" operator="greaterThanOrEqual">
      <formula>0.91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6" operator="lessThan">
      <formula>0.9</formula>
    </cfRule>
    <cfRule type="cellIs" dxfId="111" priority="1195" operator="between">
      <formula>0.9001</formula>
      <formula>0.9999</formula>
    </cfRule>
  </conditionalFormatting>
  <conditionalFormatting sqref="K8:K12 K14:K18 K20:K24 K26:K30 K32:K36 K38:K42 K44:K48 K50:K54 K56:K60 K62:K66 K68:K72 K74:K78 K80:K84 K86:K90">
    <cfRule type="cellIs" dxfId="110" priority="1190" operator="greaterThanOrEqual">
      <formula>1</formula>
    </cfRule>
    <cfRule type="cellIs" dxfId="109" priority="1189" operator="between">
      <formula>0.86</formula>
      <formula>0.9999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3" operator="lessThan">
      <formula>0.9</formula>
    </cfRule>
    <cfRule type="cellIs" dxfId="106" priority="1202" operator="between">
      <formula>0.9001</formula>
      <formula>0.9999</formula>
    </cfRule>
    <cfRule type="cellIs" dxfId="105" priority="1201" operator="greaterThanOrEqual">
      <formula>1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5" operator="between">
      <formula>0.9001</formula>
      <formula>0.9999</formula>
    </cfRule>
    <cfRule type="cellIs" dxfId="100" priority="226" operator="lessThan">
      <formula>0.9</formula>
    </cfRule>
    <cfRule type="cellIs" dxfId="99" priority="224" operator="greaterThanOrEqual">
      <formula>1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73" operator="between">
      <formula>0.86</formula>
      <formula>0.9999</formula>
    </cfRule>
    <cfRule type="cellIs" dxfId="91" priority="1068" operator="greaterThanOrEqual">
      <formula>1</formula>
    </cfRule>
  </conditionalFormatting>
  <conditionalFormatting sqref="S7:T7">
    <cfRule type="cellIs" dxfId="90" priority="1070" operator="between">
      <formula>0.9001</formula>
      <formula>0.9999</formula>
    </cfRule>
    <cfRule type="cellIs" dxfId="89" priority="1069" operator="greaterThanOrEqual">
      <formula>1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9" operator="between">
      <formula>0.9001</formula>
      <formula>0.9999</formula>
    </cfRule>
    <cfRule type="cellIs" dxfId="83" priority="10" operator="lessThan">
      <formula>0.9</formula>
    </cfRule>
    <cfRule type="cellIs" dxfId="82" priority="8" operator="greaterThanOrEqual">
      <formula>1</formula>
    </cfRule>
  </conditionalFormatting>
  <conditionalFormatting sqref="S85:T85">
    <cfRule type="cellIs" dxfId="81" priority="220" operator="lessThan">
      <formula>0.9</formula>
    </cfRule>
    <cfRule type="cellIs" dxfId="80" priority="219" operator="between">
      <formula>0.9001</formula>
      <formula>0.9999</formula>
    </cfRule>
    <cfRule type="cellIs" dxfId="79" priority="218" operator="greaterThanOrEqual">
      <formula>1</formula>
    </cfRule>
  </conditionalFormatting>
  <conditionalFormatting sqref="S96:T96">
    <cfRule type="cellIs" dxfId="78" priority="89" operator="lessThan">
      <formula>0.9</formula>
    </cfRule>
    <cfRule type="cellIs" dxfId="77" priority="87" operator="greaterThanOrEqual">
      <formula>1</formula>
    </cfRule>
    <cfRule type="cellIs" dxfId="76" priority="88" operator="between">
      <formula>0.9001</formula>
      <formula>0.9999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5" operator="between">
      <formula>0.86</formula>
      <formula>0.9999</formula>
    </cfRule>
    <cfRule type="cellIs" dxfId="69" priority="54" operator="lessThanOrEqual">
      <formula>0.85</formula>
    </cfRule>
  </conditionalFormatting>
  <conditionalFormatting sqref="X26:X30">
    <cfRule type="cellIs" dxfId="68" priority="79" operator="between">
      <formula>0.86</formula>
      <formula>0.9999</formula>
    </cfRule>
    <cfRule type="cellIs" dxfId="67" priority="78" operator="lessThanOrEqual">
      <formula>0.85</formula>
    </cfRule>
  </conditionalFormatting>
  <conditionalFormatting sqref="X32:X36">
    <cfRule type="cellIs" dxfId="66" priority="75" operator="between">
      <formula>0.86</formula>
      <formula>0.9999</formula>
    </cfRule>
    <cfRule type="cellIs" dxfId="65" priority="74" operator="lessThanOrEqual">
      <formula>0.85</formula>
    </cfRule>
  </conditionalFormatting>
  <conditionalFormatting sqref="X38:X42">
    <cfRule type="cellIs" dxfId="64" priority="71" operator="between">
      <formula>0.86</formula>
      <formula>0.9999</formula>
    </cfRule>
    <cfRule type="cellIs" dxfId="63" priority="70" operator="lessThanOrEqual">
      <formula>0.85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1" operator="between">
      <formula>0.86</formula>
      <formula>0.9999</formula>
    </cfRule>
    <cfRule type="cellIs" dxfId="59" priority="50" operator="lessThanOrEqual">
      <formula>0.85</formula>
    </cfRule>
  </conditionalFormatting>
  <conditionalFormatting sqref="X56:X60">
    <cfRule type="cellIs" dxfId="58" priority="63" operator="between">
      <formula>0.86</formula>
      <formula>0.9999</formula>
    </cfRule>
    <cfRule type="cellIs" dxfId="57" priority="62" operator="lessThanOrEqual">
      <formula>0.85</formula>
    </cfRule>
  </conditionalFormatting>
  <conditionalFormatting sqref="X62:X66">
    <cfRule type="cellIs" dxfId="56" priority="47" operator="between">
      <formula>0.86</formula>
      <formula>0.9999</formula>
    </cfRule>
    <cfRule type="cellIs" dxfId="55" priority="46" operator="lessThanOrEqual">
      <formula>0.85</formula>
    </cfRule>
  </conditionalFormatting>
  <conditionalFormatting sqref="X68:X72">
    <cfRule type="cellIs" dxfId="54" priority="59" operator="between">
      <formula>0.86</formula>
      <formula>0.9999</formula>
    </cfRule>
    <cfRule type="cellIs" dxfId="53" priority="58" operator="lessThanOrEqual">
      <formula>0.85</formula>
    </cfRule>
  </conditionalFormatting>
  <conditionalFormatting sqref="X74:X78">
    <cfRule type="cellIs" dxfId="52" priority="7" operator="between">
      <formula>0.86</formula>
      <formula>0.9999</formula>
    </cfRule>
    <cfRule type="cellIs" dxfId="51" priority="6" operator="lessThanOrEqual">
      <formula>0.85</formula>
    </cfRule>
  </conditionalFormatting>
  <conditionalFormatting sqref="X80:X84 X86:X90">
    <cfRule type="cellIs" dxfId="50" priority="169" operator="between">
      <formula>0.86</formula>
      <formula>0.9999</formula>
    </cfRule>
    <cfRule type="cellIs" dxfId="49" priority="168" operator="lessThanOrEqual">
      <formula>0.85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3" operator="lessThan">
      <formula>0.9</formula>
    </cfRule>
    <cfRule type="cellIs" dxfId="46" priority="391" operator="greaterThanOrEqual">
      <formula>1</formula>
    </cfRule>
    <cfRule type="cellIs" dxfId="45" priority="392" operator="between">
      <formula>0.9001</formula>
      <formula>0.9999</formula>
    </cfRule>
  </conditionalFormatting>
  <conditionalFormatting sqref="AL13 AL19 AL25 AL31 AL37 AL43 AL49 AL55 AL61 AL67 AL79 AL91">
    <cfRule type="cellIs" dxfId="44" priority="165" operator="lessThan">
      <formula>0.9</formula>
    </cfRule>
    <cfRule type="cellIs" dxfId="43" priority="163" operator="greaterThanOrEqual">
      <formula>1</formula>
    </cfRule>
    <cfRule type="cellIs" dxfId="42" priority="164" operator="between">
      <formula>0.9001</formula>
      <formula>0.9999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2" operator="lessThan">
      <formula>0.9</formula>
    </cfRule>
    <cfRule type="cellIs" dxfId="37" priority="161" operator="between">
      <formula>0.9001</formula>
      <formula>0.9999</formula>
    </cfRule>
    <cfRule type="cellIs" dxfId="36" priority="160" operator="greaterThanOrEqual">
      <formula>1</formula>
    </cfRule>
  </conditionalFormatting>
  <conditionalFormatting sqref="AL96">
    <cfRule type="cellIs" dxfId="35" priority="86" operator="lessThan">
      <formula>0.9</formula>
    </cfRule>
    <cfRule type="cellIs" dxfId="34" priority="85" operator="between">
      <formula>0.9001</formula>
      <formula>0.9999</formula>
    </cfRule>
    <cfRule type="cellIs" dxfId="33" priority="84" operator="greaterThanOrEqual">
      <formula>1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9" operator="between">
      <formula>0.86</formula>
      <formula>0.9999</formula>
    </cfRule>
    <cfRule type="cellIs" dxfId="28" priority="158" operator="lessThanOrEqual">
      <formula>0.85</formula>
    </cfRule>
  </conditionalFormatting>
  <conditionalFormatting sqref="AP14:AP18">
    <cfRule type="cellIs" dxfId="27" priority="81" operator="between">
      <formula>0.86</formula>
      <formula>0.9999</formula>
    </cfRule>
    <cfRule type="cellIs" dxfId="26" priority="80" operator="lessThanOrEqual">
      <formula>0.85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7" operator="between">
      <formula>0.86</formula>
      <formula>0.9999</formula>
    </cfRule>
    <cfRule type="cellIs" dxfId="22" priority="76" operator="lessThanOrEqual">
      <formula>0.85</formula>
    </cfRule>
  </conditionalFormatting>
  <conditionalFormatting sqref="AP32:AP36">
    <cfRule type="cellIs" dxfId="21" priority="73" operator="between">
      <formula>0.86</formula>
      <formula>0.9999</formula>
    </cfRule>
    <cfRule type="cellIs" dxfId="20" priority="72" operator="lessThanOrEqual">
      <formula>0.85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5" operator="between">
      <formula>0.86</formula>
      <formula>0.9999</formula>
    </cfRule>
    <cfRule type="cellIs" dxfId="16" priority="64" operator="lessThanOrEqual">
      <formula>0.85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5" operator="between">
      <formula>0.86</formula>
      <formula>0.9999</formula>
    </cfRule>
    <cfRule type="cellIs" dxfId="10" priority="44" operator="lessThanOrEqual">
      <formula>0.85</formula>
    </cfRule>
  </conditionalFormatting>
  <conditionalFormatting sqref="AP68:AP72">
    <cfRule type="cellIs" dxfId="9" priority="57" operator="between">
      <formula>0.86</formula>
      <formula>0.9999</formula>
    </cfRule>
    <cfRule type="cellIs" dxfId="8" priority="56" operator="lessThanOrEqual">
      <formula>0.85</formula>
    </cfRule>
  </conditionalFormatting>
  <conditionalFormatting sqref="AP74:AP78">
    <cfRule type="cellIs" dxfId="7" priority="2" operator="between">
      <formula>0.86</formula>
      <formula>0.9999</formula>
    </cfRule>
    <cfRule type="cellIs" dxfId="6" priority="1" operator="lessThanOrEqual">
      <formula>0.85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1" operator="between">
      <formula>0.86</formula>
      <formula>0.9999</formula>
    </cfRule>
    <cfRule type="cellIs" dxfId="0" priority="230" operator="lessThanOrEqual">
      <formula>0.85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2026-09-28T12:52:12Z</cp:lastPrinted>
  <dcterms:created xsi:type="dcterms:W3CDTF">2013-12-24T17:42:15Z</dcterms:created>
  <dcterms:modified xsi:type="dcterms:W3CDTF">2026-09-28T14:54:30Z</dcterms:modified>
</cp:coreProperties>
</file>